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68" firstSheet="1" activeTab="1" autoFilterDateGrouping="1"/>
  </bookViews>
  <sheets>
    <sheet xmlns:r="http://schemas.openxmlformats.org/officeDocument/2006/relationships" name="7-MTL" sheetId="1" state="hidden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hidden" r:id="rId3"/>
    <sheet xmlns:r="http://schemas.openxmlformats.org/officeDocument/2006/relationships" name="Final MTL SKU Wise" sheetId="4" state="hidden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hidden" r:id="rId14"/>
    <sheet xmlns:r="http://schemas.openxmlformats.org/officeDocument/2006/relationships" name="Meiktila" sheetId="15" state="hidden" r:id="rId15"/>
    <sheet xmlns:r="http://schemas.openxmlformats.org/officeDocument/2006/relationships" name="Tharzi" sheetId="16" state="hidden" r:id="rId16"/>
    <sheet xmlns:r="http://schemas.openxmlformats.org/officeDocument/2006/relationships" name="Pyawbwe" sheetId="17" state="hidden" r:id="rId17"/>
    <sheet xmlns:r="http://schemas.openxmlformats.org/officeDocument/2006/relationships" name="Wantwin" sheetId="18" state="hidden" r:id="rId18"/>
    <sheet xmlns:r="http://schemas.openxmlformats.org/officeDocument/2006/relationships" name="Mahlaing" sheetId="19" state="hidden" r:id="rId19"/>
    <sheet xmlns:r="http://schemas.openxmlformats.org/officeDocument/2006/relationships" name="Yamethin" sheetId="20" state="hidden" r:id="rId20"/>
    <sheet xmlns:r="http://schemas.openxmlformats.org/officeDocument/2006/relationships" name="Kyaukpandaung" sheetId="21" state="hidden" r:id="rId21"/>
    <sheet xmlns:r="http://schemas.openxmlformats.org/officeDocument/2006/relationships" name="Taungthar" sheetId="22" state="hidden" r:id="rId22"/>
    <sheet xmlns:r="http://schemas.openxmlformats.org/officeDocument/2006/relationships" name="Myingan" sheetId="23" state="hidden" r:id="rId23"/>
    <sheet xmlns:r="http://schemas.openxmlformats.org/officeDocument/2006/relationships" name="Bagan" sheetId="24" state="hidden" r:id="rId24"/>
    <sheet xmlns:r="http://schemas.openxmlformats.org/officeDocument/2006/relationships" name="Pakokku" sheetId="25" state="hidden" r:id="rId25"/>
  </sheets>
  <externalReferences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</externalReferences>
  <definedNames>
    <definedName name="A">#REF!</definedName>
    <definedName name="aa">#REF!</definedName>
    <definedName name="aaa">#REF!</definedName>
    <definedName name="aaaaa">#REF!</definedName>
    <definedName name="aaaaaaa">#REF!</definedName>
    <definedName name="asd">'[1]Market ( Mar) '!#REF!</definedName>
    <definedName name="atr">#REF!</definedName>
    <definedName name="b">#REF!</definedName>
    <definedName name="bb">#REF!</definedName>
    <definedName name="Beg_Bal">#REF!</definedName>
    <definedName name="Cash_Cr">#REF!</definedName>
    <definedName name="Cash_Dr">#REF!</definedName>
    <definedName name="cc">#REF!</definedName>
    <definedName name="ccc">#REF!</definedName>
    <definedName name="cft">#REF!</definedName>
    <definedName name="cr">#REF!</definedName>
    <definedName name="crs">#REF!</definedName>
    <definedName name="cvvvv">#REF!</definedName>
    <definedName name="cwer">#REF!</definedName>
    <definedName name="Data">#REF!</definedName>
    <definedName name="dd">#REF!</definedName>
    <definedName name="ddd">#REF!</definedName>
    <definedName name="dddd">#N/A</definedName>
    <definedName name="dr">#REF!</definedName>
    <definedName name="drs">#REF!</definedName>
    <definedName name="dsfas">#REF!</definedName>
    <definedName name="eeee">#REF!</definedName>
    <definedName name="eeeee">'[1]Market ( Mar) '!#REF!</definedName>
    <definedName name="End_Bal">#REF!</definedName>
    <definedName name="Extra_Pay">#REF!</definedName>
    <definedName name="fgf">#REF!</definedName>
    <definedName name="fgjhj">#REF!</definedName>
    <definedName name="ftyu">#REF!</definedName>
    <definedName name="Full_Print">#REF!</definedName>
    <definedName name="fusales4">#REF!</definedName>
    <definedName name="gg">#REF!</definedName>
    <definedName name="gggggg">#REF!</definedName>
    <definedName name="Header_Row">ROW(#REF!)</definedName>
    <definedName name="hjj">#REF!</definedName>
    <definedName name="hjjj">#REF!</definedName>
    <definedName name="hjkjk">#REF!</definedName>
    <definedName name="hmjhj">#REF!</definedName>
    <definedName name="ii">#REF!</definedName>
    <definedName name="III">#REF!</definedName>
    <definedName name="Int">#REF!</definedName>
    <definedName name="Interest_Rate">#REF!</definedName>
    <definedName name="jbkjkl">#REF!</definedName>
    <definedName name="Journal_Cr">#REF!</definedName>
    <definedName name="Journal_Dr">#REF!</definedName>
    <definedName name="kdt">#REF!</definedName>
    <definedName name="kk">IF(Loan_Amount*Interest_Rate*Loan_Years*Loan_Start&gt;0,1,0)</definedName>
    <definedName name="kluyufuf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LSO">#REF!</definedName>
    <definedName name="lsoq">#REF!</definedName>
    <definedName name="lsoq1">#REF!</definedName>
    <definedName name="mmmkk">#REF!</definedName>
    <definedName name="mms">#REF!</definedName>
    <definedName name="neew">#REF!</definedName>
    <definedName name="New">#REF!</definedName>
    <definedName name="NOV">#REF!</definedName>
    <definedName name="Num_Pmt_Per_Year">#REF!</definedName>
    <definedName name="Number_of_Payments">MATCH(0.01,End_Bal,-1)+1</definedName>
    <definedName name="ooo">#REF!</definedName>
    <definedName name="Opening_Cr">#REF!</definedName>
    <definedName name="Opening_Dr">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ceee">#REF!</definedName>
    <definedName name="Print_Area_Reset">OFFSET(Full_Print,0,0,Last_Row)</definedName>
    <definedName name="qqqqqq">#REF!</definedName>
    <definedName name="Rate">#REF!</definedName>
    <definedName name="rty">#REF!</definedName>
    <definedName name="s">#REF!</definedName>
    <definedName name="Salees">#REF!</definedName>
    <definedName name="sales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mm">#REF!</definedName>
    <definedName name="smmm">'[1]Market ( Mar) '!#REF!</definedName>
    <definedName name="tdk">#REF!</definedName>
    <definedName name="Total_Interest">#REF!</definedName>
    <definedName name="Total_Pay">#REF!</definedName>
    <definedName name="Total_Payment">Scheduled_Payment+Extra_Payment</definedName>
    <definedName name="TYPE1">'[3]1.2.22'!$AV$7:$AV$8</definedName>
    <definedName name="TYPE2">'[3]19.2.22'!$AV$7:$AV$9</definedName>
    <definedName name="TYPE3">'[3]20.2.22'!$AV$7:$AV$9</definedName>
    <definedName name="TYPE4">'[3]19.2.22'!$AV$7:$AV$9</definedName>
    <definedName name="uuu">#REF!</definedName>
    <definedName name="Values_Entered">IF(Loan_Amount*Interest_Rate*Loan_Years*Loan_Start&gt;0,1,0)</definedName>
    <definedName name="vkhfkgf">#REF!</definedName>
    <definedName name="wert">#REF!</definedName>
    <definedName name="xdfrg">#REF!</definedName>
    <definedName name="y">#REF!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>#REF!</definedName>
    <definedName name="yyyyy">#REF!</definedName>
    <definedName name="zx">#REF!</definedName>
    <definedName name="zxz">#REF!</definedName>
    <definedName name="aa" localSheetId="0">#REF!</definedName>
    <definedName name="aaa" localSheetId="0">#REF!</definedName>
    <definedName name="aaaaaaa" localSheetId="0">#REF!</definedName>
    <definedName name="Last_Row" localSheetId="0">IF('7-MTL'!Values_Entered,Header_Row+'7-MTL'!Number_of_Payments,Header_Row)</definedName>
    <definedName name="Loan_Amount" localSheetId="0">#REF!</definedName>
    <definedName name="Loan_Start" localSheetId="0">#REF!</definedName>
    <definedName name="Loan_Years" localSheetId="0">#REF!</definedName>
    <definedName name="Number_of_Payments" localSheetId="0">MATCH(0.01,End_Bal,-1)+1</definedName>
    <definedName name="Payment_Date" localSheetId="0">DATE(YEAR('7-MTL'!Loan_Start),MONTH('7-MTL'!Loan_Start)+Payment_Number,DAY('7-MTL'!Loan_Start))</definedName>
    <definedName name="Princ" localSheetId="0">#REF!</definedName>
    <definedName name="Print_Area_Reset" localSheetId="0">OFFSET(Full_Print,0,0,'7-MTL'!Last_Row)</definedName>
    <definedName name="s" localSheetId="0">#REF!</definedName>
    <definedName name="Total_Payment" localSheetId="0">Scheduled_Payment+Extra_Payment</definedName>
    <definedName name="Values_Entered" localSheetId="0">IF('7-MTL'!Loan_Amount*Interest_Rate*'7-MTL'!Loan_Years*'7-MTL'!Loan_Start&gt;0,1,0)</definedName>
    <definedName name="vkhfkgf" localSheetId="0">#REF!</definedName>
    <definedName name="_xlnm._FilterDatabase" localSheetId="0" hidden="1">'7-MTL'!$A$3:$DL$36</definedName>
    <definedName name="_xlnm._FilterDatabase" localSheetId="2" hidden="1">'Ws Semi Ws '!$A$3:$CB$52</definedName>
    <definedName name="aa" localSheetId="4">#REF!</definedName>
    <definedName name="aaa" localSheetId="4">#REF!</definedName>
    <definedName name="asd" localSheetId="4">'[1]Market ( Mar) '!#REF!</definedName>
    <definedName name="atr" localSheetId="4">#REF!</definedName>
    <definedName name="b" localSheetId="4">#REF!</definedName>
    <definedName name="bb" localSheetId="4">#REF!</definedName>
    <definedName name="Beg_Bal" localSheetId="4">#REF!</definedName>
    <definedName name="Cash_Cr" localSheetId="4">#REF!</definedName>
    <definedName name="Cash_Dr" localSheetId="4">#REF!</definedName>
    <definedName name="cc" localSheetId="4">#REF!</definedName>
    <definedName name="ccc" localSheetId="4">#REF!</definedName>
    <definedName name="cr" localSheetId="4">#REF!</definedName>
    <definedName name="crs" localSheetId="4">#REF!</definedName>
    <definedName name="Data" localSheetId="4">#REF!</definedName>
    <definedName name="dd" localSheetId="4">#REF!</definedName>
    <definedName name="ddd" localSheetId="4">#REF!</definedName>
    <definedName name="dr" localSheetId="4">#REF!</definedName>
    <definedName name="drs" localSheetId="4">#REF!</definedName>
    <definedName name="End_Bal" localSheetId="4">#REF!</definedName>
    <definedName name="Extra_Pay" localSheetId="4">#REF!</definedName>
    <definedName name="fgf" localSheetId="4">#REF!</definedName>
    <definedName name="fgjhj" localSheetId="4">#REF!</definedName>
    <definedName name="Full_Print" localSheetId="4">#REF!</definedName>
    <definedName name="hjj" localSheetId="4">#REF!</definedName>
    <definedName name="hjkjk" localSheetId="4">#REF!</definedName>
    <definedName name="hmjhj" localSheetId="4">#REF!</definedName>
    <definedName name="Int" localSheetId="4">#REF!</definedName>
    <definedName name="Interest_Rate" localSheetId="4">#REF!</definedName>
    <definedName name="jbkjkl" localSheetId="4">#REF!</definedName>
    <definedName name="kdt" localSheetId="4">#REF!</definedName>
    <definedName name="Last_Row" localSheetId="4">IF('MTL Individual'!Values_Entered,Header_Row+'MTL Individual'!Number_of_Payments,Header_Row)</definedName>
    <definedName name="Loan_Amount" localSheetId="4">#REF!</definedName>
    <definedName name="Loan_Start" localSheetId="4">#REF!</definedName>
    <definedName name="Loan_Years" localSheetId="4">#REF!</definedName>
    <definedName name="LSO" localSheetId="4">#REF!</definedName>
    <definedName name="lsoq" localSheetId="4">#REF!</definedName>
    <definedName name="mms" localSheetId="4">#REF!</definedName>
    <definedName name="neew" localSheetId="4">#REF!</definedName>
    <definedName name="New" localSheetId="4">#REF!</definedName>
    <definedName name="Num_Pmt_Per_Year" localSheetId="4">#REF!</definedName>
    <definedName name="Number_of_Payments" localSheetId="4">MATCH(0.01,'MTL Individual'!End_Bal,-1)+1</definedName>
    <definedName name="Opening_Cr" localSheetId="4">#REF!</definedName>
    <definedName name="Opening_Dr" localSheetId="4">#REF!</definedName>
    <definedName name="Pay_Date" localSheetId="4">#REF!</definedName>
    <definedName name="Pay_Num" localSheetId="4">#REF!</definedName>
    <definedName name="Payment_Date" localSheetId="4">DATE(YEAR('MTL Individual'!Loan_Start),MONTH('MTL Individual'!Loan_Start)+Payment_Number,DAY('MTL Individual'!Loan_Start))</definedName>
    <definedName name="Princ" localSheetId="4">#REF!</definedName>
    <definedName name="Print_Area_Reset" localSheetId="4">OFFSET('MTL Individual'!Full_Print,0,0,'MTL Individual'!Last_Row)</definedName>
    <definedName name="s" localSheetId="4">#REF!</definedName>
    <definedName name="Sched_Pay" localSheetId="4">#REF!</definedName>
    <definedName name="Scheduled_Extra_Payments" localSheetId="4">#REF!</definedName>
    <definedName name="Scheduled_Interest_Rate" localSheetId="4">#REF!</definedName>
    <definedName name="Scheduled_Monthly_Payment" localSheetId="4">#REF!</definedName>
    <definedName name="smm" localSheetId="4">#REF!</definedName>
    <definedName name="smmm" localSheetId="4">'[1]Market ( Mar) '!#REF!</definedName>
    <definedName name="tdk" localSheetId="4">#REF!</definedName>
    <definedName name="Total_Interest" localSheetId="4">#REF!</definedName>
    <definedName name="Total_Pay" localSheetId="4">#REF!</definedName>
    <definedName name="Total_Payment" localSheetId="4">Scheduled_Payment+Extra_Payment</definedName>
    <definedName name="TYPE1" localSheetId="4">'[2]1.2.22'!$AV$7:$AV$8</definedName>
    <definedName name="TYPE2" localSheetId="4">'[2]19.2.22'!$AV$7:$AV$9</definedName>
    <definedName name="TYPE3" localSheetId="4">'[2]20.2.22'!$AV$7:$AV$9</definedName>
    <definedName name="TYPE4" localSheetId="4">'[2]19.2.22'!$AV$7:$AV$9</definedName>
    <definedName name="Values_Entered" localSheetId="4">IF('MTL Individual'!Loan_Amount*'MTL Individual'!Interest_Rate*'MTL Individual'!Loan_Years*'MTL Individual'!Loan_Start&gt;0,1,0)</definedName>
    <definedName name="vkhfkgf" localSheetId="4">#REF!</definedName>
    <definedName name="yhhg123" localSheetId="4">IF('MTL Individual'!Values_Entered,Header_Row+'MTL Individual'!Number_of_Payments,Header_Row)</definedName>
    <definedName name="_xlnm._FilterDatabase" localSheetId="4" hidden="1">'MTL Individual'!$A$3:$DR$52</definedName>
    <definedName name="aa" localSheetId="6">#REF!</definedName>
    <definedName name="aaa" localSheetId="6">#REF!</definedName>
    <definedName name="aaaaa" localSheetId="6">#REF!</definedName>
    <definedName name="aaaaaaa" localSheetId="6">#REF!</definedName>
    <definedName name="asd" localSheetId="6">'[1]Market ( Mar) '!#REF!</definedName>
    <definedName name="atr" localSheetId="6">#REF!</definedName>
    <definedName name="b" localSheetId="6">#REF!</definedName>
    <definedName name="bb" localSheetId="6">#REF!</definedName>
    <definedName name="Beg_Bal" localSheetId="6">#REF!</definedName>
    <definedName name="Cash_Cr" localSheetId="6">#REF!</definedName>
    <definedName name="Cash_Dr" localSheetId="6">#REF!</definedName>
    <definedName name="cc" localSheetId="6">#REF!</definedName>
    <definedName name="ccc" localSheetId="6">#REF!</definedName>
    <definedName name="cr" localSheetId="6">#REF!</definedName>
    <definedName name="crs" localSheetId="6">#REF!</definedName>
    <definedName name="cvvvv" localSheetId="6">#REF!</definedName>
    <definedName name="Data" localSheetId="6">#REF!</definedName>
    <definedName name="dd" localSheetId="6">#REF!</definedName>
    <definedName name="ddd" localSheetId="6">#REF!</definedName>
    <definedName name="dr" localSheetId="6">#REF!</definedName>
    <definedName name="drs" localSheetId="6">#REF!</definedName>
    <definedName name="dsfas" localSheetId="6">#REF!</definedName>
    <definedName name="eeee" localSheetId="6">#REF!</definedName>
    <definedName name="End_Bal" localSheetId="6">#REF!</definedName>
    <definedName name="Extra_Pay" localSheetId="6">#REF!</definedName>
    <definedName name="fgf" localSheetId="6">#REF!</definedName>
    <definedName name="fgjhj" localSheetId="6">#REF!</definedName>
    <definedName name="Full_Print" localSheetId="6">#REF!</definedName>
    <definedName name="Header_Row" localSheetId="6">ROW(#REF!)</definedName>
    <definedName name="hjj" localSheetId="6">#REF!</definedName>
    <definedName name="hjkjk" localSheetId="6">#REF!</definedName>
    <definedName name="hmjhj" localSheetId="6">#REF!</definedName>
    <definedName name="ii" localSheetId="6">#REF!</definedName>
    <definedName name="III" localSheetId="6">#REF!</definedName>
    <definedName name="Int" localSheetId="6">#REF!</definedName>
    <definedName name="Interest_Rate" localSheetId="6">#REF!</definedName>
    <definedName name="jbkjkl" localSheetId="6">#REF!</definedName>
    <definedName name="Journal_Cr" localSheetId="6">#REF!</definedName>
    <definedName name="Journal_Dr" localSheetId="6">#REF!</definedName>
    <definedName name="kdt" localSheetId="6">#REF!</definedName>
    <definedName name="Last_Row" localSheetId="6">IF('Township wise Analysis'!Values_Entered,'Township wise Analysis'!Header_Row+'Township wise Analysis'!Number_of_Payments,'Township wise Analysis'!Header_Row)</definedName>
    <definedName name="Loan_Amount" localSheetId="6">#REF!</definedName>
    <definedName name="Loan_Start" localSheetId="6">#REF!</definedName>
    <definedName name="Loan_Years" localSheetId="6">#REF!</definedName>
    <definedName name="LSO" localSheetId="6">#REF!</definedName>
    <definedName name="lsoq" localSheetId="6">#REF!</definedName>
    <definedName name="mms" localSheetId="6">#REF!</definedName>
    <definedName name="neew" localSheetId="6">#REF!</definedName>
    <definedName name="New" localSheetId="6">#REF!</definedName>
    <definedName name="NOV" localSheetId="6">#REF!</definedName>
    <definedName name="Num_Pmt_Per_Year" localSheetId="6">#REF!</definedName>
    <definedName name="Number_of_Payments" localSheetId="6">MATCH(0.01,'Township wise Analysis'!End_Bal,-1)+1</definedName>
    <definedName name="Opening_Cr" localSheetId="6">#REF!</definedName>
    <definedName name="Opening_Dr" localSheetId="6">#REF!</definedName>
    <definedName name="Pay_Date" localSheetId="6">#REF!</definedName>
    <definedName name="Pay_Num" localSheetId="6">#REF!</definedName>
    <definedName name="Payment_Date" localSheetId="6">DATE(YEAR('Township wise Analysis'!Loan_Start),MONTH('Township wise Analysis'!Loan_Start)+Payment_Number,DAY('Township wise Analysis'!Loan_Start))</definedName>
    <definedName name="Princ" localSheetId="6">#REF!</definedName>
    <definedName name="Print_Area_Reset" localSheetId="6">OFFSET('Township wise Analysis'!Full_Print,0,0,'Township wise Analysis'!Last_Row)</definedName>
    <definedName name="qqqqqq" localSheetId="6">#REF!</definedName>
    <definedName name="s" localSheetId="6">#REF!</definedName>
    <definedName name="Sched_Pay" localSheetId="6">#REF!</definedName>
    <definedName name="Scheduled_Extra_Payments" localSheetId="6">#REF!</definedName>
    <definedName name="Scheduled_Interest_Rate" localSheetId="6">#REF!</definedName>
    <definedName name="Scheduled_Monthly_Payment" localSheetId="6">#REF!</definedName>
    <definedName name="smm" localSheetId="6">#REF!</definedName>
    <definedName name="smmm" localSheetId="6">'[1]Market ( Mar) '!#REF!</definedName>
    <definedName name="tdk" localSheetId="6">#REF!</definedName>
    <definedName name="Total_Interest" localSheetId="6">#REF!</definedName>
    <definedName name="Total_Pay" localSheetId="6">#REF!</definedName>
    <definedName name="Total_Payment" localSheetId="6">Scheduled_Payment+Extra_Payment</definedName>
    <definedName name="TYPE1" localSheetId="6">'[2]1.2.22'!$AV$7:$AV$8</definedName>
    <definedName name="TYPE2" localSheetId="6">'[2]19.2.22'!$AV$7:$AV$9</definedName>
    <definedName name="TYPE3" localSheetId="6">'[2]20.2.22'!$AV$7:$AV$9</definedName>
    <definedName name="TYPE4" localSheetId="6">'[2]19.2.22'!$AV$7:$AV$9</definedName>
    <definedName name="uuu" localSheetId="6">#REF!</definedName>
    <definedName name="Values_Entered" localSheetId="6">IF('Township wise Analysis'!Loan_Amount*'Township wise Analysis'!Interest_Rate*'Township wise Analysis'!Loan_Years*'Township wise Analysis'!Loan_Start&gt;0,1,0)</definedName>
    <definedName name="vkhfkgf" localSheetId="6">#REF!</definedName>
    <definedName name="xdfrg" localSheetId="6">#REF!</definedName>
    <definedName name="y" localSheetId="6">#REF!</definedName>
    <definedName name="yhhg123" localSheetId="6">IF([4]!Values_Entered,Header_Row+[4]!Number_of_Payments,Header_Row)</definedName>
    <definedName name="yy" localSheetId="6">#REF!</definedName>
    <definedName name="yyyyy" localSheetId="6">#REF!</definedName>
    <definedName name="zx" localSheetId="6">#REF!</definedName>
    <definedName name="zxz" localSheetId="6">#REF!</definedName>
    <definedName name="_xlnm._FilterDatabase" localSheetId="7" hidden="1">'Final Town SKU wise Analysis'!$A$2:$AZ$61</definedName>
    <definedName name="aa" localSheetId="11">#REF!</definedName>
    <definedName name="aaa" localSheetId="11">#REF!</definedName>
    <definedName name="asd" localSheetId="11">'[1]Market ( Mar) '!#REF!</definedName>
    <definedName name="atr" localSheetId="11">#REF!</definedName>
    <definedName name="b" localSheetId="11">#REF!</definedName>
    <definedName name="bb" localSheetId="11">#REF!</definedName>
    <definedName name="Beg_Bal" localSheetId="11">#REF!</definedName>
    <definedName name="Cash_Cr" localSheetId="11">#REF!</definedName>
    <definedName name="Cash_Dr" localSheetId="11">#REF!</definedName>
    <definedName name="cc" localSheetId="11">#REF!</definedName>
    <definedName name="ccc" localSheetId="11">#REF!</definedName>
    <definedName name="cr" localSheetId="11">#REF!</definedName>
    <definedName name="crs" localSheetId="11">#REF!</definedName>
    <definedName name="Data" localSheetId="11">#REF!</definedName>
    <definedName name="dd" localSheetId="11">#REF!</definedName>
    <definedName name="ddd" localSheetId="11">#REF!</definedName>
    <definedName name="dr" localSheetId="11">#REF!</definedName>
    <definedName name="drs" localSheetId="11">#REF!</definedName>
    <definedName name="End_Bal" localSheetId="11">#REF!</definedName>
    <definedName name="Extra_Pay" localSheetId="11">#REF!</definedName>
    <definedName name="fgf" localSheetId="11">#REF!</definedName>
    <definedName name="fgjhj" localSheetId="11">#REF!</definedName>
    <definedName name="Full_Print" localSheetId="11">#REF!</definedName>
    <definedName name="hjj" localSheetId="11">#REF!</definedName>
    <definedName name="hjkjk" localSheetId="11">#REF!</definedName>
    <definedName name="hmjhj" localSheetId="11">#REF!</definedName>
    <definedName name="Int" localSheetId="11">#REF!</definedName>
    <definedName name="Interest_Rate" localSheetId="11">#REF!</definedName>
    <definedName name="jbkjkl" localSheetId="11">#REF!</definedName>
    <definedName name="kdt" localSheetId="11">#REF!</definedName>
    <definedName name="Last_Row" localSheetId="11">IF('3-Van Wise SKU'!Values_Entered,Header_Row+'3-Van Wise SKU'!Number_of_Payments,Header_Row)</definedName>
    <definedName name="Loan_Amount" localSheetId="11">#REF!</definedName>
    <definedName name="Loan_Start" localSheetId="11">#REF!</definedName>
    <definedName name="Loan_Years" localSheetId="11">#REF!</definedName>
    <definedName name="LSO" localSheetId="11">#REF!</definedName>
    <definedName name="lsoq" localSheetId="11">#REF!</definedName>
    <definedName name="mms" localSheetId="11">#REF!</definedName>
    <definedName name="neew" localSheetId="11">#REF!</definedName>
    <definedName name="New" localSheetId="11">#REF!</definedName>
    <definedName name="Num_Pmt_Per_Year" localSheetId="11">#REF!</definedName>
    <definedName name="Number_of_Payments" localSheetId="11">MATCH(0.01,'3-Van Wise SKU'!End_Bal,-1)+1</definedName>
    <definedName name="Opening_Cr" localSheetId="11">#REF!</definedName>
    <definedName name="Opening_Dr" localSheetId="11">#REF!</definedName>
    <definedName name="Pay_Date" localSheetId="11">#REF!</definedName>
    <definedName name="Pay_Num" localSheetId="11">#REF!</definedName>
    <definedName name="Payment_Date" localSheetId="11">DATE(YEAR('3-Van Wise SKU'!Loan_Start),MONTH('3-Van Wise SKU'!Loan_Start)+Payment_Number,DAY('3-Van Wise SKU'!Loan_Start))</definedName>
    <definedName name="Princ" localSheetId="11">#REF!</definedName>
    <definedName name="Print_Area_Reset" localSheetId="11">OFFSET('3-Van Wise SKU'!Full_Print,0,0,'3-Van Wise SKU'!Last_Row)</definedName>
    <definedName name="s" localSheetId="11">#REF!</definedName>
    <definedName name="Sched_Pay" localSheetId="11">#REF!</definedName>
    <definedName name="Scheduled_Extra_Payments" localSheetId="11">#REF!</definedName>
    <definedName name="Scheduled_Interest_Rate" localSheetId="11">#REF!</definedName>
    <definedName name="Scheduled_Monthly_Payment" localSheetId="11">#REF!</definedName>
    <definedName name="smm" localSheetId="11">'[1]Market ( Mar) '!#REF!</definedName>
    <definedName name="smmm" localSheetId="11">'[1]Market ( Mar) '!#REF!</definedName>
    <definedName name="tdk" localSheetId="11">#REF!</definedName>
    <definedName name="Total_Interest" localSheetId="11">#REF!</definedName>
    <definedName name="Total_Pay" localSheetId="11">#REF!</definedName>
    <definedName name="Total_Payment" localSheetId="11">Scheduled_Payment+Extra_Payment</definedName>
    <definedName name="Values_Entered" localSheetId="11">IF('3-Van Wise SKU'!Loan_Amount*'3-Van Wise SKU'!Interest_Rate*'3-Van Wise SKU'!Loan_Years*'3-Van Wise SKU'!Loan_Start&gt;0,1,0)</definedName>
    <definedName name="vkhfkgf" localSheetId="11">#REF!</definedName>
    <definedName name="yhhg123" localSheetId="11">IF(Values_Entered,Header_Row+Number_of_Payments,Header_Row)</definedName>
    <definedName name="aa" localSheetId="14">#REF!</definedName>
    <definedName name="aaa" localSheetId="14">#REF!</definedName>
    <definedName name="aaaaa" localSheetId="14">#REF!</definedName>
    <definedName name="aaaaaaa" localSheetId="14">#REF!</definedName>
    <definedName name="asd" localSheetId="14">'[1]Market ( Mar) '!#REF!</definedName>
    <definedName name="atr" localSheetId="14">#REF!</definedName>
    <definedName name="b" localSheetId="14">#REF!</definedName>
    <definedName name="bb" localSheetId="14">#REF!</definedName>
    <definedName name="Beg_Bal" localSheetId="14">#REF!</definedName>
    <definedName name="Cash_Cr" localSheetId="14">#REF!</definedName>
    <definedName name="Cash_Dr" localSheetId="14">#REF!</definedName>
    <definedName name="cc" localSheetId="14">#REF!</definedName>
    <definedName name="ccc" localSheetId="14">#REF!</definedName>
    <definedName name="cr" localSheetId="14">#REF!</definedName>
    <definedName name="crs" localSheetId="14">#REF!</definedName>
    <definedName name="cvvvv" localSheetId="14">#REF!</definedName>
    <definedName name="Data" localSheetId="14">#REF!</definedName>
    <definedName name="dd" localSheetId="14">#REF!</definedName>
    <definedName name="ddd" localSheetId="14">#REF!</definedName>
    <definedName name="dr" localSheetId="14">#REF!</definedName>
    <definedName name="drs" localSheetId="14">#REF!</definedName>
    <definedName name="dsfas" localSheetId="14">#REF!</definedName>
    <definedName name="eeee" localSheetId="14">#REF!</definedName>
    <definedName name="End_Bal" localSheetId="14">#REF!</definedName>
    <definedName name="Extra_Pay" localSheetId="14">#REF!</definedName>
    <definedName name="fgf" localSheetId="14">#REF!</definedName>
    <definedName name="fgjhj" localSheetId="14">#REF!</definedName>
    <definedName name="Full_Print" localSheetId="14">#REF!</definedName>
    <definedName name="hjj" localSheetId="14">#REF!</definedName>
    <definedName name="hjkjk" localSheetId="14">#REF!</definedName>
    <definedName name="hmjhj" localSheetId="14">#REF!</definedName>
    <definedName name="ii" localSheetId="14">#REF!</definedName>
    <definedName name="III" localSheetId="14">#REF!</definedName>
    <definedName name="Int" localSheetId="14">#REF!</definedName>
    <definedName name="Interest_Rate" localSheetId="14">#REF!</definedName>
    <definedName name="jbkjkl" localSheetId="14">#REF!</definedName>
    <definedName name="Journal_Cr" localSheetId="14">#REF!</definedName>
    <definedName name="Journal_Dr" localSheetId="14">#REF!</definedName>
    <definedName name="kdt" localSheetId="14">#REF!</definedName>
    <definedName name="Last_Row" localSheetId="14">IF(Meiktila!Values_Entered,Header_Row+Meiktila!Number_of_Payments,Header_Row)</definedName>
    <definedName name="Loan_Amount" localSheetId="14">#REF!</definedName>
    <definedName name="Loan_Start" localSheetId="14">#REF!</definedName>
    <definedName name="Loan_Years" localSheetId="14">#REF!</definedName>
    <definedName name="LSO" localSheetId="14">#REF!</definedName>
    <definedName name="lsoq" localSheetId="14">#REF!</definedName>
    <definedName name="mms" localSheetId="14">#REF!</definedName>
    <definedName name="neew" localSheetId="14">#REF!</definedName>
    <definedName name="New" localSheetId="14">#REF!</definedName>
    <definedName name="NOV" localSheetId="14">#REF!</definedName>
    <definedName name="Num_Pmt_Per_Year" localSheetId="14">#REF!</definedName>
    <definedName name="Number_of_Payments" localSheetId="14">MATCH(0.01,Meiktila!End_Bal,-1)+1</definedName>
    <definedName name="Opening_Cr" localSheetId="14">#REF!</definedName>
    <definedName name="Opening_Dr" localSheetId="14">#REF!</definedName>
    <definedName name="Pay_Date" localSheetId="14">#REF!</definedName>
    <definedName name="Pay_Num" localSheetId="14">#REF!</definedName>
    <definedName name="Payment_Date" localSheetId="14">DATE(YEAR(Meiktila!Loan_Start),MONTH(Meiktila!Loan_Start)+Payment_Number,DAY(Meiktila!Loan_Start))</definedName>
    <definedName name="Princ" localSheetId="14">#REF!</definedName>
    <definedName name="Print_Area_Reset" localSheetId="14">OFFSET(Meiktila!Full_Print,0,0,Meiktila!Last_Row)</definedName>
    <definedName name="qqqqqq" localSheetId="14">#REF!</definedName>
    <definedName name="s" localSheetId="14">#REF!</definedName>
    <definedName name="Sched_Pay" localSheetId="14">#REF!</definedName>
    <definedName name="Scheduled_Extra_Payments" localSheetId="14">#REF!</definedName>
    <definedName name="Scheduled_Interest_Rate" localSheetId="14">#REF!</definedName>
    <definedName name="Scheduled_Monthly_Payment" localSheetId="14">#REF!</definedName>
    <definedName name="smm" localSheetId="14">#REF!</definedName>
    <definedName name="smmm" localSheetId="14">'[1]Market ( Mar) '!#REF!</definedName>
    <definedName name="tdk" localSheetId="14">#REF!</definedName>
    <definedName name="Total_Interest" localSheetId="14">#REF!</definedName>
    <definedName name="Total_Pay" localSheetId="14">#REF!</definedName>
    <definedName name="Total_Payment" localSheetId="14">Scheduled_Payment+Extra_Payment</definedName>
    <definedName name="TYPE1" localSheetId="14">'[2]1.2.22'!$AV$7:$AV$8</definedName>
    <definedName name="TYPE2" localSheetId="14">'[2]19.2.22'!$AV$7:$AV$9</definedName>
    <definedName name="TYPE3" localSheetId="14">'[2]20.2.22'!$AV$7:$AV$9</definedName>
    <definedName name="TYPE4" localSheetId="14">'[2]19.2.22'!$AV$7:$AV$9</definedName>
    <definedName name="uuu" localSheetId="14">#REF!</definedName>
    <definedName name="Values_Entered" localSheetId="14">IF(Meiktila!Loan_Amount*Meiktila!Interest_Rate*Meiktila!Loan_Years*Meiktila!Loan_Start&gt;0,1,0)</definedName>
    <definedName name="vkhfkgf" localSheetId="14">#REF!</definedName>
    <definedName name="xdfrg" localSheetId="14">#REF!</definedName>
    <definedName name="y" localSheetId="14">#REF!</definedName>
    <definedName name="yhhg123" localSheetId="14">IF([4]!Values_Entered,Header_Row+[4]!Number_of_Payments,Header_Row)</definedName>
    <definedName name="yy" localSheetId="14">#REF!</definedName>
    <definedName name="yyyyy" localSheetId="14">#REF!</definedName>
    <definedName name="zx" localSheetId="14">#REF!</definedName>
    <definedName name="zxz" localSheetId="14">#REF!</definedName>
    <definedName name="_xlnm._FilterDatabase" localSheetId="21" hidden="1">'Taungthar'!$A$4:$AS$15</definedName>
    <definedName name="_xlnm._FilterDatabase" localSheetId="22" hidden="1">'Myingan'!$A$4:$AS$12</definedName>
    <definedName name="_xlnm._FilterDatabase" localSheetId="23" hidden="1">'Bagan'!$A$4:$AS$21</definedName>
    <definedName name="_xlnm._FilterDatabase" localSheetId="24" hidden="1">'Pakokku'!$A$4:$AS$14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[$-10000455]0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"/>
    <numFmt numFmtId="169" formatCode="_-* #,##0_-;\-* #,##0_-;_-* &quot;-&quot;_-;_-@_-"/>
    <numFmt numFmtId="170" formatCode="_(* #,##0.0_);_(* \(#,##0.0\);_(* &quot;-&quot;??_);_(@_)"/>
    <numFmt numFmtId="171" formatCode="_-* #,##0.0_-;\-* #,##0.0_-;_-* &quot;-&quot;??_-;_-@_-"/>
    <numFmt numFmtId="172" formatCode="0.0000"/>
    <numFmt numFmtId="173" formatCode="0.000"/>
  </numFmts>
  <fonts count="49">
    <font>
      <name val="Pyidaungsu"/>
      <family val="2"/>
      <color theme="1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Pyidaungsu"/>
      <family val="2"/>
      <b val="1"/>
      <color rgb="FFFF0000"/>
      <sz val="10"/>
    </font>
    <font>
      <name val="Pyidaungsu"/>
      <family val="2"/>
      <b val="1"/>
      <color theme="1"/>
      <sz val="10"/>
    </font>
    <font>
      <name val="Pyidaungsu"/>
      <family val="2"/>
      <color theme="1"/>
      <sz val="10"/>
    </font>
    <font>
      <name val="Pyidaungsu"/>
      <family val="2"/>
      <b val="1"/>
      <sz val="10"/>
    </font>
    <font>
      <name val="Zawgyi-One"/>
      <family val="2"/>
      <color theme="1"/>
      <sz val="11"/>
    </font>
    <font>
      <name val="Pyidaungsu"/>
      <family val="2"/>
      <sz val="10"/>
    </font>
    <font>
      <name val="Pyidaungsu"/>
      <family val="2"/>
      <color rgb="FFFF0000"/>
      <sz val="10"/>
    </font>
    <font>
      <name val="Pyidaungsu"/>
      <family val="2"/>
      <sz val="11"/>
    </font>
    <font>
      <name val="Pyidaungsu"/>
      <family val="2"/>
      <b val="1"/>
      <sz val="13"/>
    </font>
    <font>
      <name val="Pyidaungsu"/>
      <family val="2"/>
      <b val="1"/>
      <color rgb="FFFF0000"/>
      <sz val="13"/>
    </font>
    <font>
      <name val="Pyidaungsu"/>
      <family val="2"/>
      <sz val="13"/>
    </font>
    <font>
      <name val="Pyidaungsu"/>
      <family val="2"/>
      <b val="1"/>
      <sz val="11"/>
    </font>
    <font>
      <name val="Pyidaungsu"/>
      <family val="2"/>
      <color theme="1"/>
      <sz val="11"/>
    </font>
    <font>
      <name val="Pyidaungsu"/>
      <family val="2"/>
      <color theme="1"/>
      <sz val="13"/>
    </font>
    <font>
      <name val="Pyidaungsu"/>
      <family val="2"/>
      <b val="1"/>
      <color theme="1"/>
      <sz val="11"/>
    </font>
    <font>
      <name val="Pyidaungsu"/>
      <family val="2"/>
      <b val="1"/>
      <color rgb="FFC00000"/>
      <sz val="10"/>
    </font>
    <font>
      <name val="Aptos Narrow"/>
      <family val="2"/>
      <color theme="1"/>
      <sz val="13"/>
      <scheme val="minor"/>
    </font>
    <font>
      <name val="Pyidaungsu"/>
      <family val="2"/>
      <b val="1"/>
      <color rgb="FF0070C0"/>
      <sz val="11"/>
    </font>
    <font>
      <name val="Pyidaungsu"/>
      <family val="2"/>
      <b val="1"/>
      <color rgb="FF0070C0"/>
      <sz val="10"/>
    </font>
    <font>
      <name val="Pyidaungsu"/>
      <family val="2"/>
      <b val="1"/>
      <color rgb="FFFF0000"/>
      <sz val="11"/>
    </font>
    <font>
      <name val="Pyidaungsu"/>
      <family val="2"/>
      <color rgb="FFFF0000"/>
      <sz val="11"/>
    </font>
    <font>
      <name val="Pyidaungsu"/>
      <family val="2"/>
      <b val="1"/>
      <sz val="12"/>
    </font>
    <font>
      <name val="Aptos Narrow"/>
      <family val="2"/>
      <color theme="1"/>
      <sz val="12"/>
      <scheme val="minor"/>
    </font>
    <font>
      <name val="Pyidaungsu"/>
      <family val="2"/>
      <b val="1"/>
      <color rgb="FF0000FF"/>
      <sz val="10"/>
    </font>
    <font>
      <name val="Pyidaungsu"/>
      <family val="2"/>
      <b val="1"/>
      <color theme="1"/>
      <sz val="14"/>
    </font>
    <font>
      <name val="Pyidaungsu"/>
      <family val="2"/>
      <color theme="1"/>
      <sz val="11"/>
      <u val="single"/>
    </font>
    <font>
      <name val="Aptos Narrow"/>
      <family val="2"/>
      <color theme="1"/>
      <sz val="10"/>
      <scheme val="minor"/>
    </font>
    <font>
      <name val="Aptos Narrow"/>
      <family val="2"/>
      <color rgb="FFFF0000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FF0000"/>
      <sz val="10"/>
      <scheme val="minor"/>
    </font>
    <font>
      <name val="Pyidaungsu"/>
      <family val="2"/>
      <b val="1"/>
      <color theme="1"/>
      <sz val="12"/>
    </font>
    <font>
      <name val="Aptos Narrow"/>
      <family val="2"/>
      <color rgb="FF9C0006"/>
      <sz val="11"/>
      <scheme val="minor"/>
    </font>
    <font>
      <name val="Aptos Narrow"/>
      <family val="2"/>
      <color rgb="FFFF0000"/>
      <sz val="11"/>
      <scheme val="minor"/>
    </font>
    <font>
      <name val="Pyidaungsu"/>
      <family val="2"/>
      <b val="1"/>
      <color rgb="FFFF0000"/>
      <sz val="12"/>
    </font>
    <font>
      <name val="Pyidaungsu"/>
      <family val="2"/>
      <b val="1"/>
      <color rgb="FF00B050"/>
      <sz val="12"/>
    </font>
    <font>
      <name val="Pyidaungsu"/>
      <family val="2"/>
      <b val="1"/>
      <color rgb="FF00B050"/>
      <sz val="11"/>
    </font>
    <font>
      <name val="Aptos Narrow"/>
      <family val="2"/>
      <b val="1"/>
      <color theme="1"/>
      <sz val="12"/>
      <scheme val="minor"/>
    </font>
    <font>
      <name val="Pyidaungsu"/>
      <family val="2"/>
      <b val="1"/>
      <color rgb="FF212121"/>
      <sz val="10"/>
    </font>
    <font>
      <name val="Pyidaungsu"/>
      <family val="2"/>
      <color theme="1"/>
      <sz val="12"/>
    </font>
    <font>
      <name val="Aptos Narrow"/>
      <family val="2"/>
      <b val="1"/>
      <color theme="1"/>
      <sz val="11"/>
      <scheme val="minor"/>
    </font>
  </fonts>
  <fills count="2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31">
    <xf numFmtId="0" fontId="21" fillId="0" borderId="0"/>
    <xf numFmtId="43" fontId="13" fillId="0" borderId="0"/>
    <xf numFmtId="0" fontId="8" fillId="0" borderId="0"/>
    <xf numFmtId="0" fontId="8" fillId="0" borderId="0"/>
    <xf numFmtId="43" fontId="8" fillId="0" borderId="0"/>
    <xf numFmtId="43" fontId="13" fillId="0" borderId="0"/>
    <xf numFmtId="43" fontId="8" fillId="0" borderId="0"/>
    <xf numFmtId="0" fontId="8" fillId="0" borderId="0"/>
    <xf numFmtId="43" fontId="8" fillId="0" borderId="0"/>
    <xf numFmtId="9" fontId="8" fillId="0" borderId="0"/>
    <xf numFmtId="43" fontId="8" fillId="0" borderId="0"/>
    <xf numFmtId="0" fontId="8" fillId="0" borderId="0"/>
    <xf numFmtId="43" fontId="8" fillId="0" borderId="0"/>
    <xf numFmtId="9" fontId="8" fillId="0" borderId="0"/>
    <xf numFmtId="0" fontId="8" fillId="0" borderId="0"/>
    <xf numFmtId="0" fontId="8" fillId="0" borderId="0"/>
    <xf numFmtId="9" fontId="21" fillId="0" borderId="0"/>
    <xf numFmtId="0" fontId="31" fillId="0" borderId="0"/>
    <xf numFmtId="169" fontId="31" fillId="0" borderId="0"/>
    <xf numFmtId="0" fontId="8" fillId="0" borderId="0"/>
    <xf numFmtId="0" fontId="8" fillId="0" borderId="0"/>
    <xf numFmtId="43" fontId="8" fillId="0" borderId="0"/>
    <xf numFmtId="0" fontId="40" fillId="20" borderId="0"/>
    <xf numFmtId="0" fontId="8" fillId="0" borderId="0"/>
    <xf numFmtId="43" fontId="8" fillId="0" borderId="0"/>
    <xf numFmtId="9" fontId="8" fillId="0" borderId="0"/>
    <xf numFmtId="0" fontId="8" fillId="0" borderId="0"/>
    <xf numFmtId="0" fontId="8" fillId="0" borderId="0"/>
    <xf numFmtId="0" fontId="8" fillId="21" borderId="0"/>
    <xf numFmtId="43" fontId="8" fillId="0" borderId="0"/>
    <xf numFmtId="9" fontId="8" fillId="0" borderId="0"/>
  </cellStyleXfs>
  <cellXfs count="1309">
    <xf numFmtId="0" fontId="0" fillId="0" borderId="0" pivotButton="0" quotePrefix="0" xfId="0"/>
    <xf numFmtId="0" fontId="11" fillId="0" borderId="0" pivotButton="0" quotePrefix="0" xfId="2"/>
    <xf numFmtId="17" fontId="10" fillId="0" borderId="3" applyAlignment="1" pivotButton="0" quotePrefix="0" xfId="2">
      <alignment horizontal="center"/>
    </xf>
    <xf numFmtId="17" fontId="9" fillId="0" borderId="3" applyAlignment="1" pivotButton="0" quotePrefix="0" xfId="2">
      <alignment horizontal="center"/>
    </xf>
    <xf numFmtId="17" fontId="10" fillId="2" borderId="3" applyAlignment="1" pivotButton="0" quotePrefix="0" xfId="2">
      <alignment horizontal="center"/>
    </xf>
    <xf numFmtId="17" fontId="9" fillId="2" borderId="3" applyAlignment="1" pivotButton="0" quotePrefix="0" xfId="2">
      <alignment horizontal="center"/>
    </xf>
    <xf numFmtId="164" fontId="9" fillId="0" borderId="3" applyAlignment="1" pivotButton="0" quotePrefix="0" xfId="1">
      <alignment horizontal="center"/>
    </xf>
    <xf numFmtId="0" fontId="14" fillId="0" borderId="3" applyAlignment="1" pivotButton="0" quotePrefix="0" xfId="3">
      <alignment horizontal="center" vertical="center"/>
    </xf>
    <xf numFmtId="0" fontId="14" fillId="0" borderId="3" applyAlignment="1" pivotButton="0" quotePrefix="0" xfId="3">
      <alignment horizontal="left" vertical="center"/>
    </xf>
    <xf numFmtId="164" fontId="11" fillId="0" borderId="3" pivotButton="0" quotePrefix="0" xfId="1"/>
    <xf numFmtId="164" fontId="15" fillId="0" borderId="3" pivotButton="0" quotePrefix="0" xfId="1"/>
    <xf numFmtId="164" fontId="11" fillId="2" borderId="3" pivotButton="0" quotePrefix="0" xfId="1"/>
    <xf numFmtId="164" fontId="15" fillId="2" borderId="3" pivotButton="0" quotePrefix="0" xfId="1"/>
    <xf numFmtId="164" fontId="14" fillId="0" borderId="3" applyAlignment="1" pivotButton="0" quotePrefix="0" xfId="1">
      <alignment horizontal="center" vertical="center"/>
    </xf>
    <xf numFmtId="164" fontId="11" fillId="0" borderId="3" pivotButton="0" quotePrefix="0" xfId="4"/>
    <xf numFmtId="43" fontId="15" fillId="0" borderId="3" pivotButton="0" quotePrefix="0" xfId="4"/>
    <xf numFmtId="164" fontId="14" fillId="0" borderId="3" pivotButton="0" quotePrefix="0" xfId="4"/>
    <xf numFmtId="164" fontId="15" fillId="0" borderId="3" pivotButton="0" quotePrefix="0" xfId="4"/>
    <xf numFmtId="164" fontId="11" fillId="0" borderId="3" applyAlignment="1" pivotButton="0" quotePrefix="0" xfId="5">
      <alignment vertical="center"/>
    </xf>
    <xf numFmtId="164" fontId="14" fillId="0" borderId="3" pivotButton="0" quotePrefix="0" xfId="1"/>
    <xf numFmtId="0" fontId="11" fillId="0" borderId="3" applyAlignment="1" pivotButton="0" quotePrefix="0" xfId="2">
      <alignment vertical="center"/>
    </xf>
    <xf numFmtId="43" fontId="11" fillId="0" borderId="3" applyAlignment="1" pivotButton="0" quotePrefix="0" xfId="4">
      <alignment horizontal="center" vertical="center"/>
    </xf>
    <xf numFmtId="165" fontId="12" fillId="3" borderId="3" applyAlignment="1" pivotButton="0" quotePrefix="0" xfId="3">
      <alignment horizontal="center" vertical="center"/>
    </xf>
    <xf numFmtId="0" fontId="10" fillId="0" borderId="3" applyAlignment="1" pivotButton="0" quotePrefix="0" xfId="2">
      <alignment vertical="center"/>
    </xf>
    <xf numFmtId="0" fontId="9" fillId="0" borderId="3" applyAlignment="1" pivotButton="0" quotePrefix="0" xfId="3">
      <alignment vertical="center" wrapText="1"/>
    </xf>
    <xf numFmtId="43" fontId="10" fillId="0" borderId="3" applyAlignment="1" pivotButton="0" quotePrefix="0" xfId="4">
      <alignment horizontal="center" vertical="center"/>
    </xf>
    <xf numFmtId="164" fontId="12" fillId="3" borderId="3" pivotButton="0" quotePrefix="0" xfId="1"/>
    <xf numFmtId="164" fontId="9" fillId="3" borderId="3" pivotButton="0" quotePrefix="0" xfId="1"/>
    <xf numFmtId="164" fontId="12" fillId="2" borderId="3" pivotButton="0" quotePrefix="0" xfId="1"/>
    <xf numFmtId="164" fontId="9" fillId="2" borderId="3" pivotButton="0" quotePrefix="0" xfId="1"/>
    <xf numFmtId="43" fontId="11" fillId="0" borderId="3" applyAlignment="1" pivotButton="0" quotePrefix="0" xfId="6">
      <alignment horizontal="center" vertical="center"/>
    </xf>
    <xf numFmtId="1" fontId="11" fillId="0" borderId="3" applyAlignment="1" pivotButton="0" quotePrefix="0" xfId="6">
      <alignment horizontal="center" vertical="center"/>
    </xf>
    <xf numFmtId="0" fontId="11" fillId="0" borderId="3" applyAlignment="1" pivotButton="0" quotePrefix="0" xfId="2">
      <alignment horizontal="center" vertical="center"/>
    </xf>
    <xf numFmtId="0" fontId="11" fillId="0" borderId="1" applyAlignment="1" pivotButton="0" quotePrefix="0" xfId="2">
      <alignment vertical="center"/>
    </xf>
    <xf numFmtId="43" fontId="11" fillId="0" borderId="3" pivotButton="0" quotePrefix="0" xfId="4"/>
    <xf numFmtId="0" fontId="10" fillId="3" borderId="3" applyAlignment="1" pivotButton="0" quotePrefix="0" xfId="2">
      <alignment horizontal="center" vertical="center"/>
    </xf>
    <xf numFmtId="0" fontId="9" fillId="4" borderId="3" applyAlignment="1" pivotButton="0" quotePrefix="0" xfId="3">
      <alignment vertical="center"/>
    </xf>
    <xf numFmtId="164" fontId="10" fillId="5" borderId="3" pivotButton="0" quotePrefix="0" xfId="1"/>
    <xf numFmtId="164" fontId="9" fillId="5" borderId="3" pivotButton="0" quotePrefix="0" xfId="1"/>
    <xf numFmtId="164" fontId="10" fillId="2" borderId="3" pivotButton="0" quotePrefix="0" xfId="1"/>
    <xf numFmtId="0" fontId="11" fillId="0" borderId="0" applyAlignment="1" pivotButton="0" quotePrefix="0" xfId="2">
      <alignment horizontal="left" vertical="center"/>
    </xf>
    <xf numFmtId="164" fontId="15" fillId="0" borderId="0" pivotButton="0" quotePrefix="0" xfId="1"/>
    <xf numFmtId="0" fontId="15" fillId="0" borderId="0" pivotButton="0" quotePrefix="0" xfId="2"/>
    <xf numFmtId="164" fontId="11" fillId="0" borderId="0" pivotButton="0" quotePrefix="0" xfId="2"/>
    <xf numFmtId="164" fontId="15" fillId="0" borderId="0" pivotButton="0" quotePrefix="0" xfId="2"/>
    <xf numFmtId="165" fontId="11" fillId="0" borderId="0" pivotButton="0" quotePrefix="0" xfId="2"/>
    <xf numFmtId="165" fontId="15" fillId="0" borderId="0" pivotButton="0" quotePrefix="0" xfId="2"/>
    <xf numFmtId="0" fontId="11" fillId="0" borderId="3" pivotButton="0" quotePrefix="0" xfId="2"/>
    <xf numFmtId="0" fontId="10" fillId="7" borderId="3" applyAlignment="1" pivotButton="0" quotePrefix="0" xfId="2">
      <alignment horizontal="center"/>
    </xf>
    <xf numFmtId="0" fontId="10" fillId="6" borderId="3" pivotButton="0" quotePrefix="0" xfId="2"/>
    <xf numFmtId="17" fontId="12" fillId="6" borderId="3" applyAlignment="1" pivotButton="0" quotePrefix="0" xfId="2">
      <alignment horizontal="center"/>
    </xf>
    <xf numFmtId="0" fontId="10" fillId="6" borderId="3" applyAlignment="1" pivotButton="0" quotePrefix="0" xfId="2">
      <alignment horizontal="center"/>
    </xf>
    <xf numFmtId="2" fontId="11" fillId="0" borderId="0" pivotButton="0" quotePrefix="0" xfId="2"/>
    <xf numFmtId="165" fontId="14" fillId="0" borderId="2" applyAlignment="1" pivotButton="0" quotePrefix="0" xfId="3">
      <alignment horizontal="center" vertical="center"/>
    </xf>
    <xf numFmtId="0" fontId="11" fillId="0" borderId="2" applyAlignment="1" pivotButton="0" quotePrefix="0" xfId="2">
      <alignment vertical="center"/>
    </xf>
    <xf numFmtId="43" fontId="11" fillId="0" borderId="2" applyAlignment="1" pivotButton="0" quotePrefix="0" xfId="4">
      <alignment horizontal="center" vertical="center"/>
    </xf>
    <xf numFmtId="164" fontId="11" fillId="0" borderId="2" pivotButton="0" quotePrefix="0" xfId="1"/>
    <xf numFmtId="164" fontId="15" fillId="0" borderId="2" pivotButton="0" quotePrefix="0" xfId="1"/>
    <xf numFmtId="164" fontId="11" fillId="2" borderId="2" pivotButton="0" quotePrefix="0" xfId="1"/>
    <xf numFmtId="164" fontId="15" fillId="2" borderId="2" pivotButton="0" quotePrefix="0" xfId="1"/>
    <xf numFmtId="164" fontId="14" fillId="0" borderId="2" pivotButton="0" quotePrefix="0" xfId="1"/>
    <xf numFmtId="164" fontId="11" fillId="0" borderId="2" pivotButton="0" quotePrefix="0" xfId="4"/>
    <xf numFmtId="164" fontId="15" fillId="0" borderId="2" pivotButton="0" quotePrefix="0" xfId="4"/>
    <xf numFmtId="164" fontId="14" fillId="0" borderId="2" pivotButton="0" quotePrefix="0" xfId="4"/>
    <xf numFmtId="0" fontId="9" fillId="0" borderId="3" applyAlignment="1" pivotButton="0" quotePrefix="0" xfId="2">
      <alignment horizontal="center" vertical="center"/>
    </xf>
    <xf numFmtId="0" fontId="10" fillId="0" borderId="3" applyAlignment="1" pivotButton="0" quotePrefix="0" xfId="2">
      <alignment horizontal="center"/>
    </xf>
    <xf numFmtId="17" fontId="10" fillId="6" borderId="3" applyAlignment="1" pivotButton="0" quotePrefix="0" xfId="2">
      <alignment horizontal="center"/>
    </xf>
    <xf numFmtId="17" fontId="9" fillId="6" borderId="3" applyAlignment="1" pivotButton="0" quotePrefix="0" xfId="2">
      <alignment horizontal="center"/>
    </xf>
    <xf numFmtId="166" fontId="11" fillId="0" borderId="3" pivotButton="0" quotePrefix="0" xfId="2"/>
    <xf numFmtId="2" fontId="11" fillId="0" borderId="3" pivotButton="0" quotePrefix="0" xfId="2"/>
    <xf numFmtId="43" fontId="11" fillId="0" borderId="3" pivotButton="0" quotePrefix="0" xfId="2"/>
    <xf numFmtId="164" fontId="11" fillId="0" borderId="3" pivotButton="0" quotePrefix="0" xfId="2"/>
    <xf numFmtId="1" fontId="11" fillId="0" borderId="3" pivotButton="0" quotePrefix="0" xfId="2"/>
    <xf numFmtId="0" fontId="14" fillId="0" borderId="1" applyAlignment="1" pivotButton="0" quotePrefix="0" xfId="3">
      <alignment horizontal="center" vertical="center"/>
    </xf>
    <xf numFmtId="0" fontId="14" fillId="0" borderId="1" applyAlignment="1" pivotButton="0" quotePrefix="0" xfId="3">
      <alignment horizontal="left" vertical="center"/>
    </xf>
    <xf numFmtId="164" fontId="11" fillId="0" borderId="1" pivotButton="0" quotePrefix="0" xfId="1"/>
    <xf numFmtId="164" fontId="15" fillId="0" borderId="1" pivotButton="0" quotePrefix="0" xfId="1"/>
    <xf numFmtId="164" fontId="11" fillId="2" borderId="1" pivotButton="0" quotePrefix="0" xfId="1"/>
    <xf numFmtId="164" fontId="15" fillId="2" borderId="1" pivotButton="0" quotePrefix="0" xfId="1"/>
    <xf numFmtId="164" fontId="14" fillId="0" borderId="1" pivotButton="0" quotePrefix="0" xfId="1"/>
    <xf numFmtId="164" fontId="14" fillId="0" borderId="1" applyAlignment="1" pivotButton="0" quotePrefix="0" xfId="1">
      <alignment horizontal="center" vertical="center"/>
    </xf>
    <xf numFmtId="167" fontId="15" fillId="0" borderId="1" pivotButton="0" quotePrefix="0" xfId="1"/>
    <xf numFmtId="164" fontId="11" fillId="0" borderId="1" pivotButton="0" quotePrefix="0" xfId="4"/>
    <xf numFmtId="43" fontId="15" fillId="0" borderId="1" pivotButton="0" quotePrefix="0" xfId="4"/>
    <xf numFmtId="164" fontId="14" fillId="0" borderId="1" pivotButton="0" quotePrefix="0" xfId="4"/>
    <xf numFmtId="164" fontId="15" fillId="0" borderId="1" pivotButton="0" quotePrefix="0" xfId="4"/>
    <xf numFmtId="166" fontId="11" fillId="0" borderId="1" pivotButton="0" quotePrefix="0" xfId="2"/>
    <xf numFmtId="2" fontId="11" fillId="0" borderId="1" pivotButton="0" quotePrefix="0" xfId="2"/>
    <xf numFmtId="43" fontId="11" fillId="0" borderId="1" pivotButton="0" quotePrefix="0" xfId="2"/>
    <xf numFmtId="164" fontId="11" fillId="0" borderId="1" pivotButton="0" quotePrefix="0" xfId="2"/>
    <xf numFmtId="1" fontId="11" fillId="0" borderId="1" pivotButton="0" quotePrefix="0" xfId="2"/>
    <xf numFmtId="164" fontId="11" fillId="0" borderId="1" applyAlignment="1" pivotButton="0" quotePrefix="0" xfId="5">
      <alignment vertical="center"/>
    </xf>
    <xf numFmtId="0" fontId="14" fillId="0" borderId="2" applyAlignment="1" pivotButton="0" quotePrefix="0" xfId="3">
      <alignment horizontal="center" vertical="center"/>
    </xf>
    <xf numFmtId="0" fontId="14" fillId="0" borderId="2" applyAlignment="1" pivotButton="0" quotePrefix="0" xfId="3">
      <alignment horizontal="left" vertical="center"/>
    </xf>
    <xf numFmtId="164" fontId="14" fillId="0" borderId="2" applyAlignment="1" pivotButton="0" quotePrefix="0" xfId="1">
      <alignment horizontal="center" vertical="center"/>
    </xf>
    <xf numFmtId="43" fontId="15" fillId="0" borderId="2" pivotButton="0" quotePrefix="0" xfId="4"/>
    <xf numFmtId="166" fontId="11" fillId="0" borderId="2" pivotButton="0" quotePrefix="0" xfId="2"/>
    <xf numFmtId="2" fontId="11" fillId="0" borderId="2" pivotButton="0" quotePrefix="0" xfId="2"/>
    <xf numFmtId="43" fontId="11" fillId="0" borderId="2" pivotButton="0" quotePrefix="0" xfId="2"/>
    <xf numFmtId="164" fontId="11" fillId="0" borderId="2" pivotButton="0" quotePrefix="0" xfId="2"/>
    <xf numFmtId="1" fontId="11" fillId="0" borderId="2" pivotButton="0" quotePrefix="0" xfId="2"/>
    <xf numFmtId="0" fontId="14" fillId="0" borderId="4" applyAlignment="1" pivotButton="0" quotePrefix="0" xfId="3">
      <alignment horizontal="center" vertical="center"/>
    </xf>
    <xf numFmtId="0" fontId="14" fillId="0" borderId="4" applyAlignment="1" pivotButton="0" quotePrefix="0" xfId="3">
      <alignment horizontal="left" vertical="center"/>
    </xf>
    <xf numFmtId="164" fontId="11" fillId="0" borderId="4" pivotButton="0" quotePrefix="0" xfId="1"/>
    <xf numFmtId="164" fontId="15" fillId="0" borderId="4" pivotButton="0" quotePrefix="0" xfId="1"/>
    <xf numFmtId="164" fontId="11" fillId="2" borderId="4" pivotButton="0" quotePrefix="0" xfId="1"/>
    <xf numFmtId="164" fontId="15" fillId="2" borderId="4" pivotButton="0" quotePrefix="0" xfId="1"/>
    <xf numFmtId="164" fontId="14" fillId="0" borderId="4" pivotButton="0" quotePrefix="0" xfId="1"/>
    <xf numFmtId="164" fontId="14" fillId="0" borderId="4" applyAlignment="1" pivotButton="0" quotePrefix="0" xfId="1">
      <alignment horizontal="center" vertical="center"/>
    </xf>
    <xf numFmtId="164" fontId="11" fillId="0" borderId="4" pivotButton="0" quotePrefix="0" xfId="4"/>
    <xf numFmtId="43" fontId="15" fillId="0" borderId="4" pivotButton="0" quotePrefix="0" xfId="4"/>
    <xf numFmtId="164" fontId="14" fillId="0" borderId="4" pivotButton="0" quotePrefix="0" xfId="4"/>
    <xf numFmtId="164" fontId="15" fillId="0" borderId="4" pivotButton="0" quotePrefix="0" xfId="4"/>
    <xf numFmtId="166" fontId="11" fillId="0" borderId="4" pivotButton="0" quotePrefix="0" xfId="2"/>
    <xf numFmtId="2" fontId="11" fillId="0" borderId="4" pivotButton="0" quotePrefix="0" xfId="2"/>
    <xf numFmtId="43" fontId="11" fillId="0" borderId="4" pivotButton="0" quotePrefix="0" xfId="2"/>
    <xf numFmtId="164" fontId="11" fillId="0" borderId="4" pivotButton="0" quotePrefix="0" xfId="2"/>
    <xf numFmtId="1" fontId="11" fillId="0" borderId="4" pivotButton="0" quotePrefix="0" xfId="2"/>
    <xf numFmtId="164" fontId="11" fillId="0" borderId="2" applyAlignment="1" pivotButton="0" quotePrefix="0" xfId="5">
      <alignment vertical="center"/>
    </xf>
    <xf numFmtId="0" fontId="14" fillId="8" borderId="5" applyAlignment="1" pivotButton="0" quotePrefix="0" xfId="3">
      <alignment horizontal="center" vertical="center"/>
    </xf>
    <xf numFmtId="0" fontId="14" fillId="8" borderId="6" applyAlignment="1" pivotButton="0" quotePrefix="0" xfId="3">
      <alignment horizontal="left" vertical="center"/>
    </xf>
    <xf numFmtId="0" fontId="14" fillId="8" borderId="6" applyAlignment="1" pivotButton="0" quotePrefix="0" xfId="3">
      <alignment horizontal="center" vertical="center"/>
    </xf>
    <xf numFmtId="164" fontId="11" fillId="8" borderId="6" pivotButton="0" quotePrefix="0" xfId="1"/>
    <xf numFmtId="164" fontId="15" fillId="8" borderId="6" pivotButton="0" quotePrefix="0" xfId="1"/>
    <xf numFmtId="164" fontId="14" fillId="8" borderId="6" pivotButton="0" quotePrefix="0" xfId="1"/>
    <xf numFmtId="0" fontId="11" fillId="8" borderId="7" pivotButton="0" quotePrefix="0" xfId="2"/>
    <xf numFmtId="0" fontId="16" fillId="0" borderId="0" applyAlignment="1" pivotButton="0" quotePrefix="0" xfId="11">
      <alignment vertical="center"/>
    </xf>
    <xf numFmtId="0" fontId="14" fillId="9" borderId="3" applyAlignment="1" pivotButton="0" quotePrefix="0" xfId="11">
      <alignment horizontal="left" vertical="center"/>
    </xf>
    <xf numFmtId="164" fontId="14" fillId="9" borderId="3" applyAlignment="1" pivotButton="0" quotePrefix="0" xfId="12">
      <alignment horizontal="center" vertical="center"/>
    </xf>
    <xf numFmtId="0" fontId="16" fillId="9" borderId="0" applyAlignment="1" pivotButton="0" quotePrefix="0" xfId="11">
      <alignment vertical="center"/>
    </xf>
    <xf numFmtId="0" fontId="14" fillId="0" borderId="3" applyAlignment="1" pivotButton="0" quotePrefix="0" xfId="11">
      <alignment horizontal="left" vertical="center"/>
    </xf>
    <xf numFmtId="164" fontId="14" fillId="0" borderId="3" applyAlignment="1" pivotButton="0" quotePrefix="0" xfId="12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0" fillId="2" borderId="3" applyAlignment="1" pivotButton="0" quotePrefix="0" xfId="11">
      <alignment horizontal="center" vertical="center" wrapText="1"/>
    </xf>
    <xf numFmtId="0" fontId="20" fillId="2" borderId="3" applyAlignment="1" pivotButton="0" quotePrefix="0" xfId="11">
      <alignment horizontal="center" vertical="center"/>
    </xf>
    <xf numFmtId="0" fontId="20" fillId="2" borderId="3" applyAlignment="1" pivotButton="0" quotePrefix="1" xfId="11">
      <alignment horizontal="center" vertical="center"/>
    </xf>
    <xf numFmtId="0" fontId="12" fillId="2" borderId="3" applyAlignment="1" pivotButton="0" quotePrefix="0" xfId="0">
      <alignment horizontal="center" vertical="center" wrapText="1"/>
    </xf>
    <xf numFmtId="0" fontId="24" fillId="2" borderId="3" applyAlignment="1" pivotButton="0" quotePrefix="0" xfId="0">
      <alignment horizontal="center"/>
    </xf>
    <xf numFmtId="0" fontId="17" fillId="2" borderId="16" applyAlignment="1" pivotButton="0" quotePrefix="0" xfId="11">
      <alignment vertical="center" wrapText="1"/>
    </xf>
    <xf numFmtId="43" fontId="14" fillId="9" borderId="3" applyAlignment="1" pivotButton="0" quotePrefix="0" xfId="12">
      <alignment horizontal="center" vertical="center"/>
    </xf>
    <xf numFmtId="166" fontId="14" fillId="9" borderId="3" applyAlignment="1" pivotButton="0" quotePrefix="0" xfId="12">
      <alignment horizontal="center" vertical="center"/>
    </xf>
    <xf numFmtId="2" fontId="14" fillId="0" borderId="3" applyAlignment="1" pivotButton="0" quotePrefix="0" xfId="11">
      <alignment horizontal="center" vertical="center"/>
    </xf>
    <xf numFmtId="0" fontId="20" fillId="2" borderId="12" applyAlignment="1" pivotButton="0" quotePrefix="0" xfId="11">
      <alignment horizontal="center" vertical="center" wrapText="1"/>
    </xf>
    <xf numFmtId="0" fontId="14" fillId="9" borderId="12" applyAlignment="1" pivotButton="0" quotePrefix="0" xfId="11">
      <alignment horizontal="center" vertical="center"/>
    </xf>
    <xf numFmtId="0" fontId="17" fillId="0" borderId="0" applyAlignment="1" pivotButton="0" quotePrefix="0" xfId="11">
      <alignment vertical="center"/>
    </xf>
    <xf numFmtId="0" fontId="19" fillId="0" borderId="0" applyAlignment="1" pivotButton="0" quotePrefix="0" xfId="11">
      <alignment vertical="center"/>
    </xf>
    <xf numFmtId="0" fontId="22" fillId="0" borderId="0" pivotButton="0" quotePrefix="0" xfId="11"/>
    <xf numFmtId="0" fontId="21" fillId="0" borderId="0" pivotButton="0" quotePrefix="0" xfId="11"/>
    <xf numFmtId="0" fontId="20" fillId="0" borderId="0" pivotButton="0" quotePrefix="0" xfId="11"/>
    <xf numFmtId="0" fontId="16" fillId="0" borderId="0" pivotButton="0" quotePrefix="0" xfId="11"/>
    <xf numFmtId="0" fontId="23" fillId="10" borderId="3" applyAlignment="1" pivotButton="0" quotePrefix="0" xfId="11">
      <alignment horizontal="center" vertical="center"/>
    </xf>
    <xf numFmtId="0" fontId="21" fillId="0" borderId="3" pivotButton="0" quotePrefix="0" xfId="11"/>
    <xf numFmtId="0" fontId="21" fillId="0" borderId="3" applyAlignment="1" pivotButton="0" quotePrefix="0" xfId="11">
      <alignment horizontal="center" vertical="center"/>
    </xf>
    <xf numFmtId="0" fontId="11" fillId="0" borderId="3" applyAlignment="1" pivotButton="0" quotePrefix="0" xfId="11">
      <alignment vertical="center"/>
    </xf>
    <xf numFmtId="164" fontId="11" fillId="0" borderId="3" applyAlignment="1" pivotButton="0" quotePrefix="0" xfId="12">
      <alignment vertical="center"/>
    </xf>
    <xf numFmtId="43" fontId="11" fillId="0" borderId="3" applyAlignment="1" pivotButton="0" quotePrefix="0" xfId="11">
      <alignment vertical="center"/>
    </xf>
    <xf numFmtId="43" fontId="11" fillId="0" borderId="3" applyAlignment="1" pivotButton="0" quotePrefix="0" xfId="12">
      <alignment vertical="center"/>
    </xf>
    <xf numFmtId="1" fontId="11" fillId="0" borderId="3" applyAlignment="1" pivotButton="0" quotePrefix="0" xfId="11">
      <alignment vertical="center"/>
    </xf>
    <xf numFmtId="164" fontId="10" fillId="12" borderId="3" applyAlignment="1" pivotButton="0" quotePrefix="0" xfId="12">
      <alignment vertical="center"/>
    </xf>
    <xf numFmtId="0" fontId="25" fillId="0" borderId="0" pivotButton="0" quotePrefix="0" xfId="11"/>
    <xf numFmtId="0" fontId="17" fillId="0" borderId="0" pivotButton="0" quotePrefix="0" xfId="11"/>
    <xf numFmtId="0" fontId="19" fillId="0" borderId="0" pivotButton="0" quotePrefix="0" xfId="11"/>
    <xf numFmtId="0" fontId="6" fillId="0" borderId="0" pivotButton="0" quotePrefix="0" xfId="11"/>
    <xf numFmtId="0" fontId="11" fillId="9" borderId="3" applyAlignment="1" pivotButton="0" quotePrefix="0" xfId="11">
      <alignment vertical="center"/>
    </xf>
    <xf numFmtId="0" fontId="21" fillId="0" borderId="3" applyAlignment="1" pivotButton="0" quotePrefix="0" xfId="11">
      <alignment vertical="center"/>
    </xf>
    <xf numFmtId="164" fontId="21" fillId="0" borderId="3" applyAlignment="1" pivotButton="0" quotePrefix="0" xfId="12">
      <alignment vertical="center"/>
    </xf>
    <xf numFmtId="43" fontId="21" fillId="0" borderId="3" applyAlignment="1" pivotButton="0" quotePrefix="0" xfId="12">
      <alignment vertical="center"/>
    </xf>
    <xf numFmtId="164" fontId="23" fillId="12" borderId="3" applyAlignment="1" pivotButton="0" quotePrefix="0" xfId="12">
      <alignment vertical="center"/>
    </xf>
    <xf numFmtId="164" fontId="21" fillId="0" borderId="3" pivotButton="0" quotePrefix="0" xfId="12"/>
    <xf numFmtId="43" fontId="21" fillId="0" borderId="3" pivotButton="0" quotePrefix="0" xfId="12"/>
    <xf numFmtId="164" fontId="23" fillId="12" borderId="3" pivotButton="0" quotePrefix="0" xfId="12"/>
    <xf numFmtId="0" fontId="23" fillId="12" borderId="3" pivotButton="0" quotePrefix="0" xfId="11"/>
    <xf numFmtId="164" fontId="23" fillId="13" borderId="3" pivotButton="0" quotePrefix="0" xfId="11"/>
    <xf numFmtId="0" fontId="21" fillId="0" borderId="3" applyAlignment="1" pivotButton="0" quotePrefix="0" xfId="11">
      <alignment horizontal="center"/>
    </xf>
    <xf numFmtId="0" fontId="21" fillId="0" borderId="0" applyAlignment="1" pivotButton="0" quotePrefix="0" xfId="11">
      <alignment horizontal="center"/>
    </xf>
    <xf numFmtId="168" fontId="26" fillId="14" borderId="3" applyAlignment="1" pivotButton="0" quotePrefix="0" xfId="11">
      <alignment horizontal="center" vertical="center"/>
    </xf>
    <xf numFmtId="168" fontId="26" fillId="14" borderId="18" applyAlignment="1" pivotButton="0" quotePrefix="0" xfId="11">
      <alignment horizontal="center" vertical="center"/>
    </xf>
    <xf numFmtId="168" fontId="26" fillId="14" borderId="8" applyAlignment="1" pivotButton="0" quotePrefix="0" xfId="11">
      <alignment horizontal="center" vertical="center"/>
    </xf>
    <xf numFmtId="164" fontId="21" fillId="0" borderId="0" pivotButton="0" quotePrefix="0" xfId="1"/>
    <xf numFmtId="0" fontId="22" fillId="0" borderId="0" applyAlignment="1" pivotButton="0" quotePrefix="0" xfId="11">
      <alignment horizontal="center" vertical="center"/>
    </xf>
    <xf numFmtId="168" fontId="26" fillId="14" borderId="9" applyAlignment="1" pivotButton="0" quotePrefix="0" xfId="11">
      <alignment horizontal="center" vertical="center"/>
    </xf>
    <xf numFmtId="0" fontId="27" fillId="0" borderId="3" applyAlignment="1" pivotButton="0" quotePrefix="0" xfId="0">
      <alignment horizontal="center" vertical="center"/>
    </xf>
    <xf numFmtId="164" fontId="21" fillId="0" borderId="0" pivotButton="0" quotePrefix="0" xfId="11"/>
    <xf numFmtId="2" fontId="21" fillId="0" borderId="0" pivotButton="0" quotePrefix="0" xfId="11"/>
    <xf numFmtId="0" fontId="23" fillId="4" borderId="3" applyAlignment="1" pivotButton="0" quotePrefix="0" xfId="2">
      <alignment vertical="center"/>
    </xf>
    <xf numFmtId="164" fontId="21" fillId="0" borderId="3" pivotButton="0" quotePrefix="0" xfId="1"/>
    <xf numFmtId="164" fontId="21" fillId="0" borderId="3" pivotButton="0" quotePrefix="0" xfId="11"/>
    <xf numFmtId="164" fontId="6" fillId="0" borderId="0" pivotButton="0" quotePrefix="0" xfId="1"/>
    <xf numFmtId="2" fontId="6" fillId="0" borderId="0" pivotButton="0" quotePrefix="0" xfId="11"/>
    <xf numFmtId="0" fontId="25" fillId="0" borderId="0" applyAlignment="1" pivotButton="0" quotePrefix="0" xfId="11">
      <alignment horizontal="center" vertical="center"/>
    </xf>
    <xf numFmtId="0" fontId="6" fillId="0" borderId="0" applyAlignment="1" pivotButton="0" quotePrefix="0" xfId="11">
      <alignment horizontal="center" vertical="center"/>
    </xf>
    <xf numFmtId="0" fontId="23" fillId="10" borderId="1" applyAlignment="1" pivotButton="0" quotePrefix="0" xfId="11">
      <alignment horizontal="center" vertical="center"/>
    </xf>
    <xf numFmtId="168" fontId="26" fillId="14" borderId="14" applyAlignment="1" pivotButton="0" quotePrefix="0" xfId="11">
      <alignment horizontal="center" vertical="center"/>
    </xf>
    <xf numFmtId="164" fontId="6" fillId="0" borderId="3" pivotButton="0" quotePrefix="0" xfId="1"/>
    <xf numFmtId="2" fontId="6" fillId="0" borderId="3" pivotButton="0" quotePrefix="0" xfId="11"/>
    <xf numFmtId="0" fontId="0" fillId="0" borderId="3" pivotButton="0" quotePrefix="0" xfId="11"/>
    <xf numFmtId="0" fontId="6" fillId="0" borderId="3" pivotButton="0" quotePrefix="0" xfId="11"/>
    <xf numFmtId="165" fontId="20" fillId="3" borderId="3" applyAlignment="1" pivotButton="0" quotePrefix="0" xfId="3">
      <alignment horizontal="center" vertical="center"/>
    </xf>
    <xf numFmtId="0" fontId="23" fillId="0" borderId="3" applyAlignment="1" pivotButton="0" quotePrefix="0" xfId="2">
      <alignment vertical="center"/>
    </xf>
    <xf numFmtId="0" fontId="28" fillId="0" borderId="3" applyAlignment="1" pivotButton="0" quotePrefix="0" xfId="3">
      <alignment vertical="center" wrapText="1"/>
    </xf>
    <xf numFmtId="43" fontId="23" fillId="0" borderId="3" applyAlignment="1" pivotButton="0" quotePrefix="0" xfId="4">
      <alignment horizontal="center" vertical="center"/>
    </xf>
    <xf numFmtId="164" fontId="20" fillId="3" borderId="3" pivotButton="0" quotePrefix="0" xfId="1"/>
    <xf numFmtId="164" fontId="28" fillId="3" borderId="3" pivotButton="0" quotePrefix="0" xfId="1"/>
    <xf numFmtId="164" fontId="20" fillId="2" borderId="3" pivotButton="0" quotePrefix="0" xfId="1"/>
    <xf numFmtId="164" fontId="28" fillId="2" borderId="3" pivotButton="0" quotePrefix="0" xfId="1"/>
    <xf numFmtId="164" fontId="20" fillId="0" borderId="3" pivotButton="0" quotePrefix="0" xfId="1"/>
    <xf numFmtId="164" fontId="28" fillId="0" borderId="3" pivotButton="0" quotePrefix="0" xfId="1"/>
    <xf numFmtId="43" fontId="28" fillId="0" borderId="3" pivotButton="0" quotePrefix="0" xfId="4"/>
    <xf numFmtId="166" fontId="23" fillId="0" borderId="3" pivotButton="0" quotePrefix="0" xfId="2"/>
    <xf numFmtId="2" fontId="23" fillId="0" borderId="3" pivotButton="0" quotePrefix="0" xfId="2"/>
    <xf numFmtId="43" fontId="23" fillId="0" borderId="3" pivotButton="0" quotePrefix="0" xfId="2"/>
    <xf numFmtId="164" fontId="23" fillId="0" borderId="3" pivotButton="0" quotePrefix="0" xfId="2"/>
    <xf numFmtId="1" fontId="23" fillId="0" borderId="3" pivotButton="0" quotePrefix="0" xfId="2"/>
    <xf numFmtId="0" fontId="23" fillId="0" borderId="0" pivotButton="0" quotePrefix="0" xfId="2"/>
    <xf numFmtId="43" fontId="14" fillId="8" borderId="6" pivotButton="0" quotePrefix="0" xfId="1"/>
    <xf numFmtId="1" fontId="14" fillId="8" borderId="6" pivotButton="0" quotePrefix="0" xfId="1"/>
    <xf numFmtId="1" fontId="23" fillId="6" borderId="3" pivotButton="0" quotePrefix="0" xfId="2"/>
    <xf numFmtId="164" fontId="6" fillId="0" borderId="0" pivotButton="0" quotePrefix="0" xfId="11"/>
    <xf numFmtId="1" fontId="6" fillId="0" borderId="0" pivotButton="0" quotePrefix="0" xfId="11"/>
    <xf numFmtId="0" fontId="21" fillId="0" borderId="2" applyAlignment="1" pivotButton="0" quotePrefix="0" xfId="11">
      <alignment horizontal="center" vertical="center"/>
    </xf>
    <xf numFmtId="0" fontId="21" fillId="0" borderId="1" applyAlignment="1" pivotButton="0" quotePrefix="0" xfId="11">
      <alignment horizontal="center" vertical="center"/>
    </xf>
    <xf numFmtId="0" fontId="23" fillId="7" borderId="3" applyAlignment="1" pivotButton="0" quotePrefix="0" xfId="11">
      <alignment horizontal="center" vertical="center"/>
    </xf>
    <xf numFmtId="0" fontId="10" fillId="0" borderId="3" pivotButton="0" quotePrefix="0" xfId="2"/>
    <xf numFmtId="0" fontId="14" fillId="9" borderId="21" applyAlignment="1" pivotButton="0" quotePrefix="0" xfId="11">
      <alignment horizontal="center" vertical="center"/>
    </xf>
    <xf numFmtId="0" fontId="14" fillId="0" borderId="1" applyAlignment="1" pivotButton="0" quotePrefix="0" xfId="11">
      <alignment horizontal="left" vertical="center"/>
    </xf>
    <xf numFmtId="43" fontId="14" fillId="9" borderId="1" applyAlignment="1" pivotButton="0" quotePrefix="0" xfId="12">
      <alignment horizontal="center" vertical="center"/>
    </xf>
    <xf numFmtId="164" fontId="14" fillId="9" borderId="1" applyAlignment="1" pivotButton="0" quotePrefix="0" xfId="12">
      <alignment horizontal="center" vertical="center"/>
    </xf>
    <xf numFmtId="164" fontId="14" fillId="0" borderId="1" applyAlignment="1" pivotButton="0" quotePrefix="0" xfId="12">
      <alignment horizontal="center" vertical="center"/>
    </xf>
    <xf numFmtId="2" fontId="14" fillId="0" borderId="1" applyAlignment="1" pivotButton="0" quotePrefix="0" xfId="11">
      <alignment horizontal="center" vertical="center"/>
    </xf>
    <xf numFmtId="0" fontId="21" fillId="0" borderId="0" pivotButton="0" quotePrefix="0" xfId="0"/>
    <xf numFmtId="0" fontId="23" fillId="7" borderId="20" applyAlignment="1" pivotButton="0" quotePrefix="0" xfId="0">
      <alignment horizontal="center" vertical="center"/>
    </xf>
    <xf numFmtId="0" fontId="21" fillId="0" borderId="2" applyAlignment="1" pivotButton="0" quotePrefix="0" xfId="11">
      <alignment vertical="center"/>
    </xf>
    <xf numFmtId="164" fontId="21" fillId="0" borderId="3" applyAlignment="1" pivotButton="0" quotePrefix="0" xfId="1">
      <alignment vertical="center"/>
    </xf>
    <xf numFmtId="0" fontId="21" fillId="0" borderId="3" applyAlignment="1" pivotButton="0" quotePrefix="0" xfId="0">
      <alignment vertical="center"/>
    </xf>
    <xf numFmtId="0" fontId="21" fillId="0" borderId="1" applyAlignment="1" pivotButton="0" quotePrefix="0" xfId="11">
      <alignment vertical="center"/>
    </xf>
    <xf numFmtId="0" fontId="21" fillId="0" borderId="9" applyAlignment="1" pivotButton="0" quotePrefix="0" xfId="11">
      <alignment horizontal="center" vertical="center"/>
    </xf>
    <xf numFmtId="0" fontId="23" fillId="7" borderId="3" applyAlignment="1" pivotButton="0" quotePrefix="0" xfId="11">
      <alignment vertical="center"/>
    </xf>
    <xf numFmtId="164" fontId="23" fillId="7" borderId="3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3" fillId="7" borderId="3" applyAlignment="1" pivotButton="0" quotePrefix="0" xfId="0">
      <alignment vertical="center"/>
    </xf>
    <xf numFmtId="164" fontId="23" fillId="3" borderId="3" applyAlignment="1" pivotButton="0" quotePrefix="0" xfId="1">
      <alignment vertical="center"/>
    </xf>
    <xf numFmtId="43" fontId="15" fillId="3" borderId="3" pivotButton="0" quotePrefix="0" xfId="4"/>
    <xf numFmtId="167" fontId="11" fillId="0" borderId="0" pivotButton="0" quotePrefix="0" xfId="2"/>
    <xf numFmtId="167" fontId="15" fillId="0" borderId="3" pivotButton="0" quotePrefix="0" xfId="1"/>
    <xf numFmtId="164" fontId="14" fillId="3" borderId="3" pivotButton="0" quotePrefix="0" xfId="1"/>
    <xf numFmtId="164" fontId="15" fillId="3" borderId="3" pivotButton="0" quotePrefix="0" xfId="1"/>
    <xf numFmtId="0" fontId="14" fillId="7" borderId="3" applyAlignment="1" pivotButton="0" quotePrefix="0" xfId="3">
      <alignment horizontal="center" vertical="center"/>
    </xf>
    <xf numFmtId="0" fontId="14" fillId="7" borderId="3" applyAlignment="1" pivotButton="0" quotePrefix="0" xfId="3">
      <alignment horizontal="left" vertical="center"/>
    </xf>
    <xf numFmtId="164" fontId="11" fillId="7" borderId="3" pivotButton="0" quotePrefix="0" xfId="1"/>
    <xf numFmtId="164" fontId="15" fillId="7" borderId="3" pivotButton="0" quotePrefix="0" xfId="1"/>
    <xf numFmtId="164" fontId="14" fillId="7" borderId="3" pivotButton="0" quotePrefix="0" xfId="1"/>
    <xf numFmtId="0" fontId="11" fillId="7" borderId="0" pivotButton="0" quotePrefix="0" xfId="2"/>
    <xf numFmtId="0" fontId="14" fillId="7" borderId="1" applyAlignment="1" pivotButton="0" quotePrefix="0" xfId="3">
      <alignment horizontal="center" vertical="center"/>
    </xf>
    <xf numFmtId="0" fontId="14" fillId="7" borderId="1" applyAlignment="1" pivotButton="0" quotePrefix="0" xfId="3">
      <alignment horizontal="left" vertical="center"/>
    </xf>
    <xf numFmtId="164" fontId="11" fillId="7" borderId="1" pivotButton="0" quotePrefix="0" xfId="1"/>
    <xf numFmtId="164" fontId="15" fillId="7" borderId="1" pivotButton="0" quotePrefix="0" xfId="1"/>
    <xf numFmtId="164" fontId="14" fillId="7" borderId="1" pivotButton="0" quotePrefix="0" xfId="1"/>
    <xf numFmtId="0" fontId="17" fillId="2" borderId="16" applyAlignment="1" pivotButton="0" quotePrefix="0" xfId="11">
      <alignment horizontal="center" vertical="center" wrapText="1"/>
    </xf>
    <xf numFmtId="0" fontId="20" fillId="5" borderId="3" applyAlignment="1" pivotButton="0" quotePrefix="0" xfId="0">
      <alignment horizontal="center" vertical="center"/>
    </xf>
    <xf numFmtId="0" fontId="28" fillId="5" borderId="3" applyAlignment="1" pivotButton="0" quotePrefix="0" xfId="0">
      <alignment horizontal="center" vertical="center"/>
    </xf>
    <xf numFmtId="164" fontId="21" fillId="0" borderId="3" applyAlignment="1" pivotButton="0" quotePrefix="0" xfId="1">
      <alignment horizontal="right" vertical="center"/>
    </xf>
    <xf numFmtId="164" fontId="29" fillId="0" borderId="3" applyAlignment="1" pivotButton="0" quotePrefix="0" xfId="1">
      <alignment horizontal="right" vertical="center"/>
    </xf>
    <xf numFmtId="164" fontId="21" fillId="0" borderId="3" applyAlignment="1" pivotButton="0" quotePrefix="0" xfId="1">
      <alignment vertical="center"/>
    </xf>
    <xf numFmtId="164" fontId="29" fillId="0" borderId="3" applyAlignment="1" pivotButton="0" quotePrefix="0" xfId="1">
      <alignment vertical="center"/>
    </xf>
    <xf numFmtId="164" fontId="21" fillId="0" borderId="3" applyAlignment="1" pivotButton="0" quotePrefix="0" xfId="1">
      <alignment horizontal="right" vertical="center"/>
    </xf>
    <xf numFmtId="164" fontId="29" fillId="0" borderId="3" applyAlignment="1" pivotButton="0" quotePrefix="0" xfId="1">
      <alignment horizontal="right" vertical="center"/>
    </xf>
    <xf numFmtId="164" fontId="21" fillId="9" borderId="3" applyAlignment="1" pivotButton="0" quotePrefix="0" xfId="1">
      <alignment horizontal="right" vertical="center"/>
    </xf>
    <xf numFmtId="164" fontId="29" fillId="9" borderId="3" applyAlignment="1" pivotButton="0" quotePrefix="0" xfId="1">
      <alignment horizontal="right" vertical="center"/>
    </xf>
    <xf numFmtId="0" fontId="16" fillId="0" borderId="3" applyAlignment="1" pivotButton="0" quotePrefix="0" xfId="0">
      <alignment horizontal="center" vertical="center"/>
    </xf>
    <xf numFmtId="0" fontId="29" fillId="0" borderId="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29" fillId="0" borderId="1" applyAlignment="1" pivotButton="0" quotePrefix="0" xfId="0">
      <alignment horizontal="center" vertical="center"/>
    </xf>
    <xf numFmtId="164" fontId="16" fillId="0" borderId="3" applyAlignment="1" pivotButton="0" quotePrefix="0" xfId="1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7" fillId="0" borderId="16" applyAlignment="1" pivotButton="0" quotePrefix="0" xfId="11">
      <alignment vertical="center" wrapText="1"/>
    </xf>
    <xf numFmtId="0" fontId="20" fillId="0" borderId="3" applyAlignment="1" pivotButton="0" quotePrefix="0" xfId="11">
      <alignment horizontal="center" vertical="center"/>
    </xf>
    <xf numFmtId="164" fontId="14" fillId="0" borderId="3" applyAlignment="1" pivotButton="0" quotePrefix="0" xfId="12">
      <alignment horizontal="center" vertical="center"/>
    </xf>
    <xf numFmtId="164" fontId="14" fillId="0" borderId="1" applyAlignment="1" pivotButton="0" quotePrefix="0" xfId="12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17" fillId="0" borderId="16" applyAlignment="1" pivotButton="0" quotePrefix="0" xfId="11">
      <alignment horizontal="center" vertical="center" wrapText="1"/>
    </xf>
    <xf numFmtId="164" fontId="15" fillId="0" borderId="3" applyAlignment="1" pivotButton="0" quotePrefix="0" xfId="12">
      <alignment horizontal="center" vertical="center"/>
    </xf>
    <xf numFmtId="164" fontId="15" fillId="0" borderId="1" applyAlignment="1" pivotButton="0" quotePrefix="0" xfId="12">
      <alignment horizontal="center" vertical="center"/>
    </xf>
    <xf numFmtId="166" fontId="15" fillId="9" borderId="3" applyAlignment="1" pivotButton="0" quotePrefix="0" xfId="12">
      <alignment horizontal="center" vertical="center"/>
    </xf>
    <xf numFmtId="0" fontId="21" fillId="7" borderId="4" applyAlignment="1" pivotButton="0" quotePrefix="0" xfId="11">
      <alignment horizontal="center" vertical="center"/>
    </xf>
    <xf numFmtId="0" fontId="21" fillId="7" borderId="4" applyAlignment="1" pivotButton="0" quotePrefix="0" xfId="0">
      <alignment horizontal="center" vertical="center"/>
    </xf>
    <xf numFmtId="0" fontId="21" fillId="7" borderId="28" applyAlignment="1" pivotButton="0" quotePrefix="0" xfId="0">
      <alignment horizontal="center" vertical="center"/>
    </xf>
    <xf numFmtId="164" fontId="21" fillId="0" borderId="3" applyAlignment="1" pivotButton="0" quotePrefix="0" xfId="1">
      <alignment horizontal="center" vertical="center"/>
    </xf>
    <xf numFmtId="164" fontId="23" fillId="7" borderId="2" applyAlignment="1" pivotButton="0" quotePrefix="0" xfId="11">
      <alignment horizontal="center" vertical="center"/>
    </xf>
    <xf numFmtId="164" fontId="21" fillId="15" borderId="3" applyAlignment="1" pivotButton="0" quotePrefix="0" xfId="1">
      <alignment vertical="center"/>
    </xf>
    <xf numFmtId="164" fontId="23" fillId="15" borderId="3" applyAlignment="1" pivotButton="0" quotePrefix="0" xfId="1">
      <alignment vertical="center"/>
    </xf>
    <xf numFmtId="0" fontId="21" fillId="15" borderId="0" pivotButton="0" quotePrefix="0" xfId="0"/>
    <xf numFmtId="164" fontId="16" fillId="0" borderId="3" applyAlignment="1" pivotButton="0" quotePrefix="0" xfId="1">
      <alignment vertical="center"/>
    </xf>
    <xf numFmtId="164" fontId="21" fillId="0" borderId="3" applyAlignment="1" pivotButton="0" quotePrefix="0" xfId="1">
      <alignment horizontal="center" vertical="center"/>
    </xf>
    <xf numFmtId="166" fontId="15" fillId="0" borderId="3" pivotButton="0" quotePrefix="0" xfId="2"/>
    <xf numFmtId="164" fontId="0" fillId="0" borderId="0" pivotButton="0" quotePrefix="0" xfId="1"/>
    <xf numFmtId="0" fontId="21" fillId="7" borderId="2" applyAlignment="1" pivotButton="0" quotePrefix="0" xfId="11">
      <alignment horizontal="center" vertical="center"/>
    </xf>
    <xf numFmtId="0" fontId="21" fillId="7" borderId="2" applyAlignment="1" pivotButton="0" quotePrefix="0" xfId="11">
      <alignment vertical="center"/>
    </xf>
    <xf numFmtId="164" fontId="21" fillId="7" borderId="3" applyAlignment="1" pivotButton="0" quotePrefix="0" xfId="1">
      <alignment horizontal="center" vertical="center"/>
    </xf>
    <xf numFmtId="0" fontId="21" fillId="7" borderId="0" pivotButton="0" quotePrefix="0" xfId="0"/>
    <xf numFmtId="0" fontId="21" fillId="7" borderId="3" applyAlignment="1" pivotButton="0" quotePrefix="0" xfId="11">
      <alignment vertical="center"/>
    </xf>
    <xf numFmtId="0" fontId="21" fillId="7" borderId="3" applyAlignment="1" pivotButton="0" quotePrefix="0" xfId="11">
      <alignment horizontal="center" vertical="center"/>
    </xf>
    <xf numFmtId="0" fontId="21" fillId="7" borderId="3" applyAlignment="1" pivotButton="0" quotePrefix="0" xfId="0">
      <alignment vertical="center"/>
    </xf>
    <xf numFmtId="0" fontId="21" fillId="7" borderId="1" applyAlignment="1" pivotButton="0" quotePrefix="0" xfId="11">
      <alignment vertical="center"/>
    </xf>
    <xf numFmtId="0" fontId="21" fillId="7" borderId="1" applyAlignment="1" pivotButton="0" quotePrefix="0" xfId="11">
      <alignment horizontal="center" vertical="center"/>
    </xf>
    <xf numFmtId="0" fontId="21" fillId="7" borderId="8" applyAlignment="1" pivotButton="0" quotePrefix="0" xfId="11">
      <alignment horizontal="center" vertical="center"/>
    </xf>
    <xf numFmtId="164" fontId="21" fillId="7" borderId="2" applyAlignment="1" pivotButton="0" quotePrefix="0" xfId="1">
      <alignment horizontal="center" vertical="center"/>
    </xf>
    <xf numFmtId="0" fontId="21" fillId="3" borderId="1" applyAlignment="1" pivotButton="0" quotePrefix="0" xfId="11">
      <alignment vertical="center"/>
    </xf>
    <xf numFmtId="0" fontId="21" fillId="3" borderId="1" applyAlignment="1" pivotButton="0" quotePrefix="0" xfId="11">
      <alignment horizontal="center" vertical="center"/>
    </xf>
    <xf numFmtId="164" fontId="21" fillId="3" borderId="3" applyAlignment="1" pivotButton="0" quotePrefix="0" xfId="1">
      <alignment vertical="center"/>
    </xf>
    <xf numFmtId="0" fontId="21" fillId="3" borderId="0" pivotButton="0" quotePrefix="0" xfId="0"/>
    <xf numFmtId="0" fontId="21" fillId="3" borderId="2" applyAlignment="1" pivotButton="0" quotePrefix="0" xfId="11">
      <alignment horizontal="center" vertical="center"/>
    </xf>
    <xf numFmtId="164" fontId="21" fillId="3" borderId="3" applyAlignment="1" pivotButton="0" quotePrefix="0" xfId="1">
      <alignment horizontal="center" vertical="center"/>
    </xf>
    <xf numFmtId="0" fontId="21" fillId="3" borderId="3" applyAlignment="1" pivotButton="0" quotePrefix="0" xfId="11">
      <alignment vertical="center"/>
    </xf>
    <xf numFmtId="0" fontId="21" fillId="3" borderId="3" applyAlignment="1" pivotButton="0" quotePrefix="0" xfId="11">
      <alignment horizontal="center" vertical="center"/>
    </xf>
    <xf numFmtId="0" fontId="21" fillId="3" borderId="2" applyAlignment="1" pivotButton="0" quotePrefix="0" xfId="11">
      <alignment vertical="center"/>
    </xf>
    <xf numFmtId="0" fontId="21" fillId="3" borderId="3" applyAlignment="1" pivotButton="0" quotePrefix="0" xfId="0">
      <alignment vertical="center"/>
    </xf>
    <xf numFmtId="166" fontId="16" fillId="0" borderId="0" applyAlignment="1" pivotButton="0" quotePrefix="0" xfId="11">
      <alignment vertical="center"/>
    </xf>
    <xf numFmtId="164" fontId="23" fillId="6" borderId="3" applyAlignment="1" pivotButton="0" quotePrefix="0" xfId="1">
      <alignment vertical="center"/>
    </xf>
    <xf numFmtId="164" fontId="32" fillId="2" borderId="3" applyAlignment="1" pivotButton="0" quotePrefix="0" xfId="1">
      <alignment vertical="center"/>
    </xf>
    <xf numFmtId="164" fontId="32" fillId="7" borderId="3" applyAlignment="1" pivotButton="0" quotePrefix="0" xfId="1">
      <alignment vertical="center"/>
    </xf>
    <xf numFmtId="164" fontId="32" fillId="4" borderId="3" applyAlignment="1" pivotButton="0" quotePrefix="0" xfId="1">
      <alignment vertical="center"/>
    </xf>
    <xf numFmtId="164" fontId="32" fillId="17" borderId="3" applyAlignment="1" pivotButton="0" quotePrefix="0" xfId="1">
      <alignment vertical="center"/>
    </xf>
    <xf numFmtId="169" fontId="14" fillId="2" borderId="3" applyAlignment="1" pivotButton="0" quotePrefix="0" xfId="18">
      <alignment vertical="center"/>
    </xf>
    <xf numFmtId="169" fontId="14" fillId="7" borderId="3" applyAlignment="1" pivotButton="0" quotePrefix="0" xfId="17">
      <alignment vertical="center"/>
    </xf>
    <xf numFmtId="169" fontId="12" fillId="4" borderId="3" applyAlignment="1" pivotButton="0" quotePrefix="0" xfId="17">
      <alignment vertical="center"/>
    </xf>
    <xf numFmtId="0" fontId="14" fillId="7" borderId="3" applyAlignment="1" pivotButton="0" quotePrefix="0" xfId="17">
      <alignment vertical="center"/>
    </xf>
    <xf numFmtId="0" fontId="12" fillId="4" borderId="3" applyAlignment="1" pivotButton="0" quotePrefix="0" xfId="17">
      <alignment vertical="center"/>
    </xf>
    <xf numFmtId="0" fontId="12" fillId="16" borderId="3" applyAlignment="1" pivotButton="0" quotePrefix="0" xfId="17">
      <alignment vertical="center"/>
    </xf>
    <xf numFmtId="164" fontId="9" fillId="2" borderId="3" applyAlignment="1" pivotButton="0" quotePrefix="0" xfId="1">
      <alignment vertical="center"/>
    </xf>
    <xf numFmtId="164" fontId="9" fillId="7" borderId="3" applyAlignment="1" pivotButton="0" quotePrefix="0" xfId="1">
      <alignment vertical="center"/>
    </xf>
    <xf numFmtId="164" fontId="9" fillId="4" borderId="3" applyAlignment="1" pivotButton="0" quotePrefix="0" xfId="1">
      <alignment vertical="center"/>
    </xf>
    <xf numFmtId="164" fontId="9" fillId="16" borderId="3" applyAlignment="1" pivotButton="0" quotePrefix="0" xfId="1">
      <alignment vertical="center"/>
    </xf>
    <xf numFmtId="169" fontId="32" fillId="2" borderId="3" applyAlignment="1" pivotButton="0" quotePrefix="0" xfId="18">
      <alignment vertical="center"/>
    </xf>
    <xf numFmtId="169" fontId="32" fillId="7" borderId="3" applyAlignment="1" pivotButton="0" quotePrefix="0" xfId="17">
      <alignment vertical="center"/>
    </xf>
    <xf numFmtId="169" fontId="32" fillId="4" borderId="3" applyAlignment="1" pivotButton="0" quotePrefix="0" xfId="17">
      <alignment vertical="center"/>
    </xf>
    <xf numFmtId="9" fontId="9" fillId="2" borderId="3" applyAlignment="1" pivotButton="0" quotePrefix="0" xfId="16">
      <alignment horizontal="center" vertical="center"/>
    </xf>
    <xf numFmtId="9" fontId="9" fillId="7" borderId="3" applyAlignment="1" pivotButton="0" quotePrefix="0" xfId="16">
      <alignment horizontal="center" vertical="center"/>
    </xf>
    <xf numFmtId="9" fontId="9" fillId="4" borderId="3" applyAlignment="1" pivotButton="0" quotePrefix="0" xfId="16">
      <alignment horizontal="center" vertical="center"/>
    </xf>
    <xf numFmtId="9" fontId="9" fillId="16" borderId="3" applyAlignment="1" pivotButton="0" quotePrefix="0" xfId="16">
      <alignment horizontal="center" vertical="center"/>
    </xf>
    <xf numFmtId="0" fontId="32" fillId="0" borderId="3" applyAlignment="1" pivotButton="0" quotePrefix="0" xfId="17">
      <alignment horizontal="left" vertical="center"/>
    </xf>
    <xf numFmtId="0" fontId="14" fillId="0" borderId="3" applyAlignment="1" pivotButton="0" quotePrefix="0" xfId="17">
      <alignment horizontal="left" vertical="center"/>
    </xf>
    <xf numFmtId="169" fontId="14" fillId="2" borderId="3" applyAlignment="1" pivotButton="0" quotePrefix="0" xfId="17">
      <alignment vertical="center"/>
    </xf>
    <xf numFmtId="169" fontId="14" fillId="4" borderId="3" applyAlignment="1" pivotButton="0" quotePrefix="0" xfId="17">
      <alignment vertical="center"/>
    </xf>
    <xf numFmtId="169" fontId="12" fillId="17" borderId="3" applyAlignment="1" pivotButton="0" quotePrefix="0" xfId="17">
      <alignment vertical="center"/>
    </xf>
    <xf numFmtId="0" fontId="14" fillId="2" borderId="3" applyAlignment="1" pivotButton="0" quotePrefix="0" xfId="17">
      <alignment vertical="center"/>
    </xf>
    <xf numFmtId="0" fontId="14" fillId="4" borderId="3" applyAlignment="1" pivotButton="0" quotePrefix="0" xfId="17">
      <alignment vertical="center"/>
    </xf>
    <xf numFmtId="169" fontId="12" fillId="16" borderId="3" applyAlignment="1" pivotButton="0" quotePrefix="0" xfId="17">
      <alignment vertical="center"/>
    </xf>
    <xf numFmtId="0" fontId="9" fillId="0" borderId="3" applyAlignment="1" pivotButton="0" quotePrefix="0" xfId="17">
      <alignment horizontal="left" vertical="center"/>
    </xf>
    <xf numFmtId="164" fontId="32" fillId="2" borderId="3" applyAlignment="1" pivotButton="0" quotePrefix="0" xfId="17">
      <alignment vertical="center"/>
    </xf>
    <xf numFmtId="169" fontId="32" fillId="2" borderId="3" applyAlignment="1" pivotButton="0" quotePrefix="0" xfId="17">
      <alignment vertical="center"/>
    </xf>
    <xf numFmtId="169" fontId="32" fillId="16" borderId="3" applyAlignment="1" pivotButton="0" quotePrefix="0" xfId="17">
      <alignment vertical="center"/>
    </xf>
    <xf numFmtId="0" fontId="32" fillId="0" borderId="3" applyAlignment="1" pivotButton="0" quotePrefix="0" xfId="17">
      <alignment vertical="center"/>
    </xf>
    <xf numFmtId="9" fontId="32" fillId="2" borderId="3" applyAlignment="1" pivotButton="0" quotePrefix="0" xfId="16">
      <alignment horizontal="center" vertical="center"/>
    </xf>
    <xf numFmtId="9" fontId="32" fillId="7" borderId="3" applyAlignment="1" pivotButton="0" quotePrefix="0" xfId="16">
      <alignment horizontal="center" vertical="center"/>
    </xf>
    <xf numFmtId="9" fontId="32" fillId="4" borderId="3" applyAlignment="1" pivotButton="0" quotePrefix="0" xfId="16">
      <alignment horizontal="center" vertical="center"/>
    </xf>
    <xf numFmtId="9" fontId="32" fillId="16" borderId="3" applyAlignment="1" pivotButton="0" quotePrefix="0" xfId="16">
      <alignment horizontal="center" vertical="center"/>
    </xf>
    <xf numFmtId="164" fontId="32" fillId="17" borderId="9" applyAlignment="1" pivotButton="0" quotePrefix="0" xfId="1">
      <alignment vertical="center"/>
    </xf>
    <xf numFmtId="0" fontId="14" fillId="17" borderId="9" applyAlignment="1" pivotButton="0" quotePrefix="0" xfId="17">
      <alignment vertical="center"/>
    </xf>
    <xf numFmtId="0" fontId="14" fillId="16" borderId="9" applyAlignment="1" pivotButton="0" quotePrefix="0" xfId="17">
      <alignment vertical="center"/>
    </xf>
    <xf numFmtId="164" fontId="9" fillId="16" borderId="9" applyAlignment="1" pivotButton="0" quotePrefix="0" xfId="1">
      <alignment vertical="center"/>
    </xf>
    <xf numFmtId="0" fontId="32" fillId="16" borderId="9" applyAlignment="1" pivotButton="0" quotePrefix="0" xfId="17">
      <alignment vertical="center"/>
    </xf>
    <xf numFmtId="9" fontId="9" fillId="16" borderId="9" applyAlignment="1" pivotButton="0" quotePrefix="0" xfId="16">
      <alignment horizontal="center" vertical="center"/>
    </xf>
    <xf numFmtId="9" fontId="32" fillId="16" borderId="9" applyAlignment="1" pivotButton="0" quotePrefix="0" xfId="16">
      <alignment horizontal="center" vertical="center"/>
    </xf>
    <xf numFmtId="0" fontId="0" fillId="0" borderId="3" pivotButton="0" quotePrefix="0" xfId="0"/>
    <xf numFmtId="164" fontId="0" fillId="0" borderId="3" pivotButton="0" quotePrefix="0" xfId="0"/>
    <xf numFmtId="0" fontId="0" fillId="0" borderId="9" pivotButton="0" quotePrefix="0" xfId="0"/>
    <xf numFmtId="0" fontId="0" fillId="0" borderId="34" pivotButton="0" quotePrefix="0" xfId="0"/>
    <xf numFmtId="0" fontId="0" fillId="0" borderId="35" pivotButton="0" quotePrefix="0" xfId="0"/>
    <xf numFmtId="1" fontId="23" fillId="0" borderId="35" applyAlignment="1" pivotButton="0" quotePrefix="0" xfId="0">
      <alignment horizontal="center"/>
    </xf>
    <xf numFmtId="0" fontId="0" fillId="0" borderId="36" pivotButton="0" quotePrefix="0" xfId="0"/>
    <xf numFmtId="0" fontId="9" fillId="0" borderId="2" applyAlignment="1" pivotButton="0" quotePrefix="0" xfId="0">
      <alignment horizontal="left" vertical="center"/>
    </xf>
    <xf numFmtId="164" fontId="9" fillId="2" borderId="2" applyAlignment="1" pivotButton="0" quotePrefix="0" xfId="0">
      <alignment vertical="center"/>
    </xf>
    <xf numFmtId="164" fontId="9" fillId="7" borderId="2" applyAlignment="1" pivotButton="0" quotePrefix="0" xfId="0">
      <alignment vertical="center"/>
    </xf>
    <xf numFmtId="164" fontId="9" fillId="4" borderId="2" applyAlignment="1" pivotButton="0" quotePrefix="0" xfId="0">
      <alignment vertical="center"/>
    </xf>
    <xf numFmtId="164" fontId="9" fillId="17" borderId="2" applyAlignment="1" pivotButton="0" quotePrefix="0" xfId="0">
      <alignment vertical="center"/>
    </xf>
    <xf numFmtId="164" fontId="9" fillId="17" borderId="8" applyAlignment="1" pivotButton="0" quotePrefix="0" xfId="0">
      <alignment vertical="center"/>
    </xf>
    <xf numFmtId="164" fontId="0" fillId="0" borderId="2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6" pivotButton="0" quotePrefix="0" xfId="0"/>
    <xf numFmtId="0" fontId="0" fillId="0" borderId="19" pivotButton="0" quotePrefix="0" xfId="0"/>
    <xf numFmtId="0" fontId="12" fillId="2" borderId="17" applyAlignment="1" pivotButton="0" quotePrefix="0" xfId="17">
      <alignment horizontal="center" vertical="center"/>
    </xf>
    <xf numFmtId="164" fontId="12" fillId="2" borderId="17" applyAlignment="1" pivotButton="0" quotePrefix="0" xfId="17">
      <alignment horizontal="center" vertical="center"/>
    </xf>
    <xf numFmtId="169" fontId="12" fillId="7" borderId="17" applyAlignment="1" pivotButton="0" quotePrefix="0" xfId="18">
      <alignment horizontal="center" vertical="center"/>
    </xf>
    <xf numFmtId="0" fontId="12" fillId="4" borderId="17" applyAlignment="1" pivotButton="0" quotePrefix="0" xfId="17">
      <alignment horizontal="center" vertical="center"/>
    </xf>
    <xf numFmtId="0" fontId="12" fillId="17" borderId="17" applyAlignment="1" pivotButton="0" quotePrefix="0" xfId="17">
      <alignment horizontal="center" vertical="center"/>
    </xf>
    <xf numFmtId="0" fontId="12" fillId="17" borderId="41" applyAlignment="1" pivotButton="0" quotePrefix="0" xfId="17">
      <alignment horizontal="center" vertical="center"/>
    </xf>
    <xf numFmtId="0" fontId="12" fillId="17" borderId="36" applyAlignment="1" pivotButton="0" quotePrefix="0" xfId="17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1" fillId="3" borderId="3" applyAlignment="1" pivotButton="0" quotePrefix="0" xfId="0">
      <alignment horizontal="center" vertical="center"/>
    </xf>
    <xf numFmtId="164" fontId="21" fillId="9" borderId="3" applyAlignment="1" pivotButton="0" quotePrefix="0" xfId="1">
      <alignment horizontal="center" vertical="center"/>
    </xf>
    <xf numFmtId="164" fontId="23" fillId="16" borderId="3" applyAlignment="1" pivotButton="0" quotePrefix="0" xfId="1">
      <alignment horizontal="center" vertical="center"/>
    </xf>
    <xf numFmtId="164" fontId="23" fillId="0" borderId="3" applyAlignment="1" pivotButton="0" quotePrefix="0" xfId="1">
      <alignment horizontal="center" vertical="center"/>
    </xf>
    <xf numFmtId="164" fontId="28" fillId="9" borderId="3" applyAlignment="1" pivotButton="0" quotePrefix="0" xfId="1">
      <alignment horizontal="center" vertical="center"/>
    </xf>
    <xf numFmtId="164" fontId="28" fillId="16" borderId="3" applyAlignment="1" pivotButton="0" quotePrefix="0" xfId="1">
      <alignment horizontal="center" vertical="center"/>
    </xf>
    <xf numFmtId="164" fontId="28" fillId="0" borderId="3" applyAlignment="1" pivotButton="0" quotePrefix="0" xfId="1">
      <alignment horizontal="center" vertical="center"/>
    </xf>
    <xf numFmtId="164" fontId="28" fillId="0" borderId="3" applyAlignment="1" pivotButton="0" quotePrefix="0" xfId="1">
      <alignment horizontal="center" vertical="center"/>
    </xf>
    <xf numFmtId="164" fontId="34" fillId="0" borderId="3" applyAlignment="1" pivotButton="0" quotePrefix="0" xfId="1">
      <alignment horizontal="center" vertical="center"/>
    </xf>
    <xf numFmtId="0" fontId="23" fillId="0" borderId="0" applyAlignment="1" pivotButton="0" quotePrefix="0" xfId="0">
      <alignment horizontal="center" vertical="center"/>
    </xf>
    <xf numFmtId="164" fontId="21" fillId="9" borderId="9" applyAlignment="1" pivotButton="0" quotePrefix="0" xfId="1">
      <alignment horizontal="center" vertical="center"/>
    </xf>
    <xf numFmtId="164" fontId="28" fillId="9" borderId="9" applyAlignment="1" pivotButton="0" quotePrefix="0" xfId="1">
      <alignment horizontal="center" vertical="center"/>
    </xf>
    <xf numFmtId="164" fontId="28" fillId="0" borderId="9" applyAlignment="1" pivotButton="0" quotePrefix="0" xfId="1">
      <alignment horizontal="center" vertical="center"/>
    </xf>
    <xf numFmtId="164" fontId="34" fillId="0" borderId="9" applyAlignment="1" pivotButton="0" quotePrefix="0" xfId="1">
      <alignment horizontal="center" vertical="center"/>
    </xf>
    <xf numFmtId="164" fontId="23" fillId="16" borderId="9" applyAlignment="1" pivotButton="0" quotePrefix="0" xfId="1">
      <alignment horizontal="center" vertical="center"/>
    </xf>
    <xf numFmtId="164" fontId="21" fillId="9" borderId="10" applyAlignment="1" pivotButton="0" quotePrefix="0" xfId="1">
      <alignment horizontal="center" vertical="center"/>
    </xf>
    <xf numFmtId="164" fontId="28" fillId="9" borderId="10" applyAlignment="1" pivotButton="0" quotePrefix="0" xfId="1">
      <alignment horizontal="center" vertical="center"/>
    </xf>
    <xf numFmtId="164" fontId="28" fillId="0" borderId="10" applyAlignment="1" pivotButton="0" quotePrefix="0" xfId="1">
      <alignment horizontal="center" vertical="center"/>
    </xf>
    <xf numFmtId="164" fontId="34" fillId="0" borderId="10" applyAlignment="1" pivotButton="0" quotePrefix="0" xfId="1">
      <alignment horizontal="center" vertical="center"/>
    </xf>
    <xf numFmtId="164" fontId="23" fillId="16" borderId="10" applyAlignment="1" pivotButton="0" quotePrefix="0" xfId="1">
      <alignment horizontal="center" vertical="center"/>
    </xf>
    <xf numFmtId="164" fontId="23" fillId="0" borderId="9" applyAlignment="1" pivotButton="0" quotePrefix="0" xfId="1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48" applyAlignment="1" pivotButton="0" quotePrefix="0" xfId="0">
      <alignment horizontal="center" vertical="center"/>
    </xf>
    <xf numFmtId="0" fontId="21" fillId="0" borderId="49" applyAlignment="1" pivotButton="0" quotePrefix="0" xfId="0">
      <alignment horizontal="center" vertical="center"/>
    </xf>
    <xf numFmtId="0" fontId="21" fillId="3" borderId="1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64" fontId="23" fillId="6" borderId="50" applyAlignment="1" pivotButton="0" quotePrefix="0" xfId="1">
      <alignment horizontal="center" vertical="center"/>
    </xf>
    <xf numFmtId="164" fontId="23" fillId="6" borderId="51" applyAlignment="1" pivotButton="0" quotePrefix="0" xfId="1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3" borderId="13" applyAlignment="1" pivotButton="0" quotePrefix="0" xfId="0">
      <alignment horizontal="center" vertical="center"/>
    </xf>
    <xf numFmtId="0" fontId="21" fillId="3" borderId="32" applyAlignment="1" pivotButton="0" quotePrefix="0" xfId="0">
      <alignment horizontal="center" vertical="center"/>
    </xf>
    <xf numFmtId="0" fontId="21" fillId="0" borderId="44" applyAlignment="1" pivotButton="0" quotePrefix="0" xfId="0">
      <alignment horizontal="center" vertical="center"/>
    </xf>
    <xf numFmtId="0" fontId="21" fillId="3" borderId="17" applyAlignment="1" pivotButton="0" quotePrefix="0" xfId="0">
      <alignment horizontal="center" vertical="center"/>
    </xf>
    <xf numFmtId="0" fontId="21" fillId="0" borderId="46" applyAlignment="1" pivotButton="0" quotePrefix="0" xfId="0">
      <alignment horizontal="center" vertical="center"/>
    </xf>
    <xf numFmtId="0" fontId="21" fillId="3" borderId="41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1" fontId="23" fillId="0" borderId="43" applyAlignment="1" pivotButton="0" quotePrefix="0" xfId="0">
      <alignment horizontal="center" vertical="center"/>
    </xf>
    <xf numFmtId="0" fontId="35" fillId="2" borderId="15" pivotButton="0" quotePrefix="0" xfId="0"/>
    <xf numFmtId="0" fontId="35" fillId="2" borderId="16" pivotButton="0" quotePrefix="0" xfId="0"/>
    <xf numFmtId="0" fontId="36" fillId="2" borderId="30" pivotButton="0" quotePrefix="0" xfId="0"/>
    <xf numFmtId="0" fontId="37" fillId="2" borderId="21" applyAlignment="1" pivotButton="0" quotePrefix="0" xfId="0">
      <alignment horizontal="center" vertical="center" wrapText="1"/>
    </xf>
    <xf numFmtId="0" fontId="37" fillId="2" borderId="1" applyAlignment="1" pivotButton="0" quotePrefix="0" xfId="14">
      <alignment horizontal="center" vertical="center" wrapText="1"/>
    </xf>
    <xf numFmtId="165" fontId="20" fillId="2" borderId="5" applyAlignment="1" pivotButton="0" quotePrefix="0" xfId="11">
      <alignment horizontal="center" vertical="center"/>
    </xf>
    <xf numFmtId="0" fontId="20" fillId="2" borderId="6" applyAlignment="1" pivotButton="0" quotePrefix="0" xfId="11">
      <alignment horizontal="center" vertical="center" wrapText="1"/>
    </xf>
    <xf numFmtId="164" fontId="28" fillId="2" borderId="6" applyAlignment="1" pivotButton="0" quotePrefix="0" xfId="1">
      <alignment horizontal="center" vertical="center" wrapText="1"/>
    </xf>
    <xf numFmtId="164" fontId="20" fillId="2" borderId="6" applyAlignment="1" pivotButton="0" quotePrefix="0" xfId="1">
      <alignment horizontal="center" vertical="center"/>
    </xf>
    <xf numFmtId="164" fontId="28" fillId="2" borderId="6" applyAlignment="1" pivotButton="0" quotePrefix="0" xfId="1">
      <alignment horizontal="center" vertical="center"/>
    </xf>
    <xf numFmtId="164" fontId="20" fillId="2" borderId="6" applyAlignment="1" pivotButton="0" quotePrefix="0" xfId="1">
      <alignment horizontal="center" vertical="center" wrapText="1"/>
    </xf>
    <xf numFmtId="164" fontId="20" fillId="2" borderId="6" applyAlignment="1" pivotButton="0" quotePrefix="0" xfId="12">
      <alignment horizontal="center" vertical="center" wrapText="1"/>
    </xf>
    <xf numFmtId="164" fontId="20" fillId="2" borderId="6" applyAlignment="1" pivotButton="0" quotePrefix="0" xfId="12">
      <alignment horizontal="center" vertical="center"/>
    </xf>
    <xf numFmtId="1" fontId="20" fillId="2" borderId="6" applyAlignment="1" pivotButton="0" quotePrefix="0" xfId="11">
      <alignment horizontal="center" vertical="center"/>
    </xf>
    <xf numFmtId="164" fontId="21" fillId="0" borderId="2" applyAlignment="1" pivotButton="0" quotePrefix="0" xfId="1">
      <alignment vertical="center"/>
    </xf>
    <xf numFmtId="164" fontId="21" fillId="15" borderId="2" applyAlignment="1" pivotButton="0" quotePrefix="0" xfId="1">
      <alignment vertical="center"/>
    </xf>
    <xf numFmtId="43" fontId="21" fillId="0" borderId="2" applyAlignment="1" pivotButton="0" quotePrefix="0" xfId="1">
      <alignment horizontal="center" vertical="center"/>
    </xf>
    <xf numFmtId="0" fontId="21" fillId="7" borderId="53" applyAlignment="1" pivotButton="0" quotePrefix="0" xfId="0">
      <alignment horizontal="center" vertical="center"/>
    </xf>
    <xf numFmtId="0" fontId="21" fillId="7" borderId="54" applyAlignment="1" pivotButton="0" quotePrefix="0" xfId="0">
      <alignment horizontal="center" vertical="center"/>
    </xf>
    <xf numFmtId="164" fontId="21" fillId="3" borderId="4" applyAlignment="1" pivotButton="0" quotePrefix="0" xfId="1">
      <alignment horizontal="center" vertical="center"/>
    </xf>
    <xf numFmtId="164" fontId="21" fillId="3" borderId="1" applyAlignment="1" pivotButton="0" quotePrefix="0" xfId="1">
      <alignment vertical="center"/>
    </xf>
    <xf numFmtId="0" fontId="21" fillId="0" borderId="55" applyAlignment="1" pivotButton="0" quotePrefix="0" xfId="11">
      <alignment horizontal="center" vertical="center"/>
    </xf>
    <xf numFmtId="0" fontId="23" fillId="7" borderId="16" applyAlignment="1" pivotButton="0" quotePrefix="0" xfId="11">
      <alignment vertical="center"/>
    </xf>
    <xf numFmtId="0" fontId="23" fillId="7" borderId="16" applyAlignment="1" pivotButton="0" quotePrefix="0" xfId="11">
      <alignment horizontal="center" vertical="center"/>
    </xf>
    <xf numFmtId="164" fontId="21" fillId="15" borderId="16" applyAlignment="1" pivotButton="0" quotePrefix="0" xfId="1">
      <alignment vertical="center"/>
    </xf>
    <xf numFmtId="164" fontId="23" fillId="6" borderId="16" applyAlignment="1" pivotButton="0" quotePrefix="0" xfId="1">
      <alignment vertical="center"/>
    </xf>
    <xf numFmtId="164" fontId="23" fillId="7" borderId="30" applyAlignment="1" pivotButton="0" quotePrefix="0" xfId="11">
      <alignment horizontal="center" vertical="center"/>
    </xf>
    <xf numFmtId="0" fontId="21" fillId="0" borderId="43" applyAlignment="1" pivotButton="0" quotePrefix="0" xfId="0">
      <alignment vertical="center"/>
    </xf>
    <xf numFmtId="164" fontId="23" fillId="7" borderId="31" applyAlignment="1" pivotButton="0" quotePrefix="0" xfId="1">
      <alignment vertical="center"/>
    </xf>
    <xf numFmtId="0" fontId="21" fillId="0" borderId="45" applyAlignment="1" pivotButton="0" quotePrefix="0" xfId="0">
      <alignment vertical="center"/>
    </xf>
    <xf numFmtId="0" fontId="23" fillId="7" borderId="17" applyAlignment="1" pivotButton="0" quotePrefix="0" xfId="0">
      <alignment vertical="center"/>
    </xf>
    <xf numFmtId="164" fontId="23" fillId="7" borderId="17" applyAlignment="1" pivotButton="0" quotePrefix="0" xfId="1">
      <alignment vertical="center"/>
    </xf>
    <xf numFmtId="164" fontId="23" fillId="15" borderId="17" applyAlignment="1" pivotButton="0" quotePrefix="0" xfId="1">
      <alignment vertical="center"/>
    </xf>
    <xf numFmtId="164" fontId="23" fillId="3" borderId="17" applyAlignment="1" pivotButton="0" quotePrefix="0" xfId="1">
      <alignment vertical="center"/>
    </xf>
    <xf numFmtId="164" fontId="23" fillId="7" borderId="32" applyAlignment="1" pivotButton="0" quotePrefix="0" xfId="1">
      <alignment vertical="center"/>
    </xf>
    <xf numFmtId="0" fontId="21" fillId="7" borderId="56" applyAlignment="1" pivotButton="0" quotePrefix="0" xfId="11">
      <alignment horizontal="center" vertical="center"/>
    </xf>
    <xf numFmtId="164" fontId="21" fillId="0" borderId="57" applyAlignment="1" pivotButton="0" quotePrefix="0" xfId="1">
      <alignment horizontal="center" vertical="center"/>
    </xf>
    <xf numFmtId="164" fontId="21" fillId="3" borderId="10" applyAlignment="1" pivotButton="0" quotePrefix="0" xfId="1">
      <alignment horizontal="center" vertical="center"/>
    </xf>
    <xf numFmtId="164" fontId="21" fillId="0" borderId="10" applyAlignment="1" pivotButton="0" quotePrefix="0" xfId="1">
      <alignment horizontal="center" vertical="center"/>
    </xf>
    <xf numFmtId="164" fontId="21" fillId="3" borderId="58" applyAlignment="1" pivotButton="0" quotePrefix="0" xfId="1">
      <alignment horizontal="center" vertical="center"/>
    </xf>
    <xf numFmtId="164" fontId="23" fillId="7" borderId="22" applyAlignment="1" pivotButton="0" quotePrefix="0" xfId="11">
      <alignment horizontal="center" vertical="center"/>
    </xf>
    <xf numFmtId="0" fontId="23" fillId="7" borderId="10" applyAlignment="1" pivotButton="0" quotePrefix="0" xfId="0">
      <alignment vertical="center"/>
    </xf>
    <xf numFmtId="0" fontId="23" fillId="7" borderId="59" applyAlignment="1" pivotButton="0" quotePrefix="0" xfId="0">
      <alignment vertical="center"/>
    </xf>
    <xf numFmtId="0" fontId="21" fillId="0" borderId="50" applyAlignment="1" pivotButton="0" quotePrefix="0" xfId="11">
      <alignment horizontal="center" vertical="center"/>
    </xf>
    <xf numFmtId="0" fontId="21" fillId="0" borderId="51" applyAlignment="1" pivotButton="0" quotePrefix="0" xfId="11">
      <alignment horizontal="center" vertical="center"/>
    </xf>
    <xf numFmtId="0" fontId="21" fillId="3" borderId="50" applyAlignment="1" pivotButton="0" quotePrefix="0" xfId="11">
      <alignment horizontal="center" vertical="center"/>
    </xf>
    <xf numFmtId="0" fontId="21" fillId="3" borderId="51" applyAlignment="1" pivotButton="0" quotePrefix="0" xfId="11">
      <alignment horizontal="center" vertical="center"/>
    </xf>
    <xf numFmtId="0" fontId="21" fillId="0" borderId="31" applyAlignment="1" pivotButton="0" quotePrefix="0" xfId="11">
      <alignment horizontal="center" vertical="center"/>
    </xf>
    <xf numFmtId="0" fontId="21" fillId="3" borderId="31" applyAlignment="1" pivotButton="0" quotePrefix="0" xfId="11">
      <alignment horizontal="center" vertical="center"/>
    </xf>
    <xf numFmtId="0" fontId="21" fillId="3" borderId="52" applyAlignment="1" pivotButton="0" quotePrefix="0" xfId="11">
      <alignment horizontal="center" vertical="center"/>
    </xf>
    <xf numFmtId="0" fontId="21" fillId="0" borderId="52" applyAlignment="1" pivotButton="0" quotePrefix="0" xfId="11">
      <alignment horizontal="center" vertical="center"/>
    </xf>
    <xf numFmtId="0" fontId="21" fillId="3" borderId="43" applyAlignment="1" pivotButton="0" quotePrefix="0" xfId="11">
      <alignment horizontal="center" vertical="center"/>
    </xf>
    <xf numFmtId="0" fontId="23" fillId="7" borderId="30" applyAlignment="1" pivotButton="0" quotePrefix="0" xfId="11">
      <alignment horizontal="center" vertical="center"/>
    </xf>
    <xf numFmtId="0" fontId="23" fillId="7" borderId="31" applyAlignment="1" pivotButton="0" quotePrefix="0" xfId="0">
      <alignment vertical="center"/>
    </xf>
    <xf numFmtId="0" fontId="23" fillId="7" borderId="32" applyAlignment="1" pivotButton="0" quotePrefix="0" xfId="0">
      <alignment vertical="center"/>
    </xf>
    <xf numFmtId="166" fontId="23" fillId="6" borderId="2" applyAlignment="1" pivotButton="0" quotePrefix="0" xfId="0">
      <alignment horizontal="center" vertical="center"/>
    </xf>
    <xf numFmtId="164" fontId="16" fillId="0" borderId="1" applyAlignment="1" pivotButton="0" quotePrefix="0" xfId="1">
      <alignment horizontal="right" vertical="center"/>
    </xf>
    <xf numFmtId="164" fontId="29" fillId="0" borderId="1" applyAlignment="1" pivotButton="0" quotePrefix="0" xfId="1">
      <alignment horizontal="right" vertical="center"/>
    </xf>
    <xf numFmtId="166" fontId="14" fillId="9" borderId="1" applyAlignment="1" pivotButton="0" quotePrefix="0" xfId="12">
      <alignment horizontal="center" vertical="center"/>
    </xf>
    <xf numFmtId="166" fontId="15" fillId="9" borderId="1" applyAlignment="1" pivotButton="0" quotePrefix="0" xfId="12">
      <alignment horizontal="center" vertical="center"/>
    </xf>
    <xf numFmtId="164" fontId="20" fillId="2" borderId="6" applyAlignment="1" pivotButton="0" quotePrefix="0" xfId="1">
      <alignment horizontal="right" vertical="center"/>
    </xf>
    <xf numFmtId="164" fontId="28" fillId="2" borderId="6" applyAlignment="1" pivotButton="0" quotePrefix="0" xfId="1">
      <alignment horizontal="right" vertical="center"/>
    </xf>
    <xf numFmtId="164" fontId="12" fillId="17" borderId="3" applyAlignment="1" pivotButton="0" quotePrefix="0" xfId="1">
      <alignment vertical="center"/>
    </xf>
    <xf numFmtId="164" fontId="32" fillId="16" borderId="3" applyAlignment="1" pivotButton="0" quotePrefix="0" xfId="1">
      <alignment vertical="center"/>
    </xf>
    <xf numFmtId="166" fontId="0" fillId="0" borderId="8" pivotButton="0" quotePrefix="0" xfId="0"/>
    <xf numFmtId="0" fontId="38" fillId="2" borderId="32" applyAlignment="1" pivotButton="0" quotePrefix="0" xfId="14">
      <alignment horizontal="center" vertical="center" wrapText="1"/>
    </xf>
    <xf numFmtId="166" fontId="28" fillId="6" borderId="2" applyAlignment="1" pivotButton="0" quotePrefix="0" xfId="0">
      <alignment horizontal="center" vertical="center"/>
    </xf>
    <xf numFmtId="166" fontId="11" fillId="7" borderId="3" pivotButton="0" quotePrefix="0" xfId="2"/>
    <xf numFmtId="166" fontId="15" fillId="7" borderId="3" pivotButton="0" quotePrefix="0" xfId="2"/>
    <xf numFmtId="43" fontId="15" fillId="7" borderId="3" pivotButton="0" quotePrefix="0" xfId="4"/>
    <xf numFmtId="164" fontId="11" fillId="7" borderId="3" pivotButton="0" quotePrefix="0" xfId="4"/>
    <xf numFmtId="1" fontId="11" fillId="0" borderId="0" pivotButton="0" quotePrefix="0" xfId="2"/>
    <xf numFmtId="166" fontId="11" fillId="7" borderId="1" pivotButton="0" quotePrefix="0" xfId="2"/>
    <xf numFmtId="166" fontId="15" fillId="7" borderId="1" pivotButton="0" quotePrefix="0" xfId="2"/>
    <xf numFmtId="166" fontId="15" fillId="0" borderId="2" pivotButton="0" quotePrefix="0" xfId="2"/>
    <xf numFmtId="0" fontId="0" fillId="3" borderId="3" applyAlignment="1" pivotButton="0" quotePrefix="0" xfId="11">
      <alignment vertical="center"/>
    </xf>
    <xf numFmtId="164" fontId="12" fillId="2" borderId="6" applyAlignment="1" pivotButton="0" quotePrefix="0" xfId="12">
      <alignment horizontal="center" vertical="center"/>
    </xf>
    <xf numFmtId="164" fontId="9" fillId="2" borderId="6" applyAlignment="1" pivotButton="0" quotePrefix="0" xfId="12">
      <alignment horizontal="center" vertical="center"/>
    </xf>
    <xf numFmtId="164" fontId="21" fillId="15" borderId="57" applyAlignment="1" pivotButton="0" quotePrefix="0" xfId="1">
      <alignment vertical="center"/>
    </xf>
    <xf numFmtId="170" fontId="21" fillId="15" borderId="57" applyAlignment="1" pivotButton="0" quotePrefix="0" xfId="1">
      <alignment vertical="center"/>
    </xf>
    <xf numFmtId="0" fontId="12" fillId="2" borderId="16" applyAlignment="1" pivotButton="0" quotePrefix="0" xfId="0">
      <alignment horizontal="center" vertical="center" wrapText="1"/>
    </xf>
    <xf numFmtId="166" fontId="15" fillId="0" borderId="4" pivotButton="0" quotePrefix="0" xfId="2"/>
    <xf numFmtId="166" fontId="15" fillId="0" borderId="1" pivotButton="0" quotePrefix="0" xfId="2"/>
    <xf numFmtId="0" fontId="11" fillId="6" borderId="3" pivotButton="0" quotePrefix="0" xfId="14"/>
    <xf numFmtId="0" fontId="12" fillId="6" borderId="3" applyAlignment="1" pivotButton="0" quotePrefix="0" xfId="2">
      <alignment horizontal="center"/>
    </xf>
    <xf numFmtId="0" fontId="10" fillId="6" borderId="3" pivotButton="0" quotePrefix="0" xfId="14"/>
    <xf numFmtId="0" fontId="12" fillId="6" borderId="3" applyAlignment="1" pivotButton="0" quotePrefix="0" xfId="14">
      <alignment horizontal="center"/>
    </xf>
    <xf numFmtId="164" fontId="14" fillId="0" borderId="2" pivotButton="0" quotePrefix="0" xfId="2"/>
    <xf numFmtId="164" fontId="14" fillId="0" borderId="2" pivotButton="0" quotePrefix="0" xfId="1"/>
    <xf numFmtId="165" fontId="12" fillId="2" borderId="27" applyAlignment="1" pivotButton="0" quotePrefix="0" xfId="3">
      <alignment horizontal="center" vertical="center"/>
    </xf>
    <xf numFmtId="0" fontId="10" fillId="2" borderId="5" applyAlignment="1" pivotButton="0" quotePrefix="0" xfId="2">
      <alignment vertical="center"/>
    </xf>
    <xf numFmtId="0" fontId="10" fillId="2" borderId="6" applyAlignment="1" pivotButton="0" quotePrefix="0" xfId="2">
      <alignment vertical="center"/>
    </xf>
    <xf numFmtId="0" fontId="9" fillId="2" borderId="6" applyAlignment="1" pivotButton="0" quotePrefix="0" xfId="3">
      <alignment vertical="center" wrapText="1"/>
    </xf>
    <xf numFmtId="43" fontId="10" fillId="2" borderId="6" applyAlignment="1" pivotButton="0" quotePrefix="0" xfId="4">
      <alignment horizontal="center" vertical="center"/>
    </xf>
    <xf numFmtId="164" fontId="12" fillId="2" borderId="6" pivotButton="0" quotePrefix="0" xfId="1"/>
    <xf numFmtId="164" fontId="9" fillId="2" borderId="6" pivotButton="0" quotePrefix="0" xfId="1"/>
    <xf numFmtId="43" fontId="9" fillId="2" borderId="6" pivotButton="0" quotePrefix="0" xfId="4"/>
    <xf numFmtId="164" fontId="12" fillId="2" borderId="6" pivotButton="0" quotePrefix="0" xfId="4"/>
    <xf numFmtId="166" fontId="9" fillId="2" borderId="6" pivotButton="0" quotePrefix="0" xfId="2"/>
    <xf numFmtId="2" fontId="10" fillId="2" borderId="6" pivotButton="0" quotePrefix="0" xfId="2"/>
    <xf numFmtId="171" fontId="15" fillId="0" borderId="3" pivotButton="0" quotePrefix="0" xfId="2"/>
    <xf numFmtId="171" fontId="15" fillId="7" borderId="3" pivotButton="0" quotePrefix="0" xfId="2"/>
    <xf numFmtId="164" fontId="14" fillId="7" borderId="2" pivotButton="0" quotePrefix="0" xfId="2"/>
    <xf numFmtId="164" fontId="14" fillId="7" borderId="2" pivotButton="0" quotePrefix="0" xfId="1"/>
    <xf numFmtId="171" fontId="15" fillId="7" borderId="1" pivotButton="0" quotePrefix="0" xfId="2"/>
    <xf numFmtId="164" fontId="14" fillId="7" borderId="4" pivotButton="0" quotePrefix="0" xfId="2"/>
    <xf numFmtId="164" fontId="14" fillId="7" borderId="4" pivotButton="0" quotePrefix="0" xfId="1"/>
    <xf numFmtId="164" fontId="12" fillId="2" borderId="6" pivotButton="0" quotePrefix="0" xfId="2"/>
    <xf numFmtId="0" fontId="10" fillId="2" borderId="7" pivotButton="0" quotePrefix="0" xfId="2"/>
    <xf numFmtId="164" fontId="15" fillId="9" borderId="3" applyAlignment="1" pivotButton="0" quotePrefix="0" xfId="12">
      <alignment horizontal="center" vertical="center"/>
    </xf>
    <xf numFmtId="164" fontId="15" fillId="9" borderId="1" applyAlignment="1" pivotButton="0" quotePrefix="0" xfId="12">
      <alignment horizontal="center" vertical="center"/>
    </xf>
    <xf numFmtId="0" fontId="12" fillId="6" borderId="23" applyAlignment="1" pivotButton="0" quotePrefix="0" xfId="0">
      <alignment vertical="center" wrapText="1"/>
    </xf>
    <xf numFmtId="0" fontId="12" fillId="6" borderId="24" applyAlignment="1" pivotButton="0" quotePrefix="0" xfId="0">
      <alignment vertical="center" wrapText="1"/>
    </xf>
    <xf numFmtId="0" fontId="10" fillId="6" borderId="3" applyAlignment="1" pivotButton="0" quotePrefix="0" xfId="14">
      <alignment horizontal="center" vertical="center"/>
    </xf>
    <xf numFmtId="0" fontId="12" fillId="6" borderId="3" applyAlignment="1" pivotButton="0" quotePrefix="0" xfId="0">
      <alignment horizontal="center" vertical="center" wrapText="1"/>
    </xf>
    <xf numFmtId="0" fontId="10" fillId="6" borderId="3" pivotButton="0" quotePrefix="0" xfId="0"/>
    <xf numFmtId="164" fontId="14" fillId="0" borderId="3" applyAlignment="1" pivotButton="0" quotePrefix="0" xfId="15">
      <alignment horizontal="center" vertical="center"/>
    </xf>
    <xf numFmtId="164" fontId="14" fillId="9" borderId="3" applyAlignment="1" pivotButton="0" quotePrefix="0" xfId="14">
      <alignment vertical="center"/>
    </xf>
    <xf numFmtId="166" fontId="14" fillId="9" borderId="3" applyAlignment="1" pivotButton="0" quotePrefix="0" xfId="14">
      <alignment vertical="center"/>
    </xf>
    <xf numFmtId="164" fontId="14" fillId="0" borderId="3" applyAlignment="1" pivotButton="0" quotePrefix="0" xfId="15">
      <alignment vertical="center"/>
    </xf>
    <xf numFmtId="164" fontId="14" fillId="0" borderId="9" applyAlignment="1" pivotButton="0" quotePrefix="0" xfId="15">
      <alignment vertical="center"/>
    </xf>
    <xf numFmtId="170" fontId="14" fillId="0" borderId="3" applyAlignment="1" pivotButton="0" quotePrefix="0" xfId="0">
      <alignment horizontal="center" vertical="center"/>
    </xf>
    <xf numFmtId="170" fontId="14" fillId="9" borderId="3" applyAlignment="1" pivotButton="0" quotePrefix="0" xfId="12">
      <alignment horizontal="center" vertical="center"/>
    </xf>
    <xf numFmtId="0" fontId="20" fillId="2" borderId="7" applyAlignment="1" pivotButton="0" quotePrefix="0" xfId="11">
      <alignment vertical="center"/>
    </xf>
    <xf numFmtId="170" fontId="14" fillId="9" borderId="1" applyAlignment="1" pivotButton="0" quotePrefix="0" xfId="12">
      <alignment horizontal="center" vertical="center"/>
    </xf>
    <xf numFmtId="17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15">
      <alignment horizontal="center" vertical="center"/>
    </xf>
    <xf numFmtId="164" fontId="14" fillId="0" borderId="1" applyAlignment="1" pivotButton="0" quotePrefix="0" xfId="15">
      <alignment vertical="center"/>
    </xf>
    <xf numFmtId="164" fontId="14" fillId="0" borderId="23" applyAlignment="1" pivotButton="0" quotePrefix="0" xfId="15">
      <alignment vertical="center"/>
    </xf>
    <xf numFmtId="164" fontId="14" fillId="9" borderId="1" applyAlignment="1" pivotButton="0" quotePrefix="0" xfId="14">
      <alignment vertical="center"/>
    </xf>
    <xf numFmtId="166" fontId="14" fillId="9" borderId="1" applyAlignment="1" pivotButton="0" quotePrefix="0" xfId="14">
      <alignment vertical="center"/>
    </xf>
    <xf numFmtId="170" fontId="12" fillId="2" borderId="6" applyAlignment="1" pivotButton="0" quotePrefix="0" xfId="0">
      <alignment horizontal="center" vertical="center"/>
    </xf>
    <xf numFmtId="164" fontId="12" fillId="2" borderId="6" applyAlignment="1" pivotButton="0" quotePrefix="0" xfId="15">
      <alignment vertical="center"/>
    </xf>
    <xf numFmtId="164" fontId="12" fillId="2" borderId="26" applyAlignment="1" pivotButton="0" quotePrefix="0" xfId="15">
      <alignment vertical="center"/>
    </xf>
    <xf numFmtId="164" fontId="12" fillId="2" borderId="6" applyAlignment="1" pivotButton="0" quotePrefix="0" xfId="14">
      <alignment vertical="center"/>
    </xf>
    <xf numFmtId="0" fontId="10" fillId="9" borderId="0" applyAlignment="1" pivotButton="0" quotePrefix="0" xfId="20">
      <alignment horizontal="center" vertical="center"/>
    </xf>
    <xf numFmtId="0" fontId="21" fillId="0" borderId="0" applyAlignment="1" pivotButton="0" quotePrefix="0" xfId="19">
      <alignment horizontal="center" vertical="center"/>
    </xf>
    <xf numFmtId="0" fontId="21" fillId="0" borderId="3" applyAlignment="1" pivotButton="0" quotePrefix="0" xfId="19">
      <alignment horizontal="center" vertical="center"/>
    </xf>
    <xf numFmtId="0" fontId="21" fillId="3" borderId="3" applyAlignment="1" pivotButton="0" quotePrefix="0" xfId="19">
      <alignment horizontal="center" vertical="center"/>
    </xf>
    <xf numFmtId="0" fontId="23" fillId="3" borderId="3" applyAlignment="1" pivotButton="0" quotePrefix="0" xfId="19">
      <alignment horizontal="center" vertical="center"/>
    </xf>
    <xf numFmtId="164" fontId="21" fillId="9" borderId="3" applyAlignment="1" pivotButton="0" quotePrefix="0" xfId="21">
      <alignment horizontal="center" vertical="center"/>
    </xf>
    <xf numFmtId="164" fontId="23" fillId="0" borderId="3" applyAlignment="1" pivotButton="0" quotePrefix="0" xfId="21">
      <alignment horizontal="center" vertical="center"/>
    </xf>
    <xf numFmtId="164" fontId="21" fillId="0" borderId="3" applyAlignment="1" pivotButton="0" quotePrefix="0" xfId="21">
      <alignment horizontal="center" vertical="center"/>
    </xf>
    <xf numFmtId="164" fontId="21" fillId="0" borderId="3" applyAlignment="1" pivotButton="0" quotePrefix="0" xfId="21">
      <alignment horizontal="center" vertical="center"/>
    </xf>
    <xf numFmtId="164" fontId="23" fillId="0" borderId="3" applyAlignment="1" pivotButton="0" quotePrefix="0" xfId="21">
      <alignment horizontal="center" vertical="center"/>
    </xf>
    <xf numFmtId="164" fontId="23" fillId="0" borderId="3" applyAlignment="1" pivotButton="0" quotePrefix="0" xfId="19">
      <alignment horizontal="center" vertical="center"/>
    </xf>
    <xf numFmtId="164" fontId="28" fillId="0" borderId="3" applyAlignment="1" pivotButton="0" quotePrefix="0" xfId="19">
      <alignment horizontal="center" vertical="center"/>
    </xf>
    <xf numFmtId="164" fontId="11" fillId="7" borderId="3" applyAlignment="1" pivotButton="0" quotePrefix="0" xfId="20">
      <alignment vertical="center"/>
    </xf>
    <xf numFmtId="164" fontId="11" fillId="9" borderId="3" applyAlignment="1" pivotButton="0" quotePrefix="0" xfId="20">
      <alignment vertical="center"/>
    </xf>
    <xf numFmtId="0" fontId="29" fillId="0" borderId="3" applyAlignment="1" pivotButton="0" quotePrefix="0" xfId="19">
      <alignment horizontal="center" vertical="center"/>
    </xf>
    <xf numFmtId="164" fontId="28" fillId="0" borderId="3" applyAlignment="1" pivotButton="0" quotePrefix="0" xfId="21">
      <alignment horizontal="center" vertical="center"/>
    </xf>
    <xf numFmtId="164" fontId="28" fillId="0" borderId="3" applyAlignment="1" pivotButton="0" quotePrefix="0" xfId="21">
      <alignment horizontal="center" vertical="center"/>
    </xf>
    <xf numFmtId="0" fontId="28" fillId="0" borderId="0" applyAlignment="1" pivotButton="0" quotePrefix="0" xfId="19">
      <alignment horizontal="center" vertical="center"/>
    </xf>
    <xf numFmtId="167" fontId="23" fillId="0" borderId="3" applyAlignment="1" pivotButton="0" quotePrefix="0" xfId="21">
      <alignment horizontal="center" vertical="center"/>
    </xf>
    <xf numFmtId="164" fontId="20" fillId="16" borderId="3" applyAlignment="1" pivotButton="0" quotePrefix="0" xfId="19">
      <alignment horizontal="center" vertical="center"/>
    </xf>
    <xf numFmtId="164" fontId="20" fillId="16" borderId="3" applyAlignment="1" pivotButton="0" quotePrefix="0" xfId="21">
      <alignment horizontal="center" vertical="center"/>
    </xf>
    <xf numFmtId="0" fontId="20" fillId="0" borderId="0" applyAlignment="1" pivotButton="0" quotePrefix="0" xfId="19">
      <alignment horizontal="center" vertical="center"/>
    </xf>
    <xf numFmtId="164" fontId="10" fillId="6" borderId="3" applyAlignment="1" pivotButton="0" quotePrefix="0" xfId="20">
      <alignment vertical="center"/>
    </xf>
    <xf numFmtId="164" fontId="12" fillId="6" borderId="6" pivotButton="0" quotePrefix="0" xfId="2"/>
    <xf numFmtId="164" fontId="12" fillId="6" borderId="6" applyAlignment="1" pivotButton="0" quotePrefix="0" xfId="15">
      <alignment horizontal="center" vertical="center"/>
    </xf>
    <xf numFmtId="164" fontId="12" fillId="6" borderId="6" applyAlignment="1" pivotButton="0" quotePrefix="0" xfId="15">
      <alignment vertical="center"/>
    </xf>
    <xf numFmtId="43" fontId="21" fillId="15" borderId="57" applyAlignment="1" pivotButton="0" quotePrefix="0" xfId="1">
      <alignment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 wrapText="1"/>
    </xf>
    <xf numFmtId="0" fontId="21" fillId="0" borderId="30" applyAlignment="1" pivotButton="0" quotePrefix="0" xfId="0">
      <alignment horizontal="center" vertical="center" wrapText="1"/>
    </xf>
    <xf numFmtId="0" fontId="21" fillId="2" borderId="12" applyAlignment="1" pivotButton="0" quotePrefix="0" xfId="0">
      <alignment horizontal="center"/>
    </xf>
    <xf numFmtId="0" fontId="21" fillId="2" borderId="3" applyAlignment="1" pivotButton="0" quotePrefix="0" xfId="0">
      <alignment horizontal="left" vertical="center"/>
    </xf>
    <xf numFmtId="2" fontId="21" fillId="2" borderId="3" applyAlignment="1" pivotButton="0" quotePrefix="0" xfId="0">
      <alignment horizontal="center" vertical="center"/>
    </xf>
    <xf numFmtId="2" fontId="21" fillId="2" borderId="3" applyAlignment="1" pivotButton="0" quotePrefix="0" xfId="0">
      <alignment horizontal="center"/>
    </xf>
    <xf numFmtId="0" fontId="21" fillId="0" borderId="12" applyAlignment="1" pivotButton="0" quotePrefix="0" xfId="0">
      <alignment horizontal="center"/>
    </xf>
    <xf numFmtId="0" fontId="21" fillId="0" borderId="3" applyAlignment="1" pivotButton="0" quotePrefix="0" xfId="0">
      <alignment horizontal="left" vertical="center"/>
    </xf>
    <xf numFmtId="172" fontId="21" fillId="0" borderId="3" applyAlignment="1" pivotButton="0" quotePrefix="0" xfId="0">
      <alignment horizontal="center" vertical="center"/>
    </xf>
    <xf numFmtId="2" fontId="21" fillId="0" borderId="3" applyAlignment="1" pivotButton="0" quotePrefix="0" xfId="0">
      <alignment horizontal="center"/>
    </xf>
    <xf numFmtId="2" fontId="21" fillId="0" borderId="3" applyAlignment="1" pivotButton="0" quotePrefix="0" xfId="0">
      <alignment horizontal="center" vertical="center"/>
    </xf>
    <xf numFmtId="173" fontId="21" fillId="0" borderId="3" applyAlignment="1" pivotButton="0" quotePrefix="0" xfId="0">
      <alignment horizontal="center"/>
    </xf>
    <xf numFmtId="173" fontId="21" fillId="0" borderId="3" applyAlignment="1" pivotButton="0" quotePrefix="0" xfId="0">
      <alignment horizontal="center" vertical="center"/>
    </xf>
    <xf numFmtId="1" fontId="21" fillId="2" borderId="31" applyAlignment="1" pivotButton="0" quotePrefix="0" xfId="0">
      <alignment horizontal="center" vertical="center"/>
    </xf>
    <xf numFmtId="1" fontId="21" fillId="0" borderId="3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21" fillId="2" borderId="3" applyAlignment="1" pivotButton="0" quotePrefix="0" xfId="0">
      <alignment horizontal="center"/>
    </xf>
    <xf numFmtId="0" fontId="21" fillId="0" borderId="3" applyAlignment="1" pivotButton="0" quotePrefix="0" xfId="0">
      <alignment horizontal="center"/>
    </xf>
    <xf numFmtId="0" fontId="48" fillId="6" borderId="16" pivotButton="0" quotePrefix="0" xfId="26"/>
    <xf numFmtId="0" fontId="48" fillId="6" borderId="19" pivotButton="0" quotePrefix="0" xfId="26"/>
    <xf numFmtId="0" fontId="48" fillId="6" borderId="34" pivotButton="0" quotePrefix="0" xfId="26"/>
    <xf numFmtId="0" fontId="48" fillId="24" borderId="34" pivotButton="0" quotePrefix="0" xfId="26"/>
    <xf numFmtId="0" fontId="48" fillId="6" borderId="22" pivotButton="0" quotePrefix="0" xfId="26"/>
    <xf numFmtId="0" fontId="48" fillId="6" borderId="16" applyAlignment="1" pivotButton="0" quotePrefix="0" xfId="26">
      <alignment horizontal="center" vertical="center"/>
    </xf>
    <xf numFmtId="0" fontId="48" fillId="6" borderId="30" pivotButton="0" quotePrefix="0" xfId="26"/>
    <xf numFmtId="0" fontId="2" fillId="0" borderId="0" pivotButton="0" quotePrefix="0" xfId="26"/>
    <xf numFmtId="0" fontId="48" fillId="6" borderId="13" applyAlignment="1" pivotButton="0" quotePrefix="0" xfId="26">
      <alignment horizontal="center"/>
    </xf>
    <xf numFmtId="0" fontId="48" fillId="6" borderId="17" pivotButton="0" quotePrefix="0" xfId="26"/>
    <xf numFmtId="0" fontId="48" fillId="6" borderId="41" pivotButton="0" quotePrefix="0" xfId="26"/>
    <xf numFmtId="0" fontId="48" fillId="6" borderId="49" pivotButton="0" quotePrefix="0" xfId="26"/>
    <xf numFmtId="0" fontId="48" fillId="24" borderId="36" pivotButton="0" quotePrefix="0" xfId="26"/>
    <xf numFmtId="0" fontId="48" fillId="6" borderId="59" pivotButton="0" quotePrefix="0" xfId="26"/>
    <xf numFmtId="0" fontId="48" fillId="6" borderId="32" pivotButton="0" quotePrefix="0" xfId="26"/>
    <xf numFmtId="0" fontId="48" fillId="0" borderId="2" applyAlignment="1" pivotButton="0" quotePrefix="0" xfId="26">
      <alignment horizontal="center"/>
    </xf>
    <xf numFmtId="0" fontId="23" fillId="0" borderId="10" applyAlignment="1" pivotButton="0" quotePrefix="0" xfId="26">
      <alignment horizontal="left"/>
    </xf>
    <xf numFmtId="0" fontId="48" fillId="0" borderId="3" applyAlignment="1" pivotButton="0" quotePrefix="0" xfId="26">
      <alignment horizontal="center" vertical="center"/>
    </xf>
    <xf numFmtId="0" fontId="48" fillId="0" borderId="2" pivotButton="0" quotePrefix="0" xfId="26"/>
    <xf numFmtId="0" fontId="48" fillId="0" borderId="0" applyAlignment="1" pivotButton="0" quotePrefix="0" xfId="26">
      <alignment horizontal="center"/>
    </xf>
    <xf numFmtId="0" fontId="48" fillId="0" borderId="8" applyAlignment="1" pivotButton="0" quotePrefix="0" xfId="26">
      <alignment horizontal="center"/>
    </xf>
    <xf numFmtId="0" fontId="48" fillId="0" borderId="37" applyAlignment="1" pivotButton="0" quotePrefix="0" xfId="26">
      <alignment horizontal="center"/>
    </xf>
    <xf numFmtId="0" fontId="48" fillId="0" borderId="37" applyAlignment="1" pivotButton="0" quotePrefix="0" xfId="26">
      <alignment horizontal="center" vertical="center"/>
    </xf>
    <xf numFmtId="0" fontId="48" fillId="0" borderId="10" applyAlignment="1" pivotButton="0" quotePrefix="0" xfId="26">
      <alignment horizontal="center"/>
    </xf>
    <xf numFmtId="0" fontId="48" fillId="0" borderId="2" applyAlignment="1" pivotButton="0" quotePrefix="0" xfId="26">
      <alignment horizontal="center" vertical="center"/>
    </xf>
    <xf numFmtId="9" fontId="48" fillId="0" borderId="2" applyAlignment="1" pivotButton="0" quotePrefix="0" xfId="26">
      <alignment horizontal="center" vertical="center"/>
    </xf>
    <xf numFmtId="0" fontId="48" fillId="0" borderId="0" applyAlignment="1" pivotButton="0" quotePrefix="0" xfId="26">
      <alignment horizontal="center" vertical="center"/>
    </xf>
    <xf numFmtId="0" fontId="48" fillId="0" borderId="8" applyAlignment="1" pivotButton="0" quotePrefix="0" xfId="26">
      <alignment horizontal="center" vertical="center"/>
    </xf>
    <xf numFmtId="0" fontId="48" fillId="0" borderId="57" applyAlignment="1" pivotButton="0" quotePrefix="0" xfId="26">
      <alignment horizontal="center"/>
    </xf>
    <xf numFmtId="0" fontId="48" fillId="0" borderId="3" applyAlignment="1" pivotButton="0" quotePrefix="0" xfId="26">
      <alignment horizontal="center"/>
    </xf>
    <xf numFmtId="0" fontId="48" fillId="0" borderId="3" pivotButton="0" quotePrefix="0" xfId="26"/>
    <xf numFmtId="0" fontId="48" fillId="0" borderId="9" applyAlignment="1" pivotButton="0" quotePrefix="0" xfId="26">
      <alignment horizontal="center"/>
    </xf>
    <xf numFmtId="0" fontId="48" fillId="0" borderId="35" applyAlignment="1" pivotButton="0" quotePrefix="0" xfId="26">
      <alignment horizontal="center"/>
    </xf>
    <xf numFmtId="0" fontId="48" fillId="0" borderId="10" pivotButton="0" quotePrefix="0" xfId="26"/>
    <xf numFmtId="9" fontId="48" fillId="0" borderId="3" applyAlignment="1" pivotButton="0" quotePrefix="0" xfId="26">
      <alignment horizontal="center"/>
    </xf>
    <xf numFmtId="165" fontId="48" fillId="0" borderId="3" pivotButton="0" quotePrefix="0" xfId="26"/>
    <xf numFmtId="0" fontId="2" fillId="0" borderId="3" pivotButton="0" quotePrefix="0" xfId="26"/>
    <xf numFmtId="0" fontId="48" fillId="0" borderId="3" applyAlignment="1" pivotButton="0" quotePrefix="0" xfId="26">
      <alignment horizontal="left" vertical="center"/>
    </xf>
    <xf numFmtId="0" fontId="48" fillId="0" borderId="3" applyAlignment="1" pivotButton="0" quotePrefix="0" xfId="26">
      <alignment horizontal="left"/>
    </xf>
    <xf numFmtId="0" fontId="48" fillId="0" borderId="66" applyAlignment="1" pivotButton="0" quotePrefix="0" xfId="26">
      <alignment horizontal="center"/>
    </xf>
    <xf numFmtId="0" fontId="21" fillId="0" borderId="10" applyAlignment="1" pivotButton="0" quotePrefix="0" xfId="26">
      <alignment horizontal="left"/>
    </xf>
    <xf numFmtId="0" fontId="2" fillId="0" borderId="3" applyAlignment="1" pivotButton="0" quotePrefix="0" xfId="26">
      <alignment horizontal="left" vertical="center"/>
    </xf>
    <xf numFmtId="0" fontId="2" fillId="0" borderId="9" pivotButton="0" quotePrefix="0" xfId="26"/>
    <xf numFmtId="0" fontId="2" fillId="0" borderId="36" pivotButton="0" quotePrefix="0" xfId="26"/>
    <xf numFmtId="0" fontId="2" fillId="0" borderId="10" pivotButton="0" quotePrefix="0" xfId="26"/>
    <xf numFmtId="0" fontId="2" fillId="0" borderId="0" applyAlignment="1" pivotButton="0" quotePrefix="0" xfId="26">
      <alignment horizontal="center"/>
    </xf>
    <xf numFmtId="166" fontId="23" fillId="0" borderId="3" applyAlignment="1" pivotButton="0" quotePrefix="0" xfId="19">
      <alignment horizontal="center" vertical="center"/>
    </xf>
    <xf numFmtId="166" fontId="28" fillId="0" borderId="3" applyAlignment="1" pivotButton="0" quotePrefix="0" xfId="19">
      <alignment horizontal="center" vertical="center"/>
    </xf>
    <xf numFmtId="164" fontId="9" fillId="2" borderId="6" pivotButton="0" quotePrefix="0" xfId="4"/>
    <xf numFmtId="164" fontId="14" fillId="7" borderId="1" pivotButton="0" quotePrefix="0" xfId="4"/>
    <xf numFmtId="164" fontId="15" fillId="7" borderId="1" pivotButton="0" quotePrefix="0" xfId="4"/>
    <xf numFmtId="164" fontId="14" fillId="7" borderId="3" pivotButton="0" quotePrefix="0" xfId="4"/>
    <xf numFmtId="164" fontId="15" fillId="7" borderId="3" pivotButton="0" quotePrefix="0" xfId="4"/>
    <xf numFmtId="0" fontId="14" fillId="0" borderId="3" applyAlignment="1" pivotButton="0" quotePrefix="0" xfId="3">
      <alignment vertical="center"/>
    </xf>
    <xf numFmtId="164" fontId="28" fillId="2" borderId="6" applyAlignment="1" pivotButton="0" quotePrefix="0" xfId="12">
      <alignment horizontal="center" vertical="center"/>
    </xf>
    <xf numFmtId="166" fontId="12" fillId="2" borderId="20" applyAlignment="1" pivotButton="0" quotePrefix="0" xfId="14">
      <alignment vertical="center"/>
    </xf>
    <xf numFmtId="0" fontId="15" fillId="0" borderId="3" applyAlignment="1" pivotButton="0" quotePrefix="0" xfId="11">
      <alignment horizontal="left" vertical="center"/>
    </xf>
    <xf numFmtId="0" fontId="1" fillId="0" borderId="0" pivotButton="0" quotePrefix="0" xfId="27"/>
    <xf numFmtId="0" fontId="23" fillId="0" borderId="2" applyAlignment="1" pivotButton="0" quotePrefix="0" xfId="27">
      <alignment horizontal="center" vertical="center" wrapText="1"/>
    </xf>
    <xf numFmtId="0" fontId="23" fillId="0" borderId="3" applyAlignment="1" pivotButton="0" quotePrefix="0" xfId="27">
      <alignment vertical="center" wrapText="1"/>
    </xf>
    <xf numFmtId="0" fontId="23" fillId="0" borderId="3" applyAlignment="1" pivotButton="0" quotePrefix="0" xfId="27">
      <alignment horizontal="center" vertical="center"/>
    </xf>
    <xf numFmtId="0" fontId="23" fillId="0" borderId="3" applyAlignment="1" pivotButton="0" quotePrefix="0" xfId="27">
      <alignment horizontal="center"/>
    </xf>
    <xf numFmtId="0" fontId="23" fillId="9" borderId="3" applyAlignment="1" pivotButton="0" quotePrefix="0" xfId="27">
      <alignment vertical="center" wrapText="1"/>
    </xf>
    <xf numFmtId="0" fontId="23" fillId="9" borderId="3" applyAlignment="1" pivotButton="0" quotePrefix="0" xfId="27">
      <alignment horizontal="center" vertical="center" wrapText="1"/>
    </xf>
    <xf numFmtId="0" fontId="10" fillId="9" borderId="9" applyAlignment="1" pivotButton="0" quotePrefix="0" xfId="27">
      <alignment vertical="center"/>
    </xf>
    <xf numFmtId="0" fontId="10" fillId="9" borderId="3" applyAlignment="1" pivotButton="0" quotePrefix="0" xfId="27">
      <alignment vertical="center"/>
    </xf>
    <xf numFmtId="0" fontId="10" fillId="9" borderId="3" applyAlignment="1" pivotButton="0" quotePrefix="0" xfId="27">
      <alignment horizontal="center" vertical="center"/>
    </xf>
    <xf numFmtId="0" fontId="39" fillId="0" borderId="3" applyAlignment="1" pivotButton="0" quotePrefix="0" xfId="27">
      <alignment horizontal="center" vertical="center"/>
    </xf>
    <xf numFmtId="0" fontId="23" fillId="9" borderId="3" applyAlignment="1" pivotButton="0" quotePrefix="0" xfId="27">
      <alignment horizontal="center" vertical="center"/>
    </xf>
    <xf numFmtId="0" fontId="23" fillId="9" borderId="3" applyAlignment="1" pivotButton="0" quotePrefix="0" xfId="27">
      <alignment vertical="center"/>
    </xf>
    <xf numFmtId="0" fontId="23" fillId="6" borderId="3" applyAlignment="1" pivotButton="0" quotePrefix="0" xfId="27">
      <alignment horizontal="center" vertical="center"/>
    </xf>
    <xf numFmtId="0" fontId="23" fillId="6" borderId="3" applyAlignment="1" pivotButton="0" quotePrefix="0" xfId="27">
      <alignment horizontal="center"/>
    </xf>
    <xf numFmtId="0" fontId="39" fillId="0" borderId="0" applyAlignment="1" pivotButton="0" quotePrefix="0" xfId="27">
      <alignment horizontal="center" vertical="center"/>
    </xf>
    <xf numFmtId="0" fontId="42" fillId="0" borderId="0" applyAlignment="1" pivotButton="0" quotePrefix="0" xfId="27">
      <alignment horizontal="center"/>
    </xf>
    <xf numFmtId="0" fontId="39" fillId="0" borderId="0" pivotButton="0" quotePrefix="0" xfId="27"/>
    <xf numFmtId="0" fontId="39" fillId="0" borderId="0" applyAlignment="1" pivotButton="0" quotePrefix="0" xfId="27">
      <alignment horizontal="center"/>
    </xf>
    <xf numFmtId="0" fontId="43" fillId="0" borderId="0" applyAlignment="1" pivotButton="0" quotePrefix="0" xfId="27">
      <alignment horizontal="center"/>
    </xf>
    <xf numFmtId="0" fontId="43" fillId="0" borderId="0" pivotButton="0" quotePrefix="0" xfId="27"/>
    <xf numFmtId="0" fontId="23" fillId="0" borderId="0" applyAlignment="1" pivotButton="0" quotePrefix="0" xfId="27">
      <alignment horizontal="center" vertical="center"/>
    </xf>
    <xf numFmtId="0" fontId="28" fillId="0" borderId="0" applyAlignment="1" pivotButton="0" quotePrefix="0" xfId="27">
      <alignment horizontal="center"/>
    </xf>
    <xf numFmtId="0" fontId="23" fillId="0" borderId="0" pivotButton="0" quotePrefix="0" xfId="27"/>
    <xf numFmtId="0" fontId="23" fillId="0" borderId="0" applyAlignment="1" pivotButton="0" quotePrefix="0" xfId="27">
      <alignment horizontal="center"/>
    </xf>
    <xf numFmtId="0" fontId="44" fillId="0" borderId="0" applyAlignment="1" pivotButton="0" quotePrefix="0" xfId="27">
      <alignment horizontal="center"/>
    </xf>
    <xf numFmtId="0" fontId="44" fillId="0" borderId="0" pivotButton="0" quotePrefix="0" xfId="27"/>
    <xf numFmtId="0" fontId="33" fillId="0" borderId="3" applyAlignment="1" pivotButton="0" quotePrefix="0" xfId="27">
      <alignment horizontal="center" vertical="center"/>
    </xf>
    <xf numFmtId="0" fontId="33" fillId="0" borderId="3" applyAlignment="1" pivotButton="0" quotePrefix="0" xfId="27">
      <alignment horizontal="center"/>
    </xf>
    <xf numFmtId="0" fontId="39" fillId="0" borderId="3" applyAlignment="1" pivotButton="0" quotePrefix="0" xfId="27">
      <alignment horizontal="center"/>
    </xf>
    <xf numFmtId="0" fontId="1" fillId="0" borderId="0" applyAlignment="1" pivotButton="0" quotePrefix="0" xfId="27">
      <alignment horizontal="center"/>
    </xf>
    <xf numFmtId="14" fontId="39" fillId="22" borderId="3" applyAlignment="1" pivotButton="0" quotePrefix="0" xfId="27">
      <alignment horizontal="center" vertical="center"/>
    </xf>
    <xf numFmtId="0" fontId="39" fillId="22" borderId="3" applyAlignment="1" pivotButton="0" quotePrefix="0" xfId="27">
      <alignment horizontal="center" vertical="center"/>
    </xf>
    <xf numFmtId="0" fontId="23" fillId="22" borderId="3" applyAlignment="1" pivotButton="0" quotePrefix="0" xfId="27">
      <alignment horizontal="center"/>
    </xf>
    <xf numFmtId="0" fontId="23" fillId="22" borderId="3" applyAlignment="1" pivotButton="0" quotePrefix="0" xfId="27">
      <alignment vertical="center"/>
    </xf>
    <xf numFmtId="0" fontId="45" fillId="22" borderId="3" applyAlignment="1" pivotButton="0" quotePrefix="0" xfId="27">
      <alignment horizontal="right" vertical="top"/>
    </xf>
    <xf numFmtId="0" fontId="23" fillId="22" borderId="3" applyAlignment="1" pivotButton="0" quotePrefix="0" xfId="27">
      <alignment horizontal="center" vertical="center"/>
    </xf>
    <xf numFmtId="0" fontId="21" fillId="22" borderId="3" applyAlignment="1" pivotButton="0" quotePrefix="0" xfId="27">
      <alignment horizontal="right" vertical="top"/>
    </xf>
    <xf numFmtId="0" fontId="39" fillId="22" borderId="3" applyAlignment="1" pivotButton="0" quotePrefix="0" xfId="27">
      <alignment horizontal="right" vertical="top"/>
    </xf>
    <xf numFmtId="0" fontId="23" fillId="22" borderId="3" applyAlignment="1" pivotButton="0" quotePrefix="0" xfId="27">
      <alignment vertical="center" wrapText="1"/>
    </xf>
    <xf numFmtId="0" fontId="23" fillId="22" borderId="3" applyAlignment="1" pivotButton="0" quotePrefix="0" xfId="27">
      <alignment horizontal="center" vertical="center" wrapText="1"/>
    </xf>
    <xf numFmtId="0" fontId="21" fillId="22" borderId="3" applyAlignment="1" pivotButton="0" quotePrefix="0" xfId="27">
      <alignment horizontal="center" vertical="center"/>
    </xf>
    <xf numFmtId="0" fontId="39" fillId="22" borderId="3" pivotButton="0" quotePrefix="0" xfId="27"/>
    <xf numFmtId="0" fontId="23" fillId="22" borderId="3" pivotButton="0" quotePrefix="0" xfId="27"/>
    <xf numFmtId="14" fontId="39" fillId="0" borderId="3" applyAlignment="1" pivotButton="0" quotePrefix="0" xfId="27">
      <alignment horizontal="center" vertical="center"/>
    </xf>
    <xf numFmtId="0" fontId="39" fillId="0" borderId="3" applyAlignment="1" pivotButton="0" quotePrefix="0" xfId="27">
      <alignment horizontal="right" vertical="top"/>
    </xf>
    <xf numFmtId="0" fontId="39" fillId="9" borderId="3" pivotButton="0" quotePrefix="0" xfId="27"/>
    <xf numFmtId="0" fontId="45" fillId="9" borderId="3" applyAlignment="1" pivotButton="0" quotePrefix="0" xfId="27">
      <alignment horizontal="right" vertical="top"/>
    </xf>
    <xf numFmtId="0" fontId="45" fillId="9" borderId="3" pivotButton="0" quotePrefix="0" xfId="27"/>
    <xf numFmtId="0" fontId="39" fillId="9" borderId="3" applyAlignment="1" pivotButton="0" quotePrefix="0" xfId="27">
      <alignment horizontal="right" vertical="top"/>
    </xf>
    <xf numFmtId="0" fontId="45" fillId="22" borderId="3" pivotButton="0" quotePrefix="0" xfId="27"/>
    <xf numFmtId="0" fontId="21" fillId="9" borderId="3" applyAlignment="1" pivotButton="0" quotePrefix="0" xfId="27">
      <alignment horizontal="right" vertical="top"/>
    </xf>
    <xf numFmtId="0" fontId="21" fillId="9" borderId="3" applyAlignment="1" pivotButton="0" quotePrefix="0" xfId="27">
      <alignment horizontal="center" vertical="center"/>
    </xf>
    <xf numFmtId="0" fontId="23" fillId="0" borderId="43" applyAlignment="1" pivotButton="0" quotePrefix="0" xfId="27">
      <alignment wrapText="1"/>
    </xf>
    <xf numFmtId="0" fontId="23" fillId="0" borderId="0" applyAlignment="1" pivotButton="0" quotePrefix="0" xfId="27">
      <alignment wrapText="1"/>
    </xf>
    <xf numFmtId="0" fontId="21" fillId="0" borderId="3" applyAlignment="1" pivotButton="0" quotePrefix="0" xfId="27">
      <alignment horizontal="center"/>
    </xf>
    <xf numFmtId="14" fontId="21" fillId="0" borderId="3" applyAlignment="1" pivotButton="0" quotePrefix="0" xfId="27">
      <alignment horizontal="center" vertical="center"/>
    </xf>
    <xf numFmtId="0" fontId="1" fillId="0" borderId="3" applyAlignment="1" pivotButton="0" quotePrefix="0" xfId="27">
      <alignment horizontal="center" vertical="center"/>
    </xf>
    <xf numFmtId="0" fontId="21" fillId="0" borderId="3" applyAlignment="1" pivotButton="0" quotePrefix="0" xfId="27">
      <alignment horizontal="center" vertical="center"/>
    </xf>
    <xf numFmtId="0" fontId="21" fillId="9" borderId="3" applyAlignment="1" pivotButton="0" quotePrefix="0" xfId="27">
      <alignment vertical="center"/>
    </xf>
    <xf numFmtId="0" fontId="21" fillId="9" borderId="3" applyAlignment="1" pivotButton="0" quotePrefix="0" xfId="27">
      <alignment horizontal="left"/>
    </xf>
    <xf numFmtId="0" fontId="21" fillId="0" borderId="9" applyAlignment="1" pivotButton="0" quotePrefix="0" xfId="27">
      <alignment horizontal="center"/>
    </xf>
    <xf numFmtId="0" fontId="21" fillId="9" borderId="3" pivotButton="0" quotePrefix="0" xfId="27"/>
    <xf numFmtId="14" fontId="21" fillId="0" borderId="3" applyAlignment="1" pivotButton="0" quotePrefix="0" xfId="27">
      <alignment horizontal="center"/>
    </xf>
    <xf numFmtId="14" fontId="21" fillId="0" borderId="10" applyAlignment="1" pivotButton="0" quotePrefix="0" xfId="27">
      <alignment horizontal="center" vertical="center"/>
    </xf>
    <xf numFmtId="0" fontId="21" fillId="0" borderId="3" pivotButton="0" quotePrefix="0" xfId="27"/>
    <xf numFmtId="165" fontId="21" fillId="0" borderId="3" applyAlignment="1" pivotButton="0" quotePrefix="0" xfId="27">
      <alignment horizontal="center" vertical="center"/>
    </xf>
    <xf numFmtId="14" fontId="21" fillId="22" borderId="3" applyAlignment="1" pivotButton="0" quotePrefix="0" xfId="27">
      <alignment horizontal="center" vertical="center"/>
    </xf>
    <xf numFmtId="0" fontId="21" fillId="0" borderId="3" applyAlignment="1" pivotButton="0" quotePrefix="0" xfId="27">
      <alignment horizontal="left"/>
    </xf>
    <xf numFmtId="14" fontId="21" fillId="0" borderId="2" applyAlignment="1" pivotButton="0" quotePrefix="0" xfId="27">
      <alignment horizontal="center" vertical="center"/>
    </xf>
    <xf numFmtId="0" fontId="21" fillId="0" borderId="2" applyAlignment="1" pivotButton="0" quotePrefix="0" xfId="27">
      <alignment horizontal="center" vertical="center" wrapText="1"/>
    </xf>
    <xf numFmtId="0" fontId="21" fillId="0" borderId="2" applyAlignment="1" pivotButton="0" quotePrefix="0" xfId="27">
      <alignment horizontal="center" vertical="center"/>
    </xf>
    <xf numFmtId="0" fontId="21" fillId="0" borderId="2" applyAlignment="1" pivotButton="0" quotePrefix="0" xfId="27">
      <alignment horizontal="center"/>
    </xf>
    <xf numFmtId="0" fontId="21" fillId="9" borderId="3" applyAlignment="1" pivotButton="0" quotePrefix="0" xfId="27">
      <alignment horizontal="center"/>
    </xf>
    <xf numFmtId="0" fontId="1" fillId="9" borderId="0" pivotButton="0" quotePrefix="0" xfId="27"/>
    <xf numFmtId="0" fontId="1" fillId="13" borderId="0" pivotButton="0" quotePrefix="0" xfId="27"/>
    <xf numFmtId="0" fontId="41" fillId="0" borderId="0" pivotButton="0" quotePrefix="0" xfId="27"/>
    <xf numFmtId="0" fontId="21" fillId="0" borderId="9" applyAlignment="1" pivotButton="0" quotePrefix="0" xfId="27">
      <alignment horizontal="center" vertical="center"/>
    </xf>
    <xf numFmtId="14" fontId="1" fillId="22" borderId="3" applyAlignment="1" pivotButton="0" quotePrefix="0" xfId="27">
      <alignment horizontal="center" vertical="center"/>
    </xf>
    <xf numFmtId="14" fontId="1" fillId="0" borderId="3" applyAlignment="1" pivotButton="0" quotePrefix="0" xfId="27">
      <alignment horizontal="center" vertical="center"/>
    </xf>
    <xf numFmtId="14" fontId="21" fillId="9" borderId="3" applyAlignment="1" pivotButton="0" quotePrefix="0" xfId="27">
      <alignment horizontal="center" vertical="center"/>
    </xf>
    <xf numFmtId="0" fontId="11" fillId="0" borderId="3" applyAlignment="1" pivotButton="0" quotePrefix="0" xfId="27">
      <alignment horizontal="center" vertical="center"/>
    </xf>
    <xf numFmtId="0" fontId="21" fillId="0" borderId="12" applyAlignment="1" pivotButton="0" quotePrefix="0" xfId="27">
      <alignment horizontal="center"/>
    </xf>
    <xf numFmtId="0" fontId="35" fillId="0" borderId="3" applyAlignment="1" pivotButton="0" quotePrefix="0" xfId="27">
      <alignment horizontal="center" vertical="center"/>
    </xf>
    <xf numFmtId="0" fontId="1" fillId="0" borderId="3" applyAlignment="1" pivotButton="0" quotePrefix="0" xfId="27">
      <alignment horizontal="center"/>
    </xf>
    <xf numFmtId="0" fontId="21" fillId="0" borderId="31" applyAlignment="1" pivotButton="0" quotePrefix="0" xfId="27">
      <alignment horizontal="center"/>
    </xf>
    <xf numFmtId="0" fontId="21" fillId="9" borderId="3" applyAlignment="1" pivotButton="0" quotePrefix="0" xfId="27">
      <alignment horizontal="left" vertical="center"/>
    </xf>
    <xf numFmtId="0" fontId="21" fillId="9" borderId="0" pivotButton="0" quotePrefix="0" xfId="27"/>
    <xf numFmtId="0" fontId="11" fillId="0" borderId="3" applyAlignment="1" pivotButton="0" quotePrefix="0" xfId="27">
      <alignment horizontal="center"/>
    </xf>
    <xf numFmtId="0" fontId="11" fillId="0" borderId="0" applyAlignment="1" pivotButton="0" quotePrefix="0" xfId="27">
      <alignment horizontal="center" vertical="center"/>
    </xf>
    <xf numFmtId="14" fontId="11" fillId="0" borderId="3" applyAlignment="1" pivotButton="0" quotePrefix="0" xfId="27">
      <alignment horizontal="center" vertical="center"/>
    </xf>
    <xf numFmtId="0" fontId="21" fillId="0" borderId="3" applyAlignment="1" pivotButton="0" quotePrefix="0" xfId="27">
      <alignment horizontal="left" vertical="top"/>
    </xf>
    <xf numFmtId="0" fontId="11" fillId="0" borderId="0" pivotButton="0" quotePrefix="0" xfId="27"/>
    <xf numFmtId="0" fontId="10" fillId="0" borderId="0" pivotButton="0" quotePrefix="0" xfId="27"/>
    <xf numFmtId="0" fontId="10" fillId="0" borderId="15" applyAlignment="1" pivotButton="0" quotePrefix="0" xfId="27">
      <alignment horizontal="center" vertical="center"/>
    </xf>
    <xf numFmtId="0" fontId="10" fillId="9" borderId="16" applyAlignment="1" pivotButton="0" quotePrefix="0" xfId="27">
      <alignment horizontal="center" vertical="center"/>
    </xf>
    <xf numFmtId="0" fontId="10" fillId="9" borderId="16" applyAlignment="1" pivotButton="0" quotePrefix="0" xfId="27">
      <alignment horizontal="center" vertical="center" wrapText="1"/>
    </xf>
    <xf numFmtId="164" fontId="10" fillId="9" borderId="29" applyAlignment="1" pivotButton="0" quotePrefix="0" xfId="29">
      <alignment horizontal="center" vertical="center"/>
    </xf>
    <xf numFmtId="164" fontId="10" fillId="9" borderId="64" applyAlignment="1" pivotButton="0" quotePrefix="0" xfId="29">
      <alignment horizontal="center" vertical="center"/>
    </xf>
    <xf numFmtId="0" fontId="10" fillId="0" borderId="3" applyAlignment="1" pivotButton="0" quotePrefix="0" xfId="27">
      <alignment horizontal="center" vertical="center"/>
    </xf>
    <xf numFmtId="0" fontId="10" fillId="9" borderId="57" applyAlignment="1" pivotButton="0" quotePrefix="0" xfId="27">
      <alignment horizontal="center" vertical="center"/>
    </xf>
    <xf numFmtId="0" fontId="10" fillId="9" borderId="2" applyAlignment="1" pivotButton="0" quotePrefix="0" xfId="27">
      <alignment horizontal="center" vertical="center"/>
    </xf>
    <xf numFmtId="0" fontId="10" fillId="2" borderId="3" applyAlignment="1" pivotButton="0" quotePrefix="0" xfId="27">
      <alignment horizontal="center" vertical="center" wrapText="1"/>
    </xf>
    <xf numFmtId="0" fontId="10" fillId="2" borderId="31" applyAlignment="1" pivotButton="0" quotePrefix="0" xfId="27">
      <alignment horizontal="center" vertical="center" wrapText="1"/>
    </xf>
    <xf numFmtId="0" fontId="11" fillId="0" borderId="3" pivotButton="0" quotePrefix="0" xfId="27"/>
    <xf numFmtId="0" fontId="11" fillId="0" borderId="10" applyAlignment="1" pivotButton="0" quotePrefix="0" xfId="27">
      <alignment horizontal="center" vertical="center"/>
    </xf>
    <xf numFmtId="0" fontId="10" fillId="0" borderId="11" applyAlignment="1" pivotButton="0" quotePrefix="0" xfId="27">
      <alignment horizontal="center" vertical="center"/>
    </xf>
    <xf numFmtId="164" fontId="10" fillId="0" borderId="31" applyAlignment="1" pivotButton="0" quotePrefix="0" xfId="29">
      <alignment vertical="center"/>
    </xf>
    <xf numFmtId="0" fontId="11" fillId="0" borderId="10" applyAlignment="1" pivotButton="0" quotePrefix="0" xfId="27">
      <alignment horizontal="left" vertical="center"/>
    </xf>
    <xf numFmtId="0" fontId="47" fillId="0" borderId="3" applyAlignment="1" pivotButton="0" quotePrefix="0" xfId="27">
      <alignment horizontal="center"/>
    </xf>
    <xf numFmtId="0" fontId="21" fillId="9" borderId="3" applyAlignment="1" pivotButton="0" quotePrefix="0" xfId="27">
      <alignment vertical="center" wrapText="1"/>
    </xf>
    <xf numFmtId="10" fontId="11" fillId="0" borderId="3" applyAlignment="1" pivotButton="0" quotePrefix="0" xfId="30">
      <alignment horizontal="center" vertical="center"/>
    </xf>
    <xf numFmtId="164" fontId="11" fillId="0" borderId="3" applyAlignment="1" pivotButton="0" quotePrefix="0" xfId="29">
      <alignment horizontal="center" vertical="center"/>
    </xf>
    <xf numFmtId="0" fontId="10" fillId="0" borderId="8" applyAlignment="1" pivotButton="0" quotePrefix="0" xfId="27">
      <alignment vertical="center"/>
    </xf>
    <xf numFmtId="164" fontId="11" fillId="0" borderId="9" applyAlignment="1" pivotButton="0" quotePrefix="0" xfId="29">
      <alignment horizontal="center" vertical="center"/>
    </xf>
    <xf numFmtId="164" fontId="10" fillId="0" borderId="9" applyAlignment="1" pivotButton="0" quotePrefix="0" xfId="29">
      <alignment horizontal="center" vertical="center"/>
    </xf>
    <xf numFmtId="164" fontId="10" fillId="0" borderId="31" applyAlignment="1" pivotButton="0" quotePrefix="0" xfId="29">
      <alignment horizontal="center" vertical="center"/>
    </xf>
    <xf numFmtId="0" fontId="11" fillId="23" borderId="65" pivotButton="0" quotePrefix="0" xfId="27"/>
    <xf numFmtId="0" fontId="11" fillId="23" borderId="3" applyAlignment="1" pivotButton="0" quotePrefix="0" xfId="27">
      <alignment horizontal="left" vertical="center"/>
    </xf>
    <xf numFmtId="14" fontId="11" fillId="23" borderId="3" applyAlignment="1" pivotButton="0" quotePrefix="0" xfId="27">
      <alignment horizontal="center" vertical="center"/>
    </xf>
    <xf numFmtId="1" fontId="11" fillId="23" borderId="3" applyAlignment="1" pivotButton="0" quotePrefix="0" xfId="27">
      <alignment horizontal="center" vertical="center"/>
    </xf>
    <xf numFmtId="10" fontId="11" fillId="23" borderId="3" applyAlignment="1" pivotButton="0" quotePrefix="0" xfId="27">
      <alignment horizontal="center" vertical="center"/>
    </xf>
    <xf numFmtId="164" fontId="11" fillId="23" borderId="3" applyAlignment="1" pivotButton="0" quotePrefix="0" xfId="29">
      <alignment horizontal="center" vertical="center"/>
    </xf>
    <xf numFmtId="0" fontId="11" fillId="9" borderId="9" applyAlignment="1" pivotButton="0" quotePrefix="0" xfId="27">
      <alignment vertical="center"/>
    </xf>
    <xf numFmtId="1" fontId="11" fillId="0" borderId="3" applyAlignment="1" pivotButton="0" quotePrefix="0" xfId="27">
      <alignment horizontal="center" vertical="center"/>
    </xf>
    <xf numFmtId="10" fontId="11" fillId="0" borderId="3" applyAlignment="1" pivotButton="0" quotePrefix="0" xfId="27">
      <alignment horizontal="center" vertical="center"/>
    </xf>
    <xf numFmtId="164" fontId="11" fillId="0" borderId="2" applyAlignment="1" pivotButton="0" quotePrefix="0" xfId="29">
      <alignment horizontal="center" vertical="center"/>
    </xf>
    <xf numFmtId="164" fontId="11" fillId="0" borderId="8" applyAlignment="1" pivotButton="0" quotePrefix="0" xfId="29">
      <alignment horizontal="center" vertical="center"/>
    </xf>
    <xf numFmtId="0" fontId="11" fillId="0" borderId="57" applyAlignment="1" pivotButton="0" quotePrefix="0" xfId="27">
      <alignment horizontal="left" vertical="center"/>
    </xf>
    <xf numFmtId="0" fontId="11" fillId="0" borderId="3" applyAlignment="1" pivotButton="0" quotePrefix="0" xfId="27">
      <alignment horizontal="center" vertical="center" wrapText="1"/>
    </xf>
    <xf numFmtId="164" fontId="11" fillId="23" borderId="3" applyAlignment="1" pivotButton="0" quotePrefix="0" xfId="27">
      <alignment horizontal="center" vertical="center"/>
    </xf>
    <xf numFmtId="1" fontId="11" fillId="0" borderId="1" applyAlignment="1" pivotButton="0" quotePrefix="0" xfId="27">
      <alignment horizontal="center" vertical="center"/>
    </xf>
    <xf numFmtId="9" fontId="11" fillId="0" borderId="1" applyAlignment="1" pivotButton="0" quotePrefix="0" xfId="27">
      <alignment horizontal="center" vertical="center"/>
    </xf>
    <xf numFmtId="164" fontId="11" fillId="0" borderId="1" applyAlignment="1" pivotButton="0" quotePrefix="0" xfId="27">
      <alignment horizontal="center" vertical="center"/>
    </xf>
    <xf numFmtId="0" fontId="11" fillId="0" borderId="1" applyAlignment="1" pivotButton="0" quotePrefix="0" xfId="27">
      <alignment horizontal="left" vertical="center"/>
    </xf>
    <xf numFmtId="14" fontId="11" fillId="23" borderId="17" applyAlignment="1" pivotButton="0" quotePrefix="0" xfId="27">
      <alignment horizontal="center" vertical="center"/>
    </xf>
    <xf numFmtId="164" fontId="10" fillId="23" borderId="17" applyAlignment="1" pivotButton="0" quotePrefix="0" xfId="29">
      <alignment horizontal="center" vertical="center"/>
    </xf>
    <xf numFmtId="0" fontId="11" fillId="9" borderId="17" pivotButton="0" quotePrefix="0" xfId="27"/>
    <xf numFmtId="14" fontId="11" fillId="9" borderId="17" applyAlignment="1" pivotButton="0" quotePrefix="0" xfId="27">
      <alignment horizontal="center" vertical="center"/>
    </xf>
    <xf numFmtId="164" fontId="10" fillId="9" borderId="17" applyAlignment="1" pivotButton="0" quotePrefix="0" xfId="29">
      <alignment horizontal="center" vertical="center"/>
    </xf>
    <xf numFmtId="164" fontId="10" fillId="9" borderId="32" applyAlignment="1" pivotButton="0" quotePrefix="0" xfId="29">
      <alignment horizontal="center" vertical="center"/>
    </xf>
    <xf numFmtId="164" fontId="10" fillId="0" borderId="0" pivotButton="0" quotePrefix="0" xfId="29"/>
    <xf numFmtId="164" fontId="11" fillId="9" borderId="9" applyAlignment="1" pivotButton="0" quotePrefix="0" xfId="20">
      <alignment vertical="center"/>
    </xf>
    <xf numFmtId="164" fontId="10" fillId="6" borderId="9" applyAlignment="1" pivotButton="0" quotePrefix="0" xfId="20">
      <alignment vertical="center"/>
    </xf>
    <xf numFmtId="0" fontId="10" fillId="7" borderId="35" applyAlignment="1" pivotButton="0" quotePrefix="0" xfId="20">
      <alignment horizontal="center" vertical="center"/>
    </xf>
    <xf numFmtId="0" fontId="23" fillId="7" borderId="35" applyAlignment="1" pivotButton="0" quotePrefix="0" xfId="19">
      <alignment horizontal="center" vertical="center"/>
    </xf>
    <xf numFmtId="0" fontId="28" fillId="7" borderId="35" applyAlignment="1" pivotButton="0" quotePrefix="0" xfId="19">
      <alignment horizontal="center" vertical="center"/>
    </xf>
    <xf numFmtId="0" fontId="23" fillId="0" borderId="1" applyAlignment="1" pivotButton="0" quotePrefix="0" xfId="27">
      <alignment horizontal="left" vertical="center"/>
    </xf>
    <xf numFmtId="14" fontId="23" fillId="0" borderId="1" applyAlignment="1" pivotButton="0" quotePrefix="0" xfId="27">
      <alignment horizontal="center" vertical="center"/>
    </xf>
    <xf numFmtId="1" fontId="23" fillId="0" borderId="1" applyAlignment="1" pivotButton="0" quotePrefix="0" xfId="27">
      <alignment horizontal="center" vertical="center"/>
    </xf>
    <xf numFmtId="164" fontId="23" fillId="0" borderId="1" applyAlignment="1" pivotButton="0" quotePrefix="0" xfId="27">
      <alignment horizontal="center" vertical="center"/>
    </xf>
    <xf numFmtId="2" fontId="23" fillId="0" borderId="1" applyAlignment="1" pivotButton="0" quotePrefix="0" xfId="27">
      <alignment horizontal="center" vertical="center"/>
    </xf>
    <xf numFmtId="17" fontId="10" fillId="0" borderId="3" applyAlignment="1" pivotButton="0" quotePrefix="0" xfId="2">
      <alignment horizontal="center"/>
    </xf>
    <xf numFmtId="17" fontId="10" fillId="2" borderId="3" applyAlignment="1" pivotButton="0" quotePrefix="0" xfId="2">
      <alignment horizontal="center"/>
    </xf>
    <xf numFmtId="0" fontId="12" fillId="0" borderId="3" applyAlignment="1" pivotButton="0" quotePrefix="0" xfId="3">
      <alignment horizontal="center" vertical="center"/>
    </xf>
    <xf numFmtId="0" fontId="9" fillId="0" borderId="3" applyAlignment="1" pivotButton="0" quotePrefix="0" xfId="2">
      <alignment horizontal="center" vertical="center"/>
    </xf>
    <xf numFmtId="0" fontId="12" fillId="0" borderId="3" applyAlignment="1" pivotButton="0" quotePrefix="0" xfId="3">
      <alignment horizontal="center" vertical="center" wrapText="1"/>
    </xf>
    <xf numFmtId="0" fontId="10" fillId="6" borderId="3" applyAlignment="1" pivotButton="0" quotePrefix="0" xfId="2">
      <alignment horizontal="center" wrapText="1"/>
    </xf>
    <xf numFmtId="0" fontId="15" fillId="6" borderId="3" applyAlignment="1" pivotButton="0" quotePrefix="0" xfId="2">
      <alignment horizontal="center" wrapText="1"/>
    </xf>
    <xf numFmtId="0" fontId="10" fillId="0" borderId="3" applyAlignment="1" pivotButton="0" quotePrefix="0" xfId="2">
      <alignment horizontal="center"/>
    </xf>
    <xf numFmtId="0" fontId="12" fillId="2" borderId="3" applyAlignment="1" pivotButton="0" quotePrefix="0" xfId="17">
      <alignment horizontal="center" vertical="center"/>
    </xf>
    <xf numFmtId="0" fontId="12" fillId="7" borderId="3" applyAlignment="1" pivotButton="0" quotePrefix="0" xfId="17">
      <alignment horizontal="center" vertical="center"/>
    </xf>
    <xf numFmtId="0" fontId="12" fillId="4" borderId="3" applyAlignment="1" pivotButton="0" quotePrefix="0" xfId="17">
      <alignment horizontal="center" vertical="center"/>
    </xf>
    <xf numFmtId="0" fontId="12" fillId="16" borderId="3" applyAlignment="1" pivotButton="0" quotePrefix="0" xfId="17">
      <alignment horizontal="center" vertical="center"/>
    </xf>
    <xf numFmtId="0" fontId="12" fillId="16" borderId="9" applyAlignment="1" pivotButton="0" quotePrefix="0" xfId="17">
      <alignment horizontal="center" vertical="center"/>
    </xf>
    <xf numFmtId="0" fontId="12" fillId="6" borderId="21" applyAlignment="1" pivotButton="0" quotePrefix="0" xfId="3">
      <alignment horizontal="center" vertical="center" wrapText="1"/>
    </xf>
    <xf numFmtId="0" fontId="12" fillId="6" borderId="40" applyAlignment="1" pivotButton="0" quotePrefix="0" xfId="3">
      <alignment horizontal="center" vertical="center" wrapText="1"/>
    </xf>
    <xf numFmtId="17" fontId="21" fillId="19" borderId="3" applyAlignment="1" pivotButton="0" quotePrefix="0" xfId="0">
      <alignment horizontal="center" vertical="center"/>
    </xf>
    <xf numFmtId="0" fontId="21" fillId="19" borderId="3" applyAlignment="1" pivotButton="0" quotePrefix="0" xfId="0">
      <alignment horizontal="center" vertical="center"/>
    </xf>
    <xf numFmtId="17" fontId="23" fillId="19" borderId="3" applyAlignment="1" pivotButton="0" quotePrefix="0" xfId="0">
      <alignment horizontal="center" vertical="center"/>
    </xf>
    <xf numFmtId="0" fontId="23" fillId="19" borderId="3" applyAlignment="1" pivotButton="0" quotePrefix="0" xfId="0">
      <alignment horizontal="center" vertical="center"/>
    </xf>
    <xf numFmtId="17" fontId="23" fillId="19" borderId="10" applyAlignment="1" pivotButton="0" quotePrefix="0" xfId="0">
      <alignment horizontal="center" vertical="center"/>
    </xf>
    <xf numFmtId="0" fontId="23" fillId="19" borderId="12" applyAlignment="1" pivotButton="0" quotePrefix="0" xfId="0">
      <alignment horizontal="center" vertical="center"/>
    </xf>
    <xf numFmtId="0" fontId="23" fillId="19" borderId="9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28" fillId="0" borderId="9" applyAlignment="1" pivotButton="0" quotePrefix="0" xfId="0">
      <alignment horizontal="center" vertical="center"/>
    </xf>
    <xf numFmtId="0" fontId="28" fillId="0" borderId="11" applyAlignment="1" pivotButton="0" quotePrefix="0" xfId="0">
      <alignment horizontal="center" vertical="center"/>
    </xf>
    <xf numFmtId="0" fontId="28" fillId="0" borderId="10" applyAlignment="1" pivotButton="0" quotePrefix="0" xfId="0">
      <alignment horizontal="center" vertical="center"/>
    </xf>
    <xf numFmtId="0" fontId="23" fillId="16" borderId="3" applyAlignment="1" pivotButton="0" quotePrefix="0" xfId="0">
      <alignment horizontal="center" vertical="center"/>
    </xf>
    <xf numFmtId="17" fontId="23" fillId="19" borderId="12" applyAlignment="1" pivotButton="0" quotePrefix="0" xfId="0">
      <alignment horizontal="center" vertical="center"/>
    </xf>
    <xf numFmtId="17" fontId="23" fillId="19" borderId="31" applyAlignment="1" pivotButton="0" quotePrefix="0" xfId="0">
      <alignment horizontal="center" vertical="center"/>
    </xf>
    <xf numFmtId="0" fontId="33" fillId="18" borderId="12" applyAlignment="1" pivotButton="0" quotePrefix="0" xfId="0">
      <alignment horizontal="center" vertical="center"/>
    </xf>
    <xf numFmtId="0" fontId="33" fillId="18" borderId="3" applyAlignment="1" pivotButton="0" quotePrefix="0" xfId="0">
      <alignment horizontal="center" vertical="center"/>
    </xf>
    <xf numFmtId="0" fontId="33" fillId="18" borderId="31" applyAlignment="1" pivotButton="0" quotePrefix="0" xfId="0">
      <alignment horizontal="center" vertical="center"/>
    </xf>
    <xf numFmtId="0" fontId="33" fillId="18" borderId="10" applyAlignment="1" pivotButton="0" quotePrefix="0" xfId="0">
      <alignment horizontal="center" vertical="center"/>
    </xf>
    <xf numFmtId="0" fontId="33" fillId="18" borderId="35" applyAlignment="1" pivotButton="0" quotePrefix="0" xfId="0">
      <alignment horizontal="center" vertical="center"/>
    </xf>
    <xf numFmtId="0" fontId="28" fillId="0" borderId="3" applyAlignment="1" pivotButton="0" quotePrefix="0" xfId="19">
      <alignment horizontal="center" vertical="center"/>
    </xf>
    <xf numFmtId="0" fontId="20" fillId="16" borderId="3" applyAlignment="1" pivotButton="0" quotePrefix="0" xfId="19">
      <alignment horizontal="center" vertical="center"/>
    </xf>
    <xf numFmtId="0" fontId="23" fillId="19" borderId="3" applyAlignment="1" pivotButton="0" quotePrefix="0" xfId="19">
      <alignment horizontal="center" vertical="center"/>
    </xf>
    <xf numFmtId="0" fontId="21" fillId="0" borderId="3" applyAlignment="1" pivotButton="0" quotePrefix="0" xfId="19">
      <alignment horizontal="center" vertical="center"/>
    </xf>
    <xf numFmtId="0" fontId="34" fillId="0" borderId="3" applyAlignment="1" pivotButton="0" quotePrefix="0" xfId="19">
      <alignment horizontal="center" vertical="center"/>
    </xf>
    <xf numFmtId="17" fontId="23" fillId="19" borderId="3" applyAlignment="1" pivotButton="0" quotePrefix="0" xfId="19">
      <alignment horizontal="center" vertical="center"/>
    </xf>
    <xf numFmtId="17" fontId="21" fillId="19" borderId="3" applyAlignment="1" pivotButton="0" quotePrefix="0" xfId="19">
      <alignment horizontal="center" vertical="center"/>
    </xf>
    <xf numFmtId="0" fontId="21" fillId="19" borderId="3" applyAlignment="1" pivotButton="0" quotePrefix="0" xfId="19">
      <alignment horizontal="center" vertical="center"/>
    </xf>
    <xf numFmtId="0" fontId="39" fillId="18" borderId="3" applyAlignment="1" pivotButton="0" quotePrefix="0" xfId="19">
      <alignment horizontal="center" vertical="center"/>
    </xf>
    <xf numFmtId="0" fontId="10" fillId="6" borderId="3" applyAlignment="1" pivotButton="0" quotePrefix="0" xfId="14">
      <alignment horizontal="center" wrapText="1"/>
    </xf>
    <xf numFmtId="0" fontId="12" fillId="6" borderId="3" applyAlignment="1" pivotButton="0" quotePrefix="0" xfId="2">
      <alignment horizontal="center" wrapText="1"/>
    </xf>
    <xf numFmtId="0" fontId="12" fillId="6" borderId="3" applyAlignment="1" pivotButton="0" quotePrefix="0" xfId="14">
      <alignment horizontal="center" vertical="center" wrapText="1"/>
    </xf>
    <xf numFmtId="0" fontId="12" fillId="2" borderId="16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 wrapText="1"/>
    </xf>
    <xf numFmtId="0" fontId="10" fillId="6" borderId="9" applyAlignment="1" pivotButton="0" quotePrefix="0" xfId="14">
      <alignment horizontal="center" vertical="center" wrapText="1"/>
    </xf>
    <xf numFmtId="0" fontId="10" fillId="6" borderId="10" applyAlignment="1" pivotButton="0" quotePrefix="0" xfId="14">
      <alignment horizontal="center" vertical="center" wrapText="1"/>
    </xf>
    <xf numFmtId="17" fontId="17" fillId="2" borderId="3" applyAlignment="1" pivotButton="0" quotePrefix="0" xfId="11">
      <alignment horizontal="center" vertical="center"/>
    </xf>
    <xf numFmtId="0" fontId="17" fillId="2" borderId="3" applyAlignment="1" pivotButton="0" quotePrefix="0" xfId="11">
      <alignment horizontal="center" vertical="center"/>
    </xf>
    <xf numFmtId="0" fontId="17" fillId="2" borderId="3" applyAlignment="1" pivotButton="0" quotePrefix="1" xfId="11">
      <alignment horizontal="center" vertical="center"/>
    </xf>
    <xf numFmtId="0" fontId="30" fillId="2" borderId="3" applyAlignment="1" pivotButton="0" quotePrefix="1" xfId="11">
      <alignment horizontal="center" vertical="center"/>
    </xf>
    <xf numFmtId="0" fontId="17" fillId="2" borderId="15" applyAlignment="1" pivotButton="0" quotePrefix="0" xfId="11">
      <alignment horizontal="center" vertical="center" wrapText="1"/>
    </xf>
    <xf numFmtId="0" fontId="17" fillId="2" borderId="12" applyAlignment="1" pivotButton="0" quotePrefix="0" xfId="11">
      <alignment horizontal="center" vertical="center" wrapText="1"/>
    </xf>
    <xf numFmtId="0" fontId="17" fillId="2" borderId="16" applyAlignment="1" pivotButton="0" quotePrefix="0" xfId="11">
      <alignment horizontal="center" vertical="center" wrapText="1"/>
    </xf>
    <xf numFmtId="0" fontId="17" fillId="2" borderId="3" applyAlignment="1" pivotButton="0" quotePrefix="0" xfId="11">
      <alignment horizontal="center" vertical="center" wrapText="1"/>
    </xf>
    <xf numFmtId="0" fontId="18" fillId="2" borderId="16" applyAlignment="1" pivotButton="0" quotePrefix="0" xfId="11">
      <alignment horizontal="center" vertical="center" wrapText="1"/>
    </xf>
    <xf numFmtId="0" fontId="30" fillId="0" borderId="3" applyAlignment="1" pivotButton="0" quotePrefix="0" xfId="11">
      <alignment horizontal="center" vertical="center"/>
    </xf>
    <xf numFmtId="17" fontId="20" fillId="5" borderId="19" applyAlignment="1" pivotButton="0" quotePrefix="0" xfId="0">
      <alignment horizontal="center" vertical="center"/>
    </xf>
    <xf numFmtId="17" fontId="20" fillId="5" borderId="22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3" applyAlignment="1" pivotButton="0" quotePrefix="0" xfId="0">
      <alignment horizontal="center" vertical="center"/>
    </xf>
    <xf numFmtId="0" fontId="37" fillId="2" borderId="31" applyAlignment="1" pivotButton="0" quotePrefix="0" xfId="0">
      <alignment horizontal="center" vertical="center"/>
    </xf>
    <xf numFmtId="17" fontId="20" fillId="0" borderId="9" applyAlignment="1" pivotButton="0" quotePrefix="0" xfId="0">
      <alignment horizontal="center" vertical="center"/>
    </xf>
    <xf numFmtId="17" fontId="20" fillId="0" borderId="10" applyAlignment="1" pivotButton="0" quotePrefix="0" xfId="0">
      <alignment horizontal="center" vertical="center"/>
    </xf>
    <xf numFmtId="0" fontId="10" fillId="6" borderId="3" applyAlignment="1" pivotButton="0" quotePrefix="0" xfId="14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23" fillId="15" borderId="29" applyAlignment="1" pivotButton="0" quotePrefix="0" xfId="0">
      <alignment horizontal="center" vertical="center" wrapText="1"/>
    </xf>
    <xf numFmtId="0" fontId="23" fillId="15" borderId="53" applyAlignment="1" pivotButton="0" quotePrefix="0" xfId="0">
      <alignment horizontal="center" vertical="center" wrapText="1"/>
    </xf>
    <xf numFmtId="0" fontId="23" fillId="7" borderId="26" applyAlignment="1" pivotButton="0" quotePrefix="0" xfId="0">
      <alignment horizontal="center" vertical="center"/>
    </xf>
    <xf numFmtId="0" fontId="23" fillId="7" borderId="25" applyAlignment="1" pivotButton="0" quotePrefix="0" xfId="0">
      <alignment horizontal="center" vertical="center"/>
    </xf>
    <xf numFmtId="0" fontId="21" fillId="7" borderId="15" applyAlignment="1" pivotButton="0" quotePrefix="0" xfId="11">
      <alignment horizontal="center" vertical="center"/>
    </xf>
    <xf numFmtId="0" fontId="21" fillId="7" borderId="13" applyAlignment="1" pivotButton="0" quotePrefix="0" xfId="11">
      <alignment horizontal="center" vertical="center"/>
    </xf>
    <xf numFmtId="0" fontId="21" fillId="7" borderId="16" applyAlignment="1" pivotButton="0" quotePrefix="0" xfId="11">
      <alignment horizontal="center" vertical="center"/>
    </xf>
    <xf numFmtId="0" fontId="21" fillId="7" borderId="17" applyAlignment="1" pivotButton="0" quotePrefix="0" xfId="11">
      <alignment horizontal="center" vertical="center"/>
    </xf>
    <xf numFmtId="0" fontId="21" fillId="7" borderId="30" applyAlignment="1" pivotButton="0" quotePrefix="0" xfId="11">
      <alignment horizontal="center" vertical="center"/>
    </xf>
    <xf numFmtId="0" fontId="21" fillId="7" borderId="32" applyAlignment="1" pivotButton="0" quotePrefix="0" xfId="11">
      <alignment horizontal="center" vertical="center"/>
    </xf>
    <xf numFmtId="0" fontId="23" fillId="7" borderId="7" applyAlignment="1" pivotButton="0" quotePrefix="0" xfId="0">
      <alignment horizontal="center" vertical="center"/>
    </xf>
    <xf numFmtId="0" fontId="39" fillId="0" borderId="0" applyAlignment="1" pivotButton="0" quotePrefix="0" xfId="27">
      <alignment vertical="center"/>
    </xf>
    <xf numFmtId="0" fontId="23" fillId="0" borderId="0" applyAlignment="1" pivotButton="0" quotePrefix="0" xfId="27">
      <alignment vertical="center"/>
    </xf>
    <xf numFmtId="0" fontId="23" fillId="0" borderId="0" applyAlignment="1" pivotButton="0" quotePrefix="0" xfId="27">
      <alignment horizontal="center" vertical="center" wrapText="1"/>
    </xf>
    <xf numFmtId="0" fontId="23" fillId="0" borderId="38" applyAlignment="1" pivotButton="0" quotePrefix="0" xfId="27">
      <alignment horizontal="center" vertical="center" wrapText="1"/>
    </xf>
    <xf numFmtId="0" fontId="23" fillId="0" borderId="39" applyAlignment="1" pivotButton="0" quotePrefix="0" xfId="27">
      <alignment horizontal="center" vertical="center" wrapText="1"/>
    </xf>
    <xf numFmtId="0" fontId="23" fillId="0" borderId="43" applyAlignment="1" pivotButton="0" quotePrefix="0" xfId="27">
      <alignment horizontal="center" vertical="center" wrapText="1"/>
    </xf>
    <xf numFmtId="0" fontId="23" fillId="0" borderId="45" applyAlignment="1" pivotButton="0" quotePrefix="0" xfId="27">
      <alignment horizontal="center" vertical="center" wrapText="1"/>
    </xf>
    <xf numFmtId="0" fontId="23" fillId="0" borderId="62" applyAlignment="1" pivotButton="0" quotePrefix="0" xfId="27">
      <alignment horizontal="center" vertical="center" wrapText="1"/>
    </xf>
    <xf numFmtId="0" fontId="23" fillId="0" borderId="42" applyAlignment="1" pivotButton="0" quotePrefix="0" xfId="27">
      <alignment horizontal="center" vertical="center" wrapText="1"/>
    </xf>
    <xf numFmtId="0" fontId="23" fillId="0" borderId="44" applyAlignment="1" pivotButton="0" quotePrefix="0" xfId="27">
      <alignment horizontal="center" vertical="center" wrapText="1"/>
    </xf>
    <xf numFmtId="0" fontId="23" fillId="0" borderId="46" applyAlignment="1" pivotButton="0" quotePrefix="0" xfId="27">
      <alignment horizontal="center" vertical="center" wrapText="1"/>
    </xf>
    <xf numFmtId="0" fontId="39" fillId="0" borderId="61" applyAlignment="1" pivotButton="0" quotePrefix="0" xfId="27">
      <alignment vertical="center"/>
    </xf>
    <xf numFmtId="0" fontId="23" fillId="0" borderId="60" applyAlignment="1" pivotButton="0" quotePrefix="0" xfId="27">
      <alignment horizontal="center" vertical="center" wrapText="1"/>
    </xf>
    <xf numFmtId="0" fontId="23" fillId="0" borderId="60" applyAlignment="1" pivotButton="0" quotePrefix="0" xfId="27">
      <alignment horizontal="center" vertical="center"/>
    </xf>
    <xf numFmtId="0" fontId="23" fillId="0" borderId="2" applyAlignment="1" pivotButton="0" quotePrefix="0" xfId="27">
      <alignment horizontal="center" vertical="center" wrapText="1"/>
    </xf>
    <xf numFmtId="0" fontId="23" fillId="0" borderId="3" applyAlignment="1" pivotButton="0" quotePrefix="0" xfId="27">
      <alignment horizontal="center" vertical="center" wrapText="1"/>
    </xf>
    <xf numFmtId="0" fontId="23" fillId="0" borderId="2" applyAlignment="1" pivotButton="0" quotePrefix="0" xfId="27">
      <alignment horizontal="center" vertical="center"/>
    </xf>
    <xf numFmtId="0" fontId="23" fillId="0" borderId="3" applyAlignment="1" pivotButton="0" quotePrefix="0" xfId="27">
      <alignment horizontal="center" vertical="center"/>
    </xf>
    <xf numFmtId="0" fontId="23" fillId="9" borderId="3" applyAlignment="1" pivotButton="0" quotePrefix="0" xfId="27">
      <alignment horizontal="center" vertical="center" wrapText="1"/>
    </xf>
    <xf numFmtId="0" fontId="10" fillId="0" borderId="9" applyAlignment="1" pivotButton="0" quotePrefix="0" xfId="27">
      <alignment horizontal="center" vertical="center"/>
    </xf>
    <xf numFmtId="0" fontId="10" fillId="0" borderId="11" applyAlignment="1" pivotButton="0" quotePrefix="0" xfId="27">
      <alignment horizontal="center" vertical="center"/>
    </xf>
    <xf numFmtId="0" fontId="10" fillId="0" borderId="10" applyAlignment="1" pivotButton="0" quotePrefix="0" xfId="27">
      <alignment horizontal="center" vertical="center"/>
    </xf>
    <xf numFmtId="0" fontId="11" fillId="0" borderId="1" applyAlignment="1" pivotButton="0" quotePrefix="0" xfId="27">
      <alignment horizontal="center" vertical="center" wrapText="1"/>
    </xf>
    <xf numFmtId="0" fontId="11" fillId="0" borderId="4" applyAlignment="1" pivotButton="0" quotePrefix="0" xfId="27">
      <alignment horizontal="center" vertical="center" wrapText="1"/>
    </xf>
    <xf numFmtId="0" fontId="11" fillId="0" borderId="2" applyAlignment="1" pivotButton="0" quotePrefix="0" xfId="27">
      <alignment horizontal="center" vertical="center" wrapText="1"/>
    </xf>
    <xf numFmtId="0" fontId="11" fillId="0" borderId="3" applyAlignment="1" pivotButton="0" quotePrefix="0" xfId="27">
      <alignment horizontal="center" vertical="center" wrapText="1"/>
    </xf>
    <xf numFmtId="0" fontId="10" fillId="9" borderId="19" applyAlignment="1" pivotButton="0" quotePrefix="0" xfId="27">
      <alignment horizontal="center" vertical="center" wrapText="1"/>
    </xf>
    <xf numFmtId="0" fontId="10" fillId="9" borderId="22" applyAlignment="1" pivotButton="0" quotePrefix="0" xfId="27">
      <alignment horizontal="center" vertical="center" wrapText="1"/>
    </xf>
    <xf numFmtId="0" fontId="10" fillId="9" borderId="63" applyAlignment="1" pivotButton="0" quotePrefix="0" xfId="27">
      <alignment horizontal="center" vertical="center" wrapText="1"/>
    </xf>
    <xf numFmtId="0" fontId="12" fillId="0" borderId="19" applyAlignment="1" pivotButton="0" quotePrefix="0" xfId="22">
      <alignment horizontal="center" vertical="center" wrapText="1"/>
    </xf>
    <xf numFmtId="0" fontId="12" fillId="0" borderId="22" applyAlignment="1" pivotButton="0" quotePrefix="0" xfId="22">
      <alignment horizontal="center" vertical="center" wrapText="1"/>
    </xf>
    <xf numFmtId="0" fontId="10" fillId="0" borderId="19" applyAlignment="1" pivotButton="0" quotePrefix="0" xfId="27">
      <alignment horizontal="center" vertical="center" wrapText="1"/>
    </xf>
    <xf numFmtId="0" fontId="10" fillId="0" borderId="22" applyAlignment="1" pivotButton="0" quotePrefix="0" xfId="27">
      <alignment horizontal="center" vertical="center" wrapText="1"/>
    </xf>
    <xf numFmtId="0" fontId="46" fillId="0" borderId="19" applyAlignment="1" pivotButton="0" quotePrefix="0" xfId="22">
      <alignment horizontal="center" vertical="center" wrapText="1"/>
    </xf>
    <xf numFmtId="0" fontId="46" fillId="0" borderId="22" applyAlignment="1" pivotButton="0" quotePrefix="0" xfId="22">
      <alignment horizontal="center" vertical="center" wrapText="1"/>
    </xf>
    <xf numFmtId="0" fontId="10" fillId="0" borderId="19" applyAlignment="1" pivotButton="0" quotePrefix="0" xfId="28">
      <alignment horizontal="center" vertical="center" wrapText="1"/>
    </xf>
    <xf numFmtId="0" fontId="10" fillId="0" borderId="22" applyAlignment="1" pivotButton="0" quotePrefix="0" xfId="28">
      <alignment horizontal="center" vertical="center" wrapText="1"/>
    </xf>
    <xf numFmtId="0" fontId="9" fillId="0" borderId="0" applyAlignment="1" pivotButton="0" quotePrefix="0" xfId="27">
      <alignment horizontal="center"/>
    </xf>
    <xf numFmtId="0" fontId="45" fillId="6" borderId="55" applyAlignment="1" pivotButton="0" quotePrefix="0" xfId="26">
      <alignment horizontal="center" wrapText="1"/>
    </xf>
    <xf numFmtId="0" fontId="45" fillId="6" borderId="63" applyAlignment="1" pivotButton="0" quotePrefix="0" xfId="26">
      <alignment horizontal="center" wrapText="1"/>
    </xf>
    <xf numFmtId="0" fontId="45" fillId="6" borderId="22" applyAlignment="1" pivotButton="0" quotePrefix="0" xfId="26">
      <alignment horizontal="center" wrapText="1"/>
    </xf>
    <xf numFmtId="0" fontId="21" fillId="7" borderId="19" applyAlignment="1" pivotButton="0" quotePrefix="0" xfId="11">
      <alignment horizontal="center" vertical="center"/>
    </xf>
    <xf numFmtId="0" fontId="23" fillId="7" borderId="27" applyAlignment="1" pivotButton="0" quotePrefix="0" xfId="0">
      <alignment horizontal="center" vertical="center"/>
    </xf>
    <xf numFmtId="0" fontId="23" fillId="4" borderId="9" applyAlignment="1" pivotButton="0" quotePrefix="0" xfId="11">
      <alignment horizontal="center" vertical="center"/>
    </xf>
    <xf numFmtId="0" fontId="23" fillId="4" borderId="11" applyAlignment="1" pivotButton="0" quotePrefix="0" xfId="11">
      <alignment horizontal="center" vertical="center"/>
    </xf>
    <xf numFmtId="0" fontId="23" fillId="4" borderId="10" applyAlignment="1" pivotButton="0" quotePrefix="0" xfId="11">
      <alignment horizontal="center" vertical="center"/>
    </xf>
    <xf numFmtId="0" fontId="23" fillId="0" borderId="3" applyAlignment="1" pivotButton="0" quotePrefix="0" xfId="11">
      <alignment horizontal="center" vertical="center"/>
    </xf>
    <xf numFmtId="0" fontId="23" fillId="4" borderId="3" applyAlignment="1" pivotButton="0" quotePrefix="0" xfId="11">
      <alignment horizontal="center" vertical="center"/>
    </xf>
    <xf numFmtId="168" fontId="26" fillId="14" borderId="3" applyAlignment="1" pivotButton="0" quotePrefix="0" xfId="11">
      <alignment horizontal="center" vertical="center"/>
    </xf>
    <xf numFmtId="0" fontId="23" fillId="0" borderId="1" applyAlignment="1" pivotButton="0" quotePrefix="0" xfId="11">
      <alignment horizontal="center" vertical="center"/>
    </xf>
    <xf numFmtId="0" fontId="23" fillId="11" borderId="3" applyAlignment="1" pivotButton="0" quotePrefix="0" xfId="11">
      <alignment horizontal="center" vertical="center"/>
    </xf>
    <xf numFmtId="0" fontId="23" fillId="11" borderId="9" applyAlignment="1" pivotButton="0" quotePrefix="0" xfId="11">
      <alignment horizontal="center" vertical="center"/>
    </xf>
    <xf numFmtId="0" fontId="23" fillId="11" borderId="11" applyAlignment="1" pivotButton="0" quotePrefix="0" xfId="11">
      <alignment horizontal="center" vertical="center"/>
    </xf>
    <xf numFmtId="0" fontId="23" fillId="11" borderId="10" applyAlignment="1" pivotButton="0" quotePrefix="0" xfId="11">
      <alignment horizontal="center" vertical="center"/>
    </xf>
    <xf numFmtId="164" fontId="15" fillId="0" borderId="0" pivotButton="0" quotePrefix="0" xfId="1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2" pivotButton="0" quotePrefix="0" xfId="0"/>
    <xf numFmtId="164" fontId="9" fillId="0" borderId="3" applyAlignment="1" pivotButton="0" quotePrefix="0" xfId="1">
      <alignment horizontal="center"/>
    </xf>
    <xf numFmtId="164" fontId="11" fillId="0" borderId="3" pivotButton="0" quotePrefix="0" xfId="1"/>
    <xf numFmtId="164" fontId="15" fillId="0" borderId="3" pivotButton="0" quotePrefix="0" xfId="1"/>
    <xf numFmtId="164" fontId="11" fillId="2" borderId="3" pivotButton="0" quotePrefix="0" xfId="1"/>
    <xf numFmtId="164" fontId="15" fillId="2" borderId="3" pivotButton="0" quotePrefix="0" xfId="1"/>
    <xf numFmtId="164" fontId="14" fillId="0" borderId="3" pivotButton="0" quotePrefix="0" xfId="1"/>
    <xf numFmtId="164" fontId="14" fillId="0" borderId="3" applyAlignment="1" pivotButton="0" quotePrefix="0" xfId="1">
      <alignment horizontal="center" vertical="center"/>
    </xf>
    <xf numFmtId="167" fontId="15" fillId="0" borderId="3" pivotButton="0" quotePrefix="0" xfId="1"/>
    <xf numFmtId="164" fontId="11" fillId="0" borderId="3" pivotButton="0" quotePrefix="0" xfId="4"/>
    <xf numFmtId="164" fontId="14" fillId="0" borderId="3" pivotButton="0" quotePrefix="0" xfId="4"/>
    <xf numFmtId="164" fontId="15" fillId="0" borderId="3" pivotButton="0" quotePrefix="0" xfId="4"/>
    <xf numFmtId="166" fontId="11" fillId="0" borderId="3" pivotButton="0" quotePrefix="0" xfId="2"/>
    <xf numFmtId="164" fontId="11" fillId="0" borderId="3" pivotButton="0" quotePrefix="0" xfId="2"/>
    <xf numFmtId="164" fontId="11" fillId="0" borderId="3" applyAlignment="1" pivotButton="0" quotePrefix="0" xfId="5">
      <alignment vertical="center"/>
    </xf>
    <xf numFmtId="165" fontId="12" fillId="3" borderId="3" applyAlignment="1" pivotButton="0" quotePrefix="0" xfId="3">
      <alignment horizontal="center" vertical="center"/>
    </xf>
    <xf numFmtId="164" fontId="12" fillId="3" borderId="3" pivotButton="0" quotePrefix="0" xfId="1"/>
    <xf numFmtId="164" fontId="9" fillId="3" borderId="3" pivotButton="0" quotePrefix="0" xfId="1"/>
    <xf numFmtId="164" fontId="12" fillId="2" borderId="3" pivotButton="0" quotePrefix="0" xfId="1"/>
    <xf numFmtId="164" fontId="9" fillId="2" borderId="3" pivotButton="0" quotePrefix="0" xfId="1"/>
    <xf numFmtId="164" fontId="14" fillId="3" borderId="3" pivotButton="0" quotePrefix="0" xfId="1"/>
    <xf numFmtId="164" fontId="15" fillId="3" borderId="3" pivotButton="0" quotePrefix="0" xfId="1"/>
    <xf numFmtId="165" fontId="14" fillId="0" borderId="2" applyAlignment="1" pivotButton="0" quotePrefix="0" xfId="3">
      <alignment horizontal="center" vertical="center"/>
    </xf>
    <xf numFmtId="164" fontId="11" fillId="0" borderId="2" pivotButton="0" quotePrefix="0" xfId="1"/>
    <xf numFmtId="164" fontId="15" fillId="0" borderId="2" pivotButton="0" quotePrefix="0" xfId="1"/>
    <xf numFmtId="164" fontId="11" fillId="2" borderId="2" pivotButton="0" quotePrefix="0" xfId="1"/>
    <xf numFmtId="164" fontId="15" fillId="2" borderId="2" pivotButton="0" quotePrefix="0" xfId="1"/>
    <xf numFmtId="164" fontId="14" fillId="0" borderId="2" pivotButton="0" quotePrefix="0" xfId="1"/>
    <xf numFmtId="164" fontId="15" fillId="0" borderId="2" pivotButton="0" quotePrefix="0" xfId="4"/>
    <xf numFmtId="164" fontId="11" fillId="0" borderId="2" pivotButton="0" quotePrefix="0" xfId="4"/>
    <xf numFmtId="164" fontId="14" fillId="0" borderId="2" pivotButton="0" quotePrefix="0" xfId="4"/>
    <xf numFmtId="164" fontId="11" fillId="0" borderId="4" pivotButton="0" quotePrefix="0" xfId="2"/>
    <xf numFmtId="164" fontId="11" fillId="0" borderId="1" pivotButton="0" quotePrefix="0" xfId="2"/>
    <xf numFmtId="164" fontId="10" fillId="5" borderId="3" pivotButton="0" quotePrefix="0" xfId="1"/>
    <xf numFmtId="164" fontId="9" fillId="5" borderId="3" pivotButton="0" quotePrefix="0" xfId="1"/>
    <xf numFmtId="164" fontId="10" fillId="2" borderId="3" pivotButton="0" quotePrefix="0" xfId="1"/>
    <xf numFmtId="167" fontId="11" fillId="0" borderId="0" pivotButton="0" quotePrefix="0" xfId="2"/>
    <xf numFmtId="164" fontId="11" fillId="0" borderId="0" pivotButton="0" quotePrefix="0" xfId="2"/>
    <xf numFmtId="164" fontId="15" fillId="0" borderId="0" pivotButton="0" quotePrefix="0" xfId="2"/>
    <xf numFmtId="165" fontId="11" fillId="0" borderId="0" pivotButton="0" quotePrefix="0" xfId="2"/>
    <xf numFmtId="165" fontId="15" fillId="0" borderId="0" pivotButton="0" quotePrefix="0" xfId="2"/>
    <xf numFmtId="0" fontId="12" fillId="6" borderId="13" applyAlignment="1" pivotButton="0" quotePrefix="0" xfId="3">
      <alignment horizontal="center" vertical="center" wrapText="1"/>
    </xf>
    <xf numFmtId="0" fontId="0" fillId="0" borderId="40" pivotButton="0" quotePrefix="0" xfId="0"/>
    <xf numFmtId="164" fontId="12" fillId="2" borderId="17" applyAlignment="1" pivotButton="0" quotePrefix="0" xfId="17">
      <alignment horizontal="center" vertical="center"/>
    </xf>
    <xf numFmtId="169" fontId="12" fillId="7" borderId="17" applyAlignment="1" pivotButton="0" quotePrefix="0" xfId="18">
      <alignment horizontal="center" vertical="center"/>
    </xf>
    <xf numFmtId="164" fontId="9" fillId="2" borderId="2" applyAlignment="1" pivotButton="0" quotePrefix="0" xfId="0">
      <alignment vertical="center"/>
    </xf>
    <xf numFmtId="164" fontId="9" fillId="7" borderId="2" applyAlignment="1" pivotButton="0" quotePrefix="0" xfId="0">
      <alignment vertical="center"/>
    </xf>
    <xf numFmtId="164" fontId="9" fillId="4" borderId="2" applyAlignment="1" pivotButton="0" quotePrefix="0" xfId="0">
      <alignment vertical="center"/>
    </xf>
    <xf numFmtId="164" fontId="9" fillId="17" borderId="2" applyAlignment="1" pivotButton="0" quotePrefix="0" xfId="0">
      <alignment vertical="center"/>
    </xf>
    <xf numFmtId="164" fontId="9" fillId="17" borderId="8" applyAlignment="1" pivotButton="0" quotePrefix="0" xfId="0">
      <alignment vertical="center"/>
    </xf>
    <xf numFmtId="164" fontId="0" fillId="0" borderId="2" pivotButton="0" quotePrefix="0" xfId="0"/>
    <xf numFmtId="166" fontId="0" fillId="0" borderId="8" pivotButton="0" quotePrefix="0" xfId="0"/>
    <xf numFmtId="164" fontId="32" fillId="2" borderId="3" applyAlignment="1" pivotButton="0" quotePrefix="0" xfId="1">
      <alignment vertical="center"/>
    </xf>
    <xf numFmtId="164" fontId="32" fillId="7" borderId="3" applyAlignment="1" pivotButton="0" quotePrefix="0" xfId="1">
      <alignment vertical="center"/>
    </xf>
    <xf numFmtId="164" fontId="32" fillId="4" borderId="3" applyAlignment="1" pivotButton="0" quotePrefix="0" xfId="1">
      <alignment vertical="center"/>
    </xf>
    <xf numFmtId="164" fontId="32" fillId="17" borderId="3" applyAlignment="1" pivotButton="0" quotePrefix="0" xfId="1">
      <alignment vertical="center"/>
    </xf>
    <xf numFmtId="164" fontId="32" fillId="17" borderId="9" applyAlignment="1" pivotButton="0" quotePrefix="0" xfId="1">
      <alignment vertical="center"/>
    </xf>
    <xf numFmtId="164" fontId="0" fillId="0" borderId="3" pivotButton="0" quotePrefix="0" xfId="0"/>
    <xf numFmtId="169" fontId="14" fillId="2" borderId="3" applyAlignment="1" pivotButton="0" quotePrefix="0" xfId="18">
      <alignment vertical="center"/>
    </xf>
    <xf numFmtId="169" fontId="14" fillId="2" borderId="3" applyAlignment="1" pivotButton="0" quotePrefix="0" xfId="17">
      <alignment vertical="center"/>
    </xf>
    <xf numFmtId="169" fontId="14" fillId="7" borderId="3" applyAlignment="1" pivotButton="0" quotePrefix="0" xfId="17">
      <alignment vertical="center"/>
    </xf>
    <xf numFmtId="169" fontId="14" fillId="4" borderId="3" applyAlignment="1" pivotButton="0" quotePrefix="0" xfId="17">
      <alignment vertical="center"/>
    </xf>
    <xf numFmtId="169" fontId="12" fillId="4" borderId="3" applyAlignment="1" pivotButton="0" quotePrefix="0" xfId="17">
      <alignment vertical="center"/>
    </xf>
    <xf numFmtId="169" fontId="12" fillId="17" borderId="3" applyAlignment="1" pivotButton="0" quotePrefix="0" xfId="17">
      <alignment vertical="center"/>
    </xf>
    <xf numFmtId="164" fontId="12" fillId="17" borderId="3" applyAlignment="1" pivotButton="0" quotePrefix="0" xfId="1">
      <alignment vertical="center"/>
    </xf>
    <xf numFmtId="169" fontId="12" fillId="16" borderId="3" applyAlignment="1" pivotButton="0" quotePrefix="0" xfId="17">
      <alignment vertical="center"/>
    </xf>
    <xf numFmtId="164" fontId="9" fillId="2" borderId="3" applyAlignment="1" pivotButton="0" quotePrefix="0" xfId="1">
      <alignment vertical="center"/>
    </xf>
    <xf numFmtId="164" fontId="9" fillId="7" borderId="3" applyAlignment="1" pivotButton="0" quotePrefix="0" xfId="1">
      <alignment vertical="center"/>
    </xf>
    <xf numFmtId="164" fontId="9" fillId="4" borderId="3" applyAlignment="1" pivotButton="0" quotePrefix="0" xfId="1">
      <alignment vertical="center"/>
    </xf>
    <xf numFmtId="164" fontId="9" fillId="16" borderId="3" applyAlignment="1" pivotButton="0" quotePrefix="0" xfId="1">
      <alignment vertical="center"/>
    </xf>
    <xf numFmtId="164" fontId="9" fillId="16" borderId="9" applyAlignment="1" pivotButton="0" quotePrefix="0" xfId="1">
      <alignment vertical="center"/>
    </xf>
    <xf numFmtId="164" fontId="32" fillId="2" borderId="3" applyAlignment="1" pivotButton="0" quotePrefix="0" xfId="17">
      <alignment vertical="center"/>
    </xf>
    <xf numFmtId="169" fontId="32" fillId="2" borderId="3" applyAlignment="1" pivotButton="0" quotePrefix="0" xfId="18">
      <alignment vertical="center"/>
    </xf>
    <xf numFmtId="169" fontId="32" fillId="2" borderId="3" applyAlignment="1" pivotButton="0" quotePrefix="0" xfId="17">
      <alignment vertical="center"/>
    </xf>
    <xf numFmtId="169" fontId="32" fillId="7" borderId="3" applyAlignment="1" pivotButton="0" quotePrefix="0" xfId="17">
      <alignment vertical="center"/>
    </xf>
    <xf numFmtId="169" fontId="32" fillId="4" borderId="3" applyAlignment="1" pivotButton="0" quotePrefix="0" xfId="17">
      <alignment vertical="center"/>
    </xf>
    <xf numFmtId="169" fontId="32" fillId="16" borderId="3" applyAlignment="1" pivotButton="0" quotePrefix="0" xfId="17">
      <alignment vertical="center"/>
    </xf>
    <xf numFmtId="164" fontId="32" fillId="16" borderId="3" applyAlignment="1" pivotButton="0" quotePrefix="0" xfId="1">
      <alignment vertical="center"/>
    </xf>
    <xf numFmtId="0" fontId="0" fillId="0" borderId="59" pivotButton="0" quotePrefix="0" xfId="0"/>
    <xf numFmtId="164" fontId="21" fillId="9" borderId="3" applyAlignment="1" pivotButton="0" quotePrefix="0" xfId="1">
      <alignment horizontal="center" vertical="center"/>
    </xf>
    <xf numFmtId="164" fontId="21" fillId="9" borderId="9" applyAlignment="1" pivotButton="0" quotePrefix="0" xfId="1">
      <alignment horizontal="center" vertical="center"/>
    </xf>
    <xf numFmtId="164" fontId="21" fillId="9" borderId="10" applyAlignment="1" pivotButton="0" quotePrefix="0" xfId="1">
      <alignment horizontal="center" vertical="center"/>
    </xf>
    <xf numFmtId="164" fontId="23" fillId="6" borderId="50" applyAlignment="1" pivotButton="0" quotePrefix="0" xfId="1">
      <alignment horizontal="center" vertical="center"/>
    </xf>
    <xf numFmtId="164" fontId="23" fillId="6" borderId="51" applyAlignment="1" pivotButton="0" quotePrefix="0" xfId="1">
      <alignment horizontal="center" vertical="center"/>
    </xf>
    <xf numFmtId="164" fontId="23" fillId="16" borderId="3" applyAlignment="1" pivotButton="0" quotePrefix="0" xfId="1">
      <alignment horizontal="center" vertical="center"/>
    </xf>
    <xf numFmtId="164" fontId="21" fillId="0" borderId="3" applyAlignment="1" pivotButton="0" quotePrefix="0" xfId="1">
      <alignment horizontal="center" vertical="center"/>
    </xf>
    <xf numFmtId="164" fontId="23" fillId="0" borderId="3" applyAlignment="1" pivotButton="0" quotePrefix="0" xfId="1">
      <alignment horizontal="center" vertical="center"/>
    </xf>
    <xf numFmtId="166" fontId="23" fillId="6" borderId="2" applyAlignment="1" pivotButton="0" quotePrefix="0" xfId="0">
      <alignment horizontal="center" vertical="center"/>
    </xf>
    <xf numFmtId="164" fontId="28" fillId="9" borderId="3" applyAlignment="1" pivotButton="0" quotePrefix="0" xfId="1">
      <alignment horizontal="center" vertical="center"/>
    </xf>
    <xf numFmtId="164" fontId="28" fillId="9" borderId="9" applyAlignment="1" pivotButton="0" quotePrefix="0" xfId="1">
      <alignment horizontal="center" vertical="center"/>
    </xf>
    <xf numFmtId="164" fontId="28" fillId="9" borderId="10" applyAlignment="1" pivotButton="0" quotePrefix="0" xfId="1">
      <alignment horizontal="center" vertical="center"/>
    </xf>
    <xf numFmtId="164" fontId="28" fillId="16" borderId="3" applyAlignment="1" pivotButton="0" quotePrefix="0" xfId="1">
      <alignment horizontal="center" vertical="center"/>
    </xf>
    <xf numFmtId="164" fontId="28" fillId="0" borderId="3" applyAlignment="1" pivotButton="0" quotePrefix="0" xfId="1">
      <alignment horizontal="center" vertical="center"/>
    </xf>
    <xf numFmtId="166" fontId="28" fillId="6" borderId="2" applyAlignment="1" pivotButton="0" quotePrefix="0" xfId="0">
      <alignment horizontal="center" vertical="center"/>
    </xf>
    <xf numFmtId="164" fontId="28" fillId="0" borderId="9" applyAlignment="1" pivotButton="0" quotePrefix="0" xfId="1">
      <alignment horizontal="center" vertical="center"/>
    </xf>
    <xf numFmtId="164" fontId="28" fillId="0" borderId="10" applyAlignment="1" pivotButton="0" quotePrefix="0" xfId="1">
      <alignment horizontal="center" vertical="center"/>
    </xf>
    <xf numFmtId="164" fontId="34" fillId="0" borderId="3" applyAlignment="1" pivotButton="0" quotePrefix="0" xfId="1">
      <alignment horizontal="center" vertical="center"/>
    </xf>
    <xf numFmtId="164" fontId="34" fillId="0" borderId="9" applyAlignment="1" pivotButton="0" quotePrefix="0" xfId="1">
      <alignment horizontal="center" vertical="center"/>
    </xf>
    <xf numFmtId="164" fontId="34" fillId="0" borderId="10" applyAlignment="1" pivotButton="0" quotePrefix="0" xfId="1">
      <alignment horizontal="center" vertical="center"/>
    </xf>
    <xf numFmtId="164" fontId="23" fillId="0" borderId="9" applyAlignment="1" pivotButton="0" quotePrefix="0" xfId="1">
      <alignment horizontal="center" vertical="center"/>
    </xf>
    <xf numFmtId="164" fontId="23" fillId="16" borderId="9" applyAlignment="1" pivotButton="0" quotePrefix="0" xfId="1">
      <alignment horizontal="center" vertical="center"/>
    </xf>
    <xf numFmtId="164" fontId="23" fillId="16" borderId="10" applyAlignment="1" pivotButton="0" quotePrefix="0" xfId="1">
      <alignment horizontal="center" vertical="center"/>
    </xf>
    <xf numFmtId="164" fontId="11" fillId="0" borderId="1" pivotButton="0" quotePrefix="0" xfId="1"/>
    <xf numFmtId="164" fontId="15" fillId="0" borderId="1" pivotButton="0" quotePrefix="0" xfId="1"/>
    <xf numFmtId="164" fontId="11" fillId="2" borderId="1" pivotButton="0" quotePrefix="0" xfId="1"/>
    <xf numFmtId="164" fontId="15" fillId="2" borderId="1" pivotButton="0" quotePrefix="0" xfId="1"/>
    <xf numFmtId="164" fontId="14" fillId="0" borderId="1" pivotButton="0" quotePrefix="0" xfId="1"/>
    <xf numFmtId="164" fontId="14" fillId="0" borderId="1" applyAlignment="1" pivotButton="0" quotePrefix="0" xfId="1">
      <alignment horizontal="center" vertical="center"/>
    </xf>
    <xf numFmtId="167" fontId="15" fillId="0" borderId="1" pivotButton="0" quotePrefix="0" xfId="1"/>
    <xf numFmtId="164" fontId="11" fillId="0" borderId="1" pivotButton="0" quotePrefix="0" xfId="4"/>
    <xf numFmtId="164" fontId="14" fillId="0" borderId="1" pivotButton="0" quotePrefix="0" xfId="4"/>
    <xf numFmtId="164" fontId="15" fillId="0" borderId="1" pivotButton="0" quotePrefix="0" xfId="4"/>
    <xf numFmtId="166" fontId="11" fillId="0" borderId="1" pivotButton="0" quotePrefix="0" xfId="2"/>
    <xf numFmtId="164" fontId="11" fillId="8" borderId="6" pivotButton="0" quotePrefix="0" xfId="1"/>
    <xf numFmtId="164" fontId="15" fillId="8" borderId="6" pivotButton="0" quotePrefix="0" xfId="1"/>
    <xf numFmtId="164" fontId="14" fillId="8" borderId="6" pivotButton="0" quotePrefix="0" xfId="1"/>
    <xf numFmtId="164" fontId="14" fillId="0" borderId="2" applyAlignment="1" pivotButton="0" quotePrefix="0" xfId="1">
      <alignment horizontal="center" vertical="center"/>
    </xf>
    <xf numFmtId="166" fontId="11" fillId="0" borderId="2" pivotButton="0" quotePrefix="0" xfId="2"/>
    <xf numFmtId="164" fontId="11" fillId="0" borderId="2" pivotButton="0" quotePrefix="0" xfId="2"/>
    <xf numFmtId="164" fontId="11" fillId="0" borderId="4" pivotButton="0" quotePrefix="0" xfId="1"/>
    <xf numFmtId="164" fontId="15" fillId="0" borderId="4" pivotButton="0" quotePrefix="0" xfId="1"/>
    <xf numFmtId="164" fontId="11" fillId="2" borderId="4" pivotButton="0" quotePrefix="0" xfId="1"/>
    <xf numFmtId="164" fontId="15" fillId="2" borderId="4" pivotButton="0" quotePrefix="0" xfId="1"/>
    <xf numFmtId="164" fontId="14" fillId="0" borderId="4" pivotButton="0" quotePrefix="0" xfId="1"/>
    <xf numFmtId="164" fontId="14" fillId="0" borderId="4" applyAlignment="1" pivotButton="0" quotePrefix="0" xfId="1">
      <alignment horizontal="center" vertical="center"/>
    </xf>
    <xf numFmtId="164" fontId="11" fillId="0" borderId="4" pivotButton="0" quotePrefix="0" xfId="4"/>
    <xf numFmtId="164" fontId="14" fillId="0" borderId="4" pivotButton="0" quotePrefix="0" xfId="4"/>
    <xf numFmtId="164" fontId="15" fillId="0" borderId="4" pivotButton="0" quotePrefix="0" xfId="4"/>
    <xf numFmtId="166" fontId="11" fillId="0" borderId="4" pivotButton="0" quotePrefix="0" xfId="2"/>
    <xf numFmtId="164" fontId="11" fillId="0" borderId="2" applyAlignment="1" pivotButton="0" quotePrefix="0" xfId="5">
      <alignment vertical="center"/>
    </xf>
    <xf numFmtId="164" fontId="11" fillId="0" borderId="1" applyAlignment="1" pivotButton="0" quotePrefix="0" xfId="5">
      <alignment vertical="center"/>
    </xf>
    <xf numFmtId="165" fontId="20" fillId="3" borderId="3" applyAlignment="1" pivotButton="0" quotePrefix="0" xfId="3">
      <alignment horizontal="center" vertical="center"/>
    </xf>
    <xf numFmtId="164" fontId="20" fillId="3" borderId="3" pivotButton="0" quotePrefix="0" xfId="1"/>
    <xf numFmtId="164" fontId="28" fillId="3" borderId="3" pivotButton="0" quotePrefix="0" xfId="1"/>
    <xf numFmtId="164" fontId="20" fillId="2" borderId="3" pivotButton="0" quotePrefix="0" xfId="1"/>
    <xf numFmtId="164" fontId="28" fillId="2" borderId="3" pivotButton="0" quotePrefix="0" xfId="1"/>
    <xf numFmtId="164" fontId="20" fillId="0" borderId="3" pivotButton="0" quotePrefix="0" xfId="1"/>
    <xf numFmtId="164" fontId="28" fillId="0" borderId="3" pivotButton="0" quotePrefix="0" xfId="1"/>
    <xf numFmtId="166" fontId="23" fillId="0" borderId="3" pivotButton="0" quotePrefix="0" xfId="2"/>
    <xf numFmtId="164" fontId="23" fillId="0" borderId="3" pivotButton="0" quotePrefix="0" xfId="2"/>
    <xf numFmtId="164" fontId="21" fillId="9" borderId="3" applyAlignment="1" pivotButton="0" quotePrefix="0" xfId="21">
      <alignment horizontal="center" vertical="center"/>
    </xf>
    <xf numFmtId="164" fontId="23" fillId="0" borderId="3" applyAlignment="1" pivotButton="0" quotePrefix="0" xfId="21">
      <alignment horizontal="center" vertical="center"/>
    </xf>
    <xf numFmtId="164" fontId="21" fillId="0" borderId="3" applyAlignment="1" pivotButton="0" quotePrefix="0" xfId="21">
      <alignment horizontal="center" vertical="center"/>
    </xf>
    <xf numFmtId="164" fontId="23" fillId="0" borderId="3" applyAlignment="1" pivotButton="0" quotePrefix="0" xfId="19">
      <alignment horizontal="center" vertical="center"/>
    </xf>
    <xf numFmtId="166" fontId="23" fillId="0" borderId="3" applyAlignment="1" pivotButton="0" quotePrefix="0" xfId="19">
      <alignment horizontal="center" vertical="center"/>
    </xf>
    <xf numFmtId="166" fontId="28" fillId="0" borderId="3" applyAlignment="1" pivotButton="0" quotePrefix="0" xfId="19">
      <alignment horizontal="center" vertical="center"/>
    </xf>
    <xf numFmtId="164" fontId="11" fillId="7" borderId="3" applyAlignment="1" pivotButton="0" quotePrefix="0" xfId="20">
      <alignment vertical="center"/>
    </xf>
    <xf numFmtId="164" fontId="11" fillId="9" borderId="9" applyAlignment="1" pivotButton="0" quotePrefix="0" xfId="20">
      <alignment vertical="center"/>
    </xf>
    <xf numFmtId="164" fontId="11" fillId="9" borderId="3" applyAlignment="1" pivotButton="0" quotePrefix="0" xfId="20">
      <alignment vertical="center"/>
    </xf>
    <xf numFmtId="164" fontId="28" fillId="0" borderId="3" applyAlignment="1" pivotButton="0" quotePrefix="0" xfId="19">
      <alignment horizontal="center" vertical="center"/>
    </xf>
    <xf numFmtId="164" fontId="28" fillId="0" borderId="3" applyAlignment="1" pivotButton="0" quotePrefix="0" xfId="21">
      <alignment horizontal="center" vertical="center"/>
    </xf>
    <xf numFmtId="167" fontId="23" fillId="0" borderId="3" applyAlignment="1" pivotButton="0" quotePrefix="0" xfId="21">
      <alignment horizontal="center" vertical="center"/>
    </xf>
    <xf numFmtId="164" fontId="20" fillId="16" borderId="3" applyAlignment="1" pivotButton="0" quotePrefix="0" xfId="19">
      <alignment horizontal="center" vertical="center"/>
    </xf>
    <xf numFmtId="164" fontId="20" fillId="16" borderId="3" applyAlignment="1" pivotButton="0" quotePrefix="0" xfId="21">
      <alignment horizontal="center" vertical="center"/>
    </xf>
    <xf numFmtId="164" fontId="10" fillId="6" borderId="3" applyAlignment="1" pivotButton="0" quotePrefix="0" xfId="20">
      <alignment vertical="center"/>
    </xf>
    <xf numFmtId="164" fontId="10" fillId="6" borderId="9" applyAlignment="1" pivotButton="0" quotePrefix="0" xfId="20">
      <alignment vertical="center"/>
    </xf>
    <xf numFmtId="166" fontId="15" fillId="0" borderId="3" pivotButton="0" quotePrefix="0" xfId="2"/>
    <xf numFmtId="164" fontId="14" fillId="0" borderId="2" pivotButton="0" quotePrefix="0" xfId="2"/>
    <xf numFmtId="164" fontId="11" fillId="7" borderId="3" pivotButton="0" quotePrefix="0" xfId="1"/>
    <xf numFmtId="164" fontId="15" fillId="7" borderId="3" pivotButton="0" quotePrefix="0" xfId="1"/>
    <xf numFmtId="164" fontId="14" fillId="7" borderId="3" pivotButton="0" quotePrefix="0" xfId="1"/>
    <xf numFmtId="164" fontId="14" fillId="7" borderId="3" pivotButton="0" quotePrefix="0" xfId="4"/>
    <xf numFmtId="164" fontId="15" fillId="7" borderId="3" pivotButton="0" quotePrefix="0" xfId="4"/>
    <xf numFmtId="166" fontId="11" fillId="7" borderId="3" pivotButton="0" quotePrefix="0" xfId="2"/>
    <xf numFmtId="166" fontId="15" fillId="7" borderId="3" pivotButton="0" quotePrefix="0" xfId="2"/>
    <xf numFmtId="164" fontId="14" fillId="7" borderId="2" pivotButton="0" quotePrefix="0" xfId="2"/>
    <xf numFmtId="164" fontId="14" fillId="7" borderId="2" pivotButton="0" quotePrefix="0" xfId="1"/>
    <xf numFmtId="164" fontId="11" fillId="7" borderId="3" pivotButton="0" quotePrefix="0" xfId="4"/>
    <xf numFmtId="164" fontId="11" fillId="7" borderId="1" pivotButton="0" quotePrefix="0" xfId="1"/>
    <xf numFmtId="164" fontId="15" fillId="7" borderId="1" pivotButton="0" quotePrefix="0" xfId="1"/>
    <xf numFmtId="164" fontId="14" fillId="7" borderId="1" pivotButton="0" quotePrefix="0" xfId="1"/>
    <xf numFmtId="164" fontId="14" fillId="7" borderId="1" pivotButton="0" quotePrefix="0" xfId="4"/>
    <xf numFmtId="164" fontId="15" fillId="7" borderId="1" pivotButton="0" quotePrefix="0" xfId="4"/>
    <xf numFmtId="166" fontId="11" fillId="7" borderId="1" pivotButton="0" quotePrefix="0" xfId="2"/>
    <xf numFmtId="166" fontId="15" fillId="7" borderId="1" pivotButton="0" quotePrefix="0" xfId="2"/>
    <xf numFmtId="164" fontId="14" fillId="7" borderId="4" pivotButton="0" quotePrefix="0" xfId="2"/>
    <xf numFmtId="164" fontId="14" fillId="7" borderId="4" pivotButton="0" quotePrefix="0" xfId="1"/>
    <xf numFmtId="165" fontId="12" fillId="2" borderId="27" applyAlignment="1" pivotButton="0" quotePrefix="0" xfId="3">
      <alignment horizontal="center" vertical="center"/>
    </xf>
    <xf numFmtId="164" fontId="12" fillId="2" borderId="6" pivotButton="0" quotePrefix="0" xfId="1"/>
    <xf numFmtId="164" fontId="9" fillId="2" borderId="6" pivotButton="0" quotePrefix="0" xfId="1"/>
    <xf numFmtId="164" fontId="12" fillId="2" borderId="6" pivotButton="0" quotePrefix="0" xfId="4"/>
    <xf numFmtId="164" fontId="9" fillId="2" borderId="6" pivotButton="0" quotePrefix="0" xfId="4"/>
    <xf numFmtId="166" fontId="9" fillId="2" borderId="6" pivotButton="0" quotePrefix="0" xfId="2"/>
    <xf numFmtId="164" fontId="12" fillId="2" borderId="6" pivotButton="0" quotePrefix="0" xfId="2"/>
    <xf numFmtId="164" fontId="12" fillId="6" borderId="6" pivotButton="0" quotePrefix="0" xfId="2"/>
    <xf numFmtId="166" fontId="15" fillId="0" borderId="2" pivotButton="0" quotePrefix="0" xfId="2"/>
    <xf numFmtId="166" fontId="15" fillId="0" borderId="4" pivotButton="0" quotePrefix="0" xfId="2"/>
    <xf numFmtId="166" fontId="15" fillId="0" borderId="1" pivotButton="0" quotePrefix="0" xfId="2"/>
    <xf numFmtId="0" fontId="0" fillId="0" borderId="63" pivotButton="0" quotePrefix="0" xfId="0"/>
    <xf numFmtId="0" fontId="0" fillId="0" borderId="22" pivotButton="0" quotePrefix="0" xfId="0"/>
    <xf numFmtId="0" fontId="10" fillId="6" borderId="3" applyAlignment="1" pivotButton="0" quotePrefix="0" xfId="0">
      <alignment horizontal="center" vertical="center" wrapText="1"/>
    </xf>
    <xf numFmtId="0" fontId="0" fillId="0" borderId="50" pivotButton="0" quotePrefix="0" xfId="0"/>
    <xf numFmtId="17" fontId="20" fillId="5" borderId="16" applyAlignment="1" pivotButton="0" quotePrefix="0" xfId="0">
      <alignment horizontal="center" vertical="center"/>
    </xf>
    <xf numFmtId="17" fontId="20" fillId="0" borderId="3" applyAlignment="1" pivotButton="0" quotePrefix="0" xfId="0">
      <alignment horizontal="center" vertical="center"/>
    </xf>
    <xf numFmtId="164" fontId="21" fillId="0" borderId="3" applyAlignment="1" pivotButton="0" quotePrefix="0" xfId="1">
      <alignment horizontal="right" vertical="center"/>
    </xf>
    <xf numFmtId="164" fontId="29" fillId="0" borderId="3" applyAlignment="1" pivotButton="0" quotePrefix="0" xfId="1">
      <alignment horizontal="right" vertical="center"/>
    </xf>
    <xf numFmtId="164" fontId="21" fillId="0" borderId="3" applyAlignment="1" pivotButton="0" quotePrefix="0" xfId="1">
      <alignment vertical="center"/>
    </xf>
    <xf numFmtId="164" fontId="29" fillId="0" borderId="3" applyAlignment="1" pivotButton="0" quotePrefix="0" xfId="1">
      <alignment vertical="center"/>
    </xf>
    <xf numFmtId="164" fontId="21" fillId="9" borderId="3" applyAlignment="1" pivotButton="0" quotePrefix="0" xfId="1">
      <alignment horizontal="right" vertical="center"/>
    </xf>
    <xf numFmtId="164" fontId="29" fillId="9" borderId="3" applyAlignment="1" pivotButton="0" quotePrefix="0" xfId="1">
      <alignment horizontal="right" vertical="center"/>
    </xf>
    <xf numFmtId="164" fontId="16" fillId="0" borderId="3" applyAlignment="1" pivotButton="0" quotePrefix="0" xfId="1">
      <alignment horizontal="right" vertical="center"/>
    </xf>
    <xf numFmtId="164" fontId="14" fillId="0" borderId="3" applyAlignment="1" pivotButton="0" quotePrefix="0" xfId="12">
      <alignment horizontal="center" vertical="center"/>
    </xf>
    <xf numFmtId="164" fontId="15" fillId="0" borderId="3" applyAlignment="1" pivotButton="0" quotePrefix="0" xfId="12">
      <alignment horizontal="center" vertical="center"/>
    </xf>
    <xf numFmtId="164" fontId="14" fillId="9" borderId="3" applyAlignment="1" pivotButton="0" quotePrefix="0" xfId="12">
      <alignment horizontal="center" vertical="center"/>
    </xf>
    <xf numFmtId="164" fontId="15" fillId="9" borderId="3" applyAlignment="1" pivotButton="0" quotePrefix="0" xfId="12">
      <alignment horizontal="center" vertical="center"/>
    </xf>
    <xf numFmtId="166" fontId="14" fillId="9" borderId="3" applyAlignment="1" pivotButton="0" quotePrefix="0" xfId="12">
      <alignment horizontal="center" vertical="center"/>
    </xf>
    <xf numFmtId="166" fontId="15" fillId="9" borderId="3" applyAlignment="1" pivotButton="0" quotePrefix="0" xfId="12">
      <alignment horizontal="center" vertical="center"/>
    </xf>
    <xf numFmtId="164" fontId="14" fillId="0" borderId="3" applyAlignment="1" pivotButton="0" quotePrefix="0" xfId="15">
      <alignment horizontal="center" vertical="center"/>
    </xf>
    <xf numFmtId="164" fontId="14" fillId="0" borderId="3" applyAlignment="1" pivotButton="0" quotePrefix="0" xfId="15">
      <alignment vertical="center"/>
    </xf>
    <xf numFmtId="164" fontId="14" fillId="0" borderId="9" applyAlignment="1" pivotButton="0" quotePrefix="0" xfId="15">
      <alignment vertical="center"/>
    </xf>
    <xf numFmtId="164" fontId="14" fillId="9" borderId="3" applyAlignment="1" pivotButton="0" quotePrefix="0" xfId="14">
      <alignment vertical="center"/>
    </xf>
    <xf numFmtId="166" fontId="14" fillId="9" borderId="3" applyAlignment="1" pivotButton="0" quotePrefix="0" xfId="14">
      <alignment vertical="center"/>
    </xf>
    <xf numFmtId="164" fontId="16" fillId="0" borderId="1" applyAlignment="1" pivotButton="0" quotePrefix="0" xfId="1">
      <alignment horizontal="right" vertical="center"/>
    </xf>
    <xf numFmtId="164" fontId="29" fillId="0" borderId="1" applyAlignment="1" pivotButton="0" quotePrefix="0" xfId="1">
      <alignment horizontal="right" vertical="center"/>
    </xf>
    <xf numFmtId="164" fontId="14" fillId="0" borderId="1" applyAlignment="1" pivotButton="0" quotePrefix="0" xfId="12">
      <alignment horizontal="center" vertical="center"/>
    </xf>
    <xf numFmtId="164" fontId="15" fillId="0" borderId="1" applyAlignment="1" pivotButton="0" quotePrefix="0" xfId="12">
      <alignment horizontal="center" vertical="center"/>
    </xf>
    <xf numFmtId="164" fontId="14" fillId="9" borderId="1" applyAlignment="1" pivotButton="0" quotePrefix="0" xfId="12">
      <alignment horizontal="center" vertical="center"/>
    </xf>
    <xf numFmtId="164" fontId="15" fillId="9" borderId="1" applyAlignment="1" pivotButton="0" quotePrefix="0" xfId="12">
      <alignment horizontal="center" vertical="center"/>
    </xf>
    <xf numFmtId="166" fontId="14" fillId="9" borderId="1" applyAlignment="1" pivotButton="0" quotePrefix="0" xfId="12">
      <alignment horizontal="center" vertical="center"/>
    </xf>
    <xf numFmtId="166" fontId="15" fillId="9" borderId="1" applyAlignment="1" pivotButton="0" quotePrefix="0" xfId="12">
      <alignment horizontal="center" vertical="center"/>
    </xf>
    <xf numFmtId="164" fontId="14" fillId="0" borderId="1" applyAlignment="1" pivotButton="0" quotePrefix="0" xfId="15">
      <alignment horizontal="center" vertical="center"/>
    </xf>
    <xf numFmtId="164" fontId="14" fillId="0" borderId="1" applyAlignment="1" pivotButton="0" quotePrefix="0" xfId="15">
      <alignment vertical="center"/>
    </xf>
    <xf numFmtId="164" fontId="14" fillId="0" borderId="23" applyAlignment="1" pivotButton="0" quotePrefix="0" xfId="15">
      <alignment vertical="center"/>
    </xf>
    <xf numFmtId="164" fontId="14" fillId="9" borderId="1" applyAlignment="1" pivotButton="0" quotePrefix="0" xfId="14">
      <alignment vertical="center"/>
    </xf>
    <xf numFmtId="166" fontId="14" fillId="9" borderId="1" applyAlignment="1" pivotButton="0" quotePrefix="0" xfId="14">
      <alignment vertical="center"/>
    </xf>
    <xf numFmtId="165" fontId="20" fillId="2" borderId="5" applyAlignment="1" pivotButton="0" quotePrefix="0" xfId="11">
      <alignment horizontal="center" vertical="center"/>
    </xf>
    <xf numFmtId="164" fontId="28" fillId="2" borderId="6" applyAlignment="1" pivotButton="0" quotePrefix="0" xfId="1">
      <alignment horizontal="center" vertical="center" wrapText="1"/>
    </xf>
    <xf numFmtId="164" fontId="20" fillId="2" borderId="6" applyAlignment="1" pivotButton="0" quotePrefix="0" xfId="1">
      <alignment horizontal="center" vertical="center"/>
    </xf>
    <xf numFmtId="164" fontId="28" fillId="2" borderId="6" applyAlignment="1" pivotButton="0" quotePrefix="0" xfId="1">
      <alignment horizontal="center" vertical="center"/>
    </xf>
    <xf numFmtId="164" fontId="20" fillId="2" borderId="6" applyAlignment="1" pivotButton="0" quotePrefix="0" xfId="1">
      <alignment horizontal="center" vertical="center" wrapText="1"/>
    </xf>
    <xf numFmtId="164" fontId="20" fillId="2" borderId="6" applyAlignment="1" pivotButton="0" quotePrefix="0" xfId="1">
      <alignment horizontal="right" vertical="center"/>
    </xf>
    <xf numFmtId="164" fontId="28" fillId="2" borderId="6" applyAlignment="1" pivotButton="0" quotePrefix="0" xfId="1">
      <alignment horizontal="right" vertical="center"/>
    </xf>
    <xf numFmtId="164" fontId="12" fillId="2" borderId="6" applyAlignment="1" pivotButton="0" quotePrefix="0" xfId="12">
      <alignment horizontal="center" vertical="center"/>
    </xf>
    <xf numFmtId="164" fontId="9" fillId="2" borderId="6" applyAlignment="1" pivotButton="0" quotePrefix="0" xfId="12">
      <alignment horizontal="center" vertical="center"/>
    </xf>
    <xf numFmtId="164" fontId="20" fillId="2" borderId="6" applyAlignment="1" pivotButton="0" quotePrefix="0" xfId="12">
      <alignment horizontal="center" vertical="center" wrapText="1"/>
    </xf>
    <xf numFmtId="164" fontId="20" fillId="2" borderId="6" applyAlignment="1" pivotButton="0" quotePrefix="0" xfId="12">
      <alignment horizontal="center" vertical="center"/>
    </xf>
    <xf numFmtId="164" fontId="28" fillId="2" borderId="6" applyAlignment="1" pivotButton="0" quotePrefix="0" xfId="12">
      <alignment horizontal="center" vertical="center"/>
    </xf>
    <xf numFmtId="164" fontId="12" fillId="6" borderId="6" applyAlignment="1" pivotButton="0" quotePrefix="0" xfId="15">
      <alignment horizontal="center" vertical="center"/>
    </xf>
    <xf numFmtId="164" fontId="12" fillId="6" borderId="6" applyAlignment="1" pivotButton="0" quotePrefix="0" xfId="15">
      <alignment vertical="center"/>
    </xf>
    <xf numFmtId="164" fontId="12" fillId="2" borderId="6" applyAlignment="1" pivotButton="0" quotePrefix="0" xfId="15">
      <alignment vertical="center"/>
    </xf>
    <xf numFmtId="164" fontId="12" fillId="2" borderId="26" applyAlignment="1" pivotButton="0" quotePrefix="0" xfId="15">
      <alignment vertical="center"/>
    </xf>
    <xf numFmtId="164" fontId="12" fillId="2" borderId="6" applyAlignment="1" pivotButton="0" quotePrefix="0" xfId="14">
      <alignment vertical="center"/>
    </xf>
    <xf numFmtId="166" fontId="12" fillId="2" borderId="20" applyAlignment="1" pivotButton="0" quotePrefix="0" xfId="14">
      <alignment vertical="center"/>
    </xf>
    <xf numFmtId="166" fontId="16" fillId="0" borderId="0" applyAlignment="1" pivotButton="0" quotePrefix="0" xfId="11">
      <alignment vertical="center"/>
    </xf>
    <xf numFmtId="0" fontId="0" fillId="0" borderId="25" pivotButton="0" quotePrefix="0" xfId="0"/>
    <xf numFmtId="0" fontId="23" fillId="15" borderId="6" applyAlignment="1" pivotButton="0" quotePrefix="0" xfId="0">
      <alignment horizontal="center" vertical="center" wrapText="1"/>
    </xf>
    <xf numFmtId="0" fontId="23" fillId="7" borderId="6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3" pivotButton="0" quotePrefix="0" xfId="0"/>
    <xf numFmtId="164" fontId="21" fillId="0" borderId="57" applyAlignment="1" pivotButton="0" quotePrefix="0" xfId="1">
      <alignment horizontal="center" vertical="center"/>
    </xf>
    <xf numFmtId="164" fontId="21" fillId="0" borderId="2" applyAlignment="1" pivotButton="0" quotePrefix="0" xfId="1">
      <alignment vertical="center"/>
    </xf>
    <xf numFmtId="164" fontId="21" fillId="15" borderId="2" applyAlignment="1" pivotButton="0" quotePrefix="0" xfId="1">
      <alignment vertical="center"/>
    </xf>
    <xf numFmtId="164" fontId="21" fillId="15" borderId="57" applyAlignment="1" pivotButton="0" quotePrefix="0" xfId="1">
      <alignment vertical="center"/>
    </xf>
    <xf numFmtId="164" fontId="21" fillId="3" borderId="10" applyAlignment="1" pivotButton="0" quotePrefix="0" xfId="1">
      <alignment horizontal="center" vertical="center"/>
    </xf>
    <xf numFmtId="164" fontId="21" fillId="3" borderId="3" applyAlignment="1" pivotButton="0" quotePrefix="0" xfId="1">
      <alignment horizontal="center" vertical="center"/>
    </xf>
    <xf numFmtId="164" fontId="21" fillId="3" borderId="3" applyAlignment="1" pivotButton="0" quotePrefix="0" xfId="1">
      <alignment vertical="center"/>
    </xf>
    <xf numFmtId="164" fontId="21" fillId="0" borderId="10" applyAlignment="1" pivotButton="0" quotePrefix="0" xfId="1">
      <alignment horizontal="center" vertical="center"/>
    </xf>
    <xf numFmtId="164" fontId="16" fillId="0" borderId="3" applyAlignment="1" pivotButton="0" quotePrefix="0" xfId="1">
      <alignment vertical="center"/>
    </xf>
    <xf numFmtId="164" fontId="21" fillId="15" borderId="3" applyAlignment="1" pivotButton="0" quotePrefix="0" xfId="1">
      <alignment vertical="center"/>
    </xf>
    <xf numFmtId="164" fontId="21" fillId="3" borderId="58" applyAlignment="1" pivotButton="0" quotePrefix="0" xfId="1">
      <alignment horizontal="center" vertical="center"/>
    </xf>
    <xf numFmtId="164" fontId="21" fillId="3" borderId="4" applyAlignment="1" pivotButton="0" quotePrefix="0" xfId="1">
      <alignment horizontal="center" vertical="center"/>
    </xf>
    <xf numFmtId="164" fontId="21" fillId="3" borderId="1" applyAlignment="1" pivotButton="0" quotePrefix="0" xfId="1">
      <alignment vertical="center"/>
    </xf>
    <xf numFmtId="164" fontId="23" fillId="7" borderId="22" applyAlignment="1" pivotButton="0" quotePrefix="0" xfId="11">
      <alignment horizontal="center" vertical="center"/>
    </xf>
    <xf numFmtId="164" fontId="21" fillId="15" borderId="16" applyAlignment="1" pivotButton="0" quotePrefix="0" xfId="1">
      <alignment vertical="center"/>
    </xf>
    <xf numFmtId="164" fontId="23" fillId="6" borderId="16" applyAlignment="1" pivotButton="0" quotePrefix="0" xfId="1">
      <alignment vertical="center"/>
    </xf>
    <xf numFmtId="164" fontId="23" fillId="7" borderId="30" applyAlignment="1" pivotButton="0" quotePrefix="0" xfId="11">
      <alignment horizontal="center" vertical="center"/>
    </xf>
    <xf numFmtId="164" fontId="23" fillId="7" borderId="3" applyAlignment="1" pivotButton="0" quotePrefix="0" xfId="1">
      <alignment vertical="center"/>
    </xf>
    <xf numFmtId="164" fontId="23" fillId="15" borderId="3" applyAlignment="1" pivotButton="0" quotePrefix="0" xfId="1">
      <alignment vertical="center"/>
    </xf>
    <xf numFmtId="164" fontId="23" fillId="7" borderId="31" applyAlignment="1" pivotButton="0" quotePrefix="0" xfId="1">
      <alignment vertical="center"/>
    </xf>
    <xf numFmtId="164" fontId="23" fillId="3" borderId="3" applyAlignment="1" pivotButton="0" quotePrefix="0" xfId="1">
      <alignment vertical="center"/>
    </xf>
    <xf numFmtId="164" fontId="23" fillId="6" borderId="3" applyAlignment="1" pivotButton="0" quotePrefix="0" xfId="1">
      <alignment vertical="center"/>
    </xf>
    <xf numFmtId="164" fontId="23" fillId="7" borderId="17" applyAlignment="1" pivotButton="0" quotePrefix="0" xfId="1">
      <alignment vertical="center"/>
    </xf>
    <xf numFmtId="164" fontId="23" fillId="15" borderId="17" applyAlignment="1" pivotButton="0" quotePrefix="0" xfId="1">
      <alignment vertical="center"/>
    </xf>
    <xf numFmtId="164" fontId="23" fillId="3" borderId="17" applyAlignment="1" pivotButton="0" quotePrefix="0" xfId="1">
      <alignment vertical="center"/>
    </xf>
    <xf numFmtId="164" fontId="23" fillId="7" borderId="32" applyAlignment="1" pivotButton="0" quotePrefix="0" xfId="1">
      <alignment vertical="center"/>
    </xf>
    <xf numFmtId="0" fontId="0" fillId="0" borderId="60" pivotButton="0" quotePrefix="0" xfId="0"/>
    <xf numFmtId="0" fontId="0" fillId="0" borderId="57" pivotButton="0" quotePrefix="0" xfId="0"/>
    <xf numFmtId="0" fontId="0" fillId="0" borderId="61" pivotButton="0" quotePrefix="0" xfId="0"/>
    <xf numFmtId="0" fontId="23" fillId="0" borderId="27" applyAlignment="1" pivotButton="0" quotePrefix="0" xfId="27">
      <alignment horizontal="center" vertical="center" wrapText="1"/>
    </xf>
    <xf numFmtId="0" fontId="23" fillId="0" borderId="33" applyAlignment="1" pivotButton="0" quotePrefix="0" xfId="27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62" pivotButton="0" quotePrefix="0" xfId="0"/>
    <xf numFmtId="0" fontId="0" fillId="0" borderId="46" pivotButton="0" quotePrefix="0" xfId="0"/>
    <xf numFmtId="165" fontId="21" fillId="0" borderId="3" applyAlignment="1" pivotButton="0" quotePrefix="0" xfId="27">
      <alignment horizontal="center" vertical="center"/>
    </xf>
    <xf numFmtId="0" fontId="10" fillId="0" borderId="16" applyAlignment="1" pivotButton="0" quotePrefix="0" xfId="27">
      <alignment horizontal="center" vertical="center" wrapText="1"/>
    </xf>
    <xf numFmtId="0" fontId="46" fillId="0" borderId="16" applyAlignment="1" pivotButton="0" quotePrefix="0" xfId="22">
      <alignment horizontal="center" vertical="center" wrapText="1"/>
    </xf>
    <xf numFmtId="0" fontId="10" fillId="0" borderId="16" applyAlignment="1" pivotButton="0" quotePrefix="0" xfId="28">
      <alignment horizontal="center" vertical="center" wrapText="1"/>
    </xf>
    <xf numFmtId="0" fontId="12" fillId="0" borderId="16" applyAlignment="1" pivotButton="0" quotePrefix="0" xfId="22">
      <alignment horizontal="center" vertical="center" wrapText="1"/>
    </xf>
    <xf numFmtId="164" fontId="10" fillId="9" borderId="29" applyAlignment="1" pivotButton="0" quotePrefix="0" xfId="29">
      <alignment horizontal="center" vertical="center"/>
    </xf>
    <xf numFmtId="164" fontId="10" fillId="9" borderId="64" applyAlignment="1" pivotButton="0" quotePrefix="0" xfId="29">
      <alignment horizontal="center" vertical="center"/>
    </xf>
    <xf numFmtId="164" fontId="10" fillId="0" borderId="31" applyAlignment="1" pivotButton="0" quotePrefix="0" xfId="29">
      <alignment vertical="center"/>
    </xf>
    <xf numFmtId="164" fontId="11" fillId="0" borderId="3" applyAlignment="1" pivotButton="0" quotePrefix="0" xfId="29">
      <alignment horizontal="center" vertical="center"/>
    </xf>
    <xf numFmtId="164" fontId="11" fillId="0" borderId="9" applyAlignment="1" pivotButton="0" quotePrefix="0" xfId="29">
      <alignment horizontal="center" vertical="center"/>
    </xf>
    <xf numFmtId="164" fontId="10" fillId="0" borderId="9" applyAlignment="1" pivotButton="0" quotePrefix="0" xfId="29">
      <alignment horizontal="center" vertical="center"/>
    </xf>
    <xf numFmtId="164" fontId="10" fillId="0" borderId="31" applyAlignment="1" pivotButton="0" quotePrefix="0" xfId="29">
      <alignment horizontal="center" vertical="center"/>
    </xf>
    <xf numFmtId="164" fontId="11" fillId="23" borderId="3" applyAlignment="1" pivotButton="0" quotePrefix="0" xfId="29">
      <alignment horizontal="center" vertical="center"/>
    </xf>
    <xf numFmtId="164" fontId="11" fillId="0" borderId="2" applyAlignment="1" pivotButton="0" quotePrefix="0" xfId="29">
      <alignment horizontal="center" vertical="center"/>
    </xf>
    <xf numFmtId="164" fontId="11" fillId="0" borderId="8" applyAlignment="1" pivotButton="0" quotePrefix="0" xfId="29">
      <alignment horizontal="center" vertical="center"/>
    </xf>
    <xf numFmtId="164" fontId="11" fillId="23" borderId="3" applyAlignment="1" pivotButton="0" quotePrefix="0" xfId="27">
      <alignment horizontal="center" vertical="center"/>
    </xf>
    <xf numFmtId="164" fontId="11" fillId="0" borderId="1" applyAlignment="1" pivotButton="0" quotePrefix="0" xfId="27">
      <alignment horizontal="center" vertical="center"/>
    </xf>
    <xf numFmtId="164" fontId="10" fillId="23" borderId="17" applyAlignment="1" pivotButton="0" quotePrefix="0" xfId="29">
      <alignment horizontal="center" vertical="center"/>
    </xf>
    <xf numFmtId="164" fontId="23" fillId="0" borderId="1" applyAlignment="1" pivotButton="0" quotePrefix="0" xfId="27">
      <alignment horizontal="center" vertical="center"/>
    </xf>
    <xf numFmtId="164" fontId="10" fillId="9" borderId="17" applyAlignment="1" pivotButton="0" quotePrefix="0" xfId="29">
      <alignment horizontal="center" vertical="center"/>
    </xf>
    <xf numFmtId="164" fontId="10" fillId="9" borderId="32" applyAlignment="1" pivotButton="0" quotePrefix="0" xfId="29">
      <alignment horizontal="center" vertical="center"/>
    </xf>
    <xf numFmtId="164" fontId="10" fillId="0" borderId="0" pivotButton="0" quotePrefix="0" xfId="29"/>
    <xf numFmtId="0" fontId="45" fillId="6" borderId="15" applyAlignment="1" pivotButton="0" quotePrefix="0" xfId="26">
      <alignment horizontal="center" wrapText="1"/>
    </xf>
    <xf numFmtId="165" fontId="48" fillId="0" borderId="3" pivotButton="0" quotePrefix="0" xfId="26"/>
    <xf numFmtId="0" fontId="21" fillId="7" borderId="72" applyAlignment="1" pivotButton="0" quotePrefix="0" xfId="11">
      <alignment horizontal="center" vertical="center"/>
    </xf>
    <xf numFmtId="0" fontId="23" fillId="7" borderId="5" applyAlignment="1" pivotButton="0" quotePrefix="0" xfId="0">
      <alignment horizontal="center" vertical="center"/>
    </xf>
    <xf numFmtId="0" fontId="0" fillId="0" borderId="74" pivotButton="0" quotePrefix="0" xfId="0"/>
    <xf numFmtId="164" fontId="21" fillId="7" borderId="3" applyAlignment="1" pivotButton="0" quotePrefix="0" xfId="1">
      <alignment horizontal="center" vertical="center"/>
    </xf>
    <xf numFmtId="164" fontId="0" fillId="0" borderId="0" pivotButton="0" quotePrefix="0" xfId="1"/>
    <xf numFmtId="164" fontId="21" fillId="7" borderId="2" applyAlignment="1" pivotButton="0" quotePrefix="0" xfId="1">
      <alignment horizontal="center" vertical="center"/>
    </xf>
    <xf numFmtId="164" fontId="23" fillId="7" borderId="2" applyAlignment="1" pivotButton="0" quotePrefix="0" xfId="11">
      <alignment horizontal="center" vertical="center"/>
    </xf>
    <xf numFmtId="168" fontId="26" fillId="14" borderId="3" applyAlignment="1" pivotButton="0" quotePrefix="0" xfId="11">
      <alignment horizontal="center" vertical="center"/>
    </xf>
    <xf numFmtId="168" fontId="26" fillId="14" borderId="9" applyAlignment="1" pivotButton="0" quotePrefix="0" xfId="11">
      <alignment horizontal="center" vertical="center"/>
    </xf>
    <xf numFmtId="168" fontId="26" fillId="14" borderId="18" applyAlignment="1" pivotButton="0" quotePrefix="0" xfId="11">
      <alignment horizontal="center" vertical="center"/>
    </xf>
    <xf numFmtId="168" fontId="26" fillId="14" borderId="8" applyAlignment="1" pivotButton="0" quotePrefix="0" xfId="11">
      <alignment horizontal="center" vertical="center"/>
    </xf>
    <xf numFmtId="164" fontId="11" fillId="0" borderId="3" applyAlignment="1" pivotButton="0" quotePrefix="0" xfId="12">
      <alignment vertical="center"/>
    </xf>
    <xf numFmtId="164" fontId="21" fillId="0" borderId="0" pivotButton="0" quotePrefix="0" xfId="1"/>
    <xf numFmtId="164" fontId="21" fillId="0" borderId="0" pivotButton="0" quotePrefix="0" xfId="11"/>
    <xf numFmtId="164" fontId="10" fillId="12" borderId="3" applyAlignment="1" pivotButton="0" quotePrefix="0" xfId="12">
      <alignment vertical="center"/>
    </xf>
    <xf numFmtId="164" fontId="21" fillId="0" borderId="3" pivotButton="0" quotePrefix="0" xfId="1"/>
    <xf numFmtId="164" fontId="21" fillId="0" borderId="3" pivotButton="0" quotePrefix="0" xfId="11"/>
    <xf numFmtId="168" fontId="26" fillId="14" borderId="14" applyAlignment="1" pivotButton="0" quotePrefix="0" xfId="11">
      <alignment horizontal="center" vertical="center"/>
    </xf>
    <xf numFmtId="164" fontId="6" fillId="0" borderId="3" pivotButton="0" quotePrefix="0" xfId="1"/>
    <xf numFmtId="164" fontId="21" fillId="0" borderId="3" applyAlignment="1" pivotButton="0" quotePrefix="0" xfId="12">
      <alignment vertical="center"/>
    </xf>
    <xf numFmtId="164" fontId="6" fillId="0" borderId="0" pivotButton="0" quotePrefix="0" xfId="1"/>
    <xf numFmtId="164" fontId="23" fillId="12" borderId="3" applyAlignment="1" pivotButton="0" quotePrefix="0" xfId="12">
      <alignment vertical="center"/>
    </xf>
    <xf numFmtId="164" fontId="21" fillId="0" borderId="3" pivotButton="0" quotePrefix="0" xfId="12"/>
    <xf numFmtId="164" fontId="23" fillId="12" borderId="3" pivotButton="0" quotePrefix="0" xfId="12"/>
    <xf numFmtId="164" fontId="23" fillId="13" borderId="3" pivotButton="0" quotePrefix="0" xfId="11"/>
    <xf numFmtId="164" fontId="6" fillId="0" borderId="0" pivotButton="0" quotePrefix="0" xfId="11"/>
  </cellXfs>
  <cellStyles count="31">
    <cellStyle name="Normal" xfId="0" builtinId="0"/>
    <cellStyle name="Comma" xfId="1" builtinId="3"/>
    <cellStyle name="Normal 19" xfId="2"/>
    <cellStyle name="Normal 2" xfId="3"/>
    <cellStyle name="Comma 2 2" xfId="4"/>
    <cellStyle name="Comma 2" xfId="5"/>
    <cellStyle name="Comma 2 2 2" xfId="6"/>
    <cellStyle name="Normal 3" xfId="7"/>
    <cellStyle name="Comma 3" xfId="8"/>
    <cellStyle name="Percent 2" xfId="9"/>
    <cellStyle name="Comma 4" xfId="10"/>
    <cellStyle name="Normal 4" xfId="11"/>
    <cellStyle name="Comma 5" xfId="12"/>
    <cellStyle name="Percent 3" xfId="13"/>
    <cellStyle name="Normal 19 2" xfId="14"/>
    <cellStyle name="Normal 3 2" xfId="15"/>
    <cellStyle name="Percent" xfId="16" builtinId="5"/>
    <cellStyle name="Normal 2 2" xfId="17"/>
    <cellStyle name="Comma [0] 2" xfId="18"/>
    <cellStyle name="Normal 5" xfId="19"/>
    <cellStyle name="Normal 3 3" xfId="20"/>
    <cellStyle name="Comma 6" xfId="21"/>
    <cellStyle name="Bad" xfId="22" builtinId="27"/>
    <cellStyle name="Normal 6" xfId="23"/>
    <cellStyle name="Comma 7" xfId="24"/>
    <cellStyle name="Percent 4" xfId="25"/>
    <cellStyle name="Normal 7" xfId="26"/>
    <cellStyle name="Normal 8" xfId="27"/>
    <cellStyle name="40% - Accent4 2" xfId="28"/>
    <cellStyle name="Comma 8" xfId="29"/>
    <cellStyle name="Percent 5" xfId="3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externalLink" Target="/xl/externalLinks/externalLink1.xml" Id="rId26"/><Relationship Type="http://schemas.openxmlformats.org/officeDocument/2006/relationships/externalLink" Target="/xl/externalLinks/externalLink2.xml" Id="rId27"/><Relationship Type="http://schemas.openxmlformats.org/officeDocument/2006/relationships/externalLink" Target="/xl/externalLinks/externalLink3.xml" Id="rId28"/><Relationship Type="http://schemas.openxmlformats.org/officeDocument/2006/relationships/externalLink" Target="/xl/externalLinks/externalLink4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Users\Admin\Downloads\SLP%20Daily_1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d.docs.live.net/Users/Admin/Downloads/SLP%20Daily_1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d.docs.live.net/Users/User/Documents/7-MTL%20For%20SKU%20SUMMARY(15.2.2025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56"/>
  <sheetViews>
    <sheetView zoomScale="90" zoomScaleNormal="90" workbookViewId="0">
      <pane xSplit="2" ySplit="3" topLeftCell="CF4" activePane="bottomRight" state="frozen"/>
      <selection activeCell="AO5" sqref="AO5"/>
      <selection pane="topRight" activeCell="AO5" sqref="AO5"/>
      <selection pane="bottomLeft" activeCell="AO5" sqref="AO5"/>
      <selection pane="bottomRight" activeCell="DQ4" sqref="DQ4:DR4"/>
    </sheetView>
  </sheetViews>
  <sheetFormatPr baseColWidth="8" defaultColWidth="10.5546875" defaultRowHeight="19.8"/>
  <cols>
    <col width="3.5546875" bestFit="1" customWidth="1" style="40" min="1" max="1"/>
    <col width="27.88671875" bestFit="1" customWidth="1" style="40" min="2" max="2"/>
    <col width="7.44140625" customWidth="1" style="40" min="3" max="3"/>
    <col width="5.33203125" bestFit="1" customWidth="1" style="40" min="4" max="4"/>
    <col width="7.6640625" bestFit="1" customWidth="1" style="40" min="5" max="5"/>
    <col width="9.44140625" bestFit="1" customWidth="1" style="40" min="6" max="6"/>
    <col hidden="1" width="8" customWidth="1" style="40" min="7" max="7"/>
    <col hidden="1" width="9" customWidth="1" style="40" min="8" max="8"/>
    <col hidden="1" width="8" customWidth="1" style="40" min="9" max="9"/>
    <col hidden="1" width="8.109375" customWidth="1" style="40" min="10" max="10"/>
    <col hidden="1" width="9.33203125" customWidth="1" style="40" min="11" max="11"/>
    <col hidden="1" width="10.6640625" customWidth="1" style="40" min="12" max="12"/>
    <col hidden="1" width="9.33203125" customWidth="1" style="40" min="13" max="13"/>
    <col hidden="1" width="8.6640625" customWidth="1" style="40" min="14" max="15"/>
    <col hidden="1" width="9.33203125" customWidth="1" style="40" min="16" max="16"/>
    <col hidden="1" width="9.88671875" customWidth="1" style="40" min="17" max="17"/>
    <col hidden="1" width="8.6640625" customWidth="1" style="40" min="18" max="18"/>
    <col hidden="1" width="9.44140625" customWidth="1" style="40" min="19" max="19"/>
    <col hidden="1" width="8.109375" customWidth="1" style="40" min="20" max="20"/>
    <col hidden="1" width="9" customWidth="1" style="40" min="21" max="21"/>
    <col hidden="1" width="7.6640625" customWidth="1" style="40" min="22" max="22"/>
    <col hidden="1" width="8.6640625" customWidth="1" style="40" min="23" max="23"/>
    <col hidden="1" width="8.109375" customWidth="1" style="40" min="24" max="24"/>
    <col hidden="1" width="8.88671875" customWidth="1" style="40" min="25" max="25"/>
    <col hidden="1" width="8" customWidth="1" style="40" min="26" max="26"/>
    <col hidden="1" width="7.6640625" customWidth="1" style="40" min="27" max="27"/>
    <col hidden="1" width="9.6640625" customWidth="1" style="40" min="28" max="28"/>
    <col hidden="1" width="7.88671875" customWidth="1" style="40" min="29" max="29"/>
    <col hidden="1" width="8.33203125" customWidth="1" style="40" min="30" max="30"/>
    <col hidden="1" width="8.109375" customWidth="1" style="40" min="31" max="31"/>
    <col hidden="1" width="9.5546875" customWidth="1" style="40" min="32" max="32"/>
    <col hidden="1" width="9.109375" customWidth="1" style="40" min="33" max="33"/>
    <col hidden="1" width="8.109375" customWidth="1" style="40" min="34" max="34"/>
    <col hidden="1" width="9.6640625" customWidth="1" style="40" min="35" max="35"/>
    <col hidden="1" width="7.6640625" customWidth="1" style="40" min="36" max="38"/>
    <col hidden="1" width="8.33203125" customWidth="1" style="40" min="39" max="39"/>
    <col hidden="1" width="8.44140625" customWidth="1" style="40" min="40" max="40"/>
    <col hidden="1" width="8.5546875" customWidth="1" style="40" min="41" max="41"/>
    <col hidden="1" width="9.109375" customWidth="1" style="40" min="42" max="42"/>
    <col hidden="1" width="7.88671875" customWidth="1" style="40" min="43" max="43"/>
    <col hidden="1" width="8.33203125" customWidth="1" style="40" min="44" max="44"/>
    <col hidden="1" width="8.6640625" customWidth="1" style="40" min="45" max="45"/>
    <col hidden="1" width="8.44140625" customWidth="1" style="40" min="46" max="46"/>
    <col hidden="1" width="9.5546875" customWidth="1" style="40" min="47" max="47"/>
    <col hidden="1" width="8.44140625" customWidth="1" style="40" min="48" max="49"/>
    <col hidden="1" width="8.6640625" customWidth="1" style="40" min="50" max="50"/>
    <col hidden="1" width="8.88671875" customWidth="1" style="40" min="51" max="51"/>
    <col hidden="1" width="8.6640625" customWidth="1" style="40" min="52" max="52"/>
    <col hidden="1" width="9.33203125" customWidth="1" style="40" min="53" max="53"/>
    <col hidden="1" width="10.109375" customWidth="1" style="40" min="54" max="55"/>
    <col hidden="1" width="9.33203125" customWidth="1" style="40" min="56" max="56"/>
    <col hidden="1" width="12.5546875" customWidth="1" style="40" min="57" max="57"/>
    <col hidden="1" width="10.88671875" customWidth="1" style="40" min="58" max="58"/>
    <col hidden="1" width="9.109375" customWidth="1" style="40" min="59" max="59"/>
    <col hidden="1" width="8" customWidth="1" style="40" min="60" max="60"/>
    <col hidden="1" width="9.44140625" customWidth="1" style="40" min="61" max="61"/>
    <col hidden="1" width="9.6640625" customWidth="1" style="40" min="62" max="62"/>
    <col hidden="1" width="8.88671875" customWidth="1" style="40" min="63" max="63"/>
    <col hidden="1" width="10.33203125" customWidth="1" style="40" min="64" max="64"/>
    <col hidden="1" width="9.33203125" customWidth="1" style="40" min="65" max="65"/>
    <col hidden="1" width="8.5546875" customWidth="1" style="40" min="66" max="66"/>
    <col hidden="1" width="9.6640625" customWidth="1" style="40" min="67" max="67"/>
    <col hidden="1" width="9.5546875" customWidth="1" style="40" min="68" max="69"/>
    <col hidden="1" width="9" customWidth="1" style="40" min="70" max="70"/>
    <col hidden="1" width="8.88671875" customWidth="1" style="40" min="71" max="71"/>
    <col hidden="1" width="9.44140625" customWidth="1" style="40" min="72" max="72"/>
    <col hidden="1" width="11" customWidth="1" style="40" min="73" max="73"/>
    <col hidden="1" width="8.109375" customWidth="1" style="40" min="74" max="74"/>
    <col hidden="1" width="9.33203125" customWidth="1" style="40" min="75" max="75"/>
    <col hidden="1" width="9.109375" customWidth="1" style="40" min="76" max="76"/>
    <col hidden="1" width="8.44140625" customWidth="1" style="40" min="77" max="77"/>
    <col hidden="1" width="9.5546875" customWidth="1" style="40" min="78" max="78"/>
    <col hidden="1" width="9.44140625" customWidth="1" style="40" min="79" max="80"/>
    <col hidden="1" width="9.109375" customWidth="1" style="40" min="81" max="81"/>
    <col hidden="1" width="8.88671875" customWidth="1" style="40" min="82" max="82"/>
    <col width="9.5546875" customWidth="1" style="40" min="83" max="84"/>
    <col width="10.88671875" customWidth="1" style="40" min="85" max="85"/>
    <col width="9.88671875" customWidth="1" style="40" min="86" max="86"/>
    <col hidden="1" width="8" customWidth="1" style="40" min="87" max="88"/>
    <col width="14" customWidth="1" style="42" min="89" max="89"/>
    <col width="13.88671875" customWidth="1" style="42" min="90" max="90"/>
    <col hidden="1" width="9.88671875" customWidth="1" style="1" min="91" max="91"/>
    <col hidden="1" width="9.5546875" customWidth="1" style="969" min="92" max="92"/>
    <col hidden="1" width="10.33203125" customWidth="1" style="1" min="93" max="93"/>
    <col hidden="1" width="11.33203125" customWidth="1" style="42" min="94" max="94"/>
    <col hidden="1" width="9.6640625" customWidth="1" style="1" min="95" max="95"/>
    <col hidden="1" width="12" customWidth="1" style="42" min="96" max="96"/>
    <col hidden="1" width="10.109375" customWidth="1" style="1" min="97" max="97"/>
    <col hidden="1" width="12.6640625" customWidth="1" style="42" min="98" max="98"/>
    <col hidden="1" width="11.33203125" customWidth="1" style="1" min="99" max="99"/>
    <col hidden="1" width="12" customWidth="1" style="42" min="100" max="100"/>
    <col width="9" customWidth="1" style="1" min="101" max="101"/>
    <col width="11.109375" customWidth="1" style="42" min="102" max="102"/>
    <col hidden="1" width="4.6640625" customWidth="1" style="1" min="103" max="103"/>
    <col hidden="1" width="4.6640625" customWidth="1" style="42" min="104" max="104"/>
    <col hidden="1" width="4.6640625" customWidth="1" style="1" min="105" max="105"/>
    <col hidden="1" width="4.6640625" customWidth="1" style="42" min="106" max="106"/>
    <col hidden="1" width="4.6640625" customWidth="1" style="1" min="107" max="107"/>
    <col hidden="1" width="4.6640625" customWidth="1" style="42" min="108" max="108"/>
    <col hidden="1" width="4.6640625" customWidth="1" style="1" min="109" max="109"/>
    <col hidden="1" width="4.6640625" customWidth="1" style="42" min="110" max="110"/>
    <col hidden="1" width="4.6640625" customWidth="1" style="1" min="111" max="111"/>
    <col hidden="1" width="4.6640625" customWidth="1" style="42" min="112" max="112"/>
    <col hidden="1" width="4.6640625" customWidth="1" style="1" min="113" max="113"/>
    <col hidden="1" width="4.6640625" customWidth="1" style="42" min="114" max="114"/>
    <col width="11" customWidth="1" style="1" min="115" max="115"/>
    <col width="11.33203125" customWidth="1" style="42" min="116" max="116"/>
    <col width="10.5546875" customWidth="1" style="1" min="117" max="118"/>
    <col width="14.109375" customWidth="1" style="1" min="119" max="119"/>
    <col width="12" customWidth="1" style="1" min="120" max="120"/>
    <col width="20.5546875" customWidth="1" style="1" min="121" max="121"/>
    <col width="21.5546875" customWidth="1" style="1" min="122" max="122"/>
    <col width="13.88671875" customWidth="1" style="1" min="123" max="123"/>
    <col width="13.44140625" customWidth="1" style="1" min="124" max="124"/>
    <col width="12.6640625" customWidth="1" style="1" min="125" max="126"/>
    <col width="13.44140625" customWidth="1" style="1" min="127" max="127"/>
    <col width="10.5546875" customWidth="1" style="1" min="128" max="16384"/>
  </cols>
  <sheetData>
    <row r="1">
      <c r="A1" s="830" t="inlineStr">
        <is>
          <t>MTL</t>
        </is>
      </c>
      <c r="B1" s="970" t="n"/>
      <c r="C1" s="970" t="n"/>
      <c r="D1" s="970" t="n"/>
      <c r="E1" s="970" t="n"/>
      <c r="F1" s="971" t="n"/>
      <c r="G1" s="830" t="n"/>
      <c r="H1" s="830" t="n"/>
      <c r="I1" s="830" t="n"/>
      <c r="J1" s="830" t="n"/>
      <c r="K1" s="830" t="n"/>
      <c r="L1" s="830" t="n"/>
      <c r="M1" s="830" t="n"/>
      <c r="N1" s="830" t="n"/>
      <c r="O1" s="830" t="n"/>
      <c r="P1" s="830" t="n"/>
      <c r="Q1" s="830" t="n"/>
      <c r="R1" s="830" t="n"/>
      <c r="S1" s="830" t="n"/>
      <c r="T1" s="830" t="n"/>
      <c r="U1" s="830" t="n"/>
      <c r="V1" s="830" t="n"/>
      <c r="W1" s="830" t="n"/>
      <c r="X1" s="830" t="n"/>
      <c r="Y1" s="830" t="n"/>
      <c r="Z1" s="830" t="n"/>
      <c r="AA1" s="830" t="n"/>
      <c r="AB1" s="830" t="n"/>
      <c r="AC1" s="830" t="n"/>
      <c r="AD1" s="830" t="n"/>
      <c r="AE1" s="830" t="n"/>
      <c r="AF1" s="830" t="n"/>
      <c r="AG1" s="830" t="n"/>
      <c r="AH1" s="830" t="n"/>
      <c r="AI1" s="830" t="n"/>
      <c r="AJ1" s="830" t="n"/>
      <c r="AK1" s="830" t="n"/>
      <c r="AL1" s="830" t="n"/>
      <c r="AM1" s="830" t="n"/>
      <c r="AN1" s="830" t="n"/>
      <c r="AO1" s="830" t="n"/>
      <c r="AP1" s="830" t="n"/>
      <c r="AQ1" s="830" t="n"/>
      <c r="AR1" s="830" t="n"/>
      <c r="AS1" s="830" t="n"/>
      <c r="AT1" s="830" t="n"/>
      <c r="AU1" s="830" t="n"/>
      <c r="AV1" s="830" t="n"/>
      <c r="AW1" s="830" t="n"/>
      <c r="AX1" s="830" t="n"/>
      <c r="AY1" s="830" t="n"/>
      <c r="AZ1" s="830" t="n"/>
      <c r="BA1" s="830" t="n"/>
      <c r="BB1" s="830" t="n"/>
      <c r="BC1" s="830" t="n"/>
      <c r="BD1" s="830" t="n"/>
      <c r="BE1" s="830" t="n"/>
      <c r="BF1" s="830" t="n"/>
      <c r="BG1" s="830">
        <f>+A:BH</f>
        <v/>
      </c>
      <c r="BH1" s="830" t="n"/>
      <c r="BI1" s="830" t="n"/>
      <c r="BJ1" s="830" t="n"/>
      <c r="BK1" s="830" t="n"/>
      <c r="BL1" s="830" t="n"/>
      <c r="BM1" s="830" t="n"/>
      <c r="BN1" s="830" t="n"/>
      <c r="BO1" s="830" t="n"/>
      <c r="BP1" s="830" t="n"/>
      <c r="BQ1" s="830" t="n"/>
      <c r="BR1" s="830" t="n"/>
      <c r="BS1" s="830" t="n"/>
      <c r="BT1" s="830" t="n"/>
      <c r="BU1" s="830" t="n"/>
      <c r="BV1" s="830" t="n"/>
      <c r="BW1" s="830" t="n"/>
      <c r="BX1" s="830" t="n"/>
      <c r="BY1" s="830" t="n"/>
      <c r="BZ1" s="830" t="n"/>
      <c r="CA1" s="830" t="n"/>
      <c r="CB1" s="830" t="n"/>
      <c r="CC1" s="830" t="n"/>
      <c r="CD1" s="830" t="n"/>
      <c r="CE1" s="830" t="n"/>
      <c r="CF1" s="830" t="n"/>
      <c r="CG1" s="830" t="n"/>
      <c r="CH1" s="830" t="n"/>
      <c r="CI1" s="830" t="n"/>
      <c r="CJ1" s="830" t="n"/>
      <c r="CK1" s="222" t="n"/>
      <c r="CL1" s="222" t="n"/>
      <c r="CM1" s="222" t="n"/>
      <c r="CN1" s="222" t="n"/>
      <c r="CO1" s="222" t="n"/>
      <c r="CP1" s="222" t="n"/>
      <c r="CQ1" s="222" t="n"/>
      <c r="CR1" s="222" t="n"/>
      <c r="CS1" s="222" t="n"/>
      <c r="CT1" s="222" t="n"/>
      <c r="CU1" s="222" t="n"/>
      <c r="CV1" s="222" t="n"/>
      <c r="CW1" s="222" t="n"/>
      <c r="CX1" s="222" t="n"/>
      <c r="CY1" s="222" t="n"/>
      <c r="CZ1" s="222" t="n"/>
      <c r="DA1" s="222" t="n"/>
      <c r="DB1" s="222" t="n"/>
      <c r="DC1" s="222" t="n"/>
      <c r="DD1" s="222" t="n"/>
      <c r="DE1" s="222" t="n"/>
      <c r="DF1" s="222" t="n"/>
      <c r="DG1" s="222" t="n"/>
      <c r="DH1" s="222" t="n"/>
      <c r="DI1" s="222" t="n"/>
      <c r="DJ1" s="222" t="n"/>
      <c r="DK1" s="222" t="n"/>
      <c r="DL1" s="222" t="n"/>
      <c r="DM1" s="47" t="n"/>
      <c r="DN1" s="47" t="n"/>
      <c r="DO1" s="47" t="n"/>
      <c r="DP1" s="47" t="n"/>
      <c r="DQ1" s="47" t="n"/>
      <c r="DR1" s="47" t="n"/>
      <c r="DS1" s="832" t="inlineStr">
        <is>
          <t>Monthly GAP</t>
        </is>
      </c>
      <c r="DT1" s="970" t="n"/>
      <c r="DU1" s="970" t="n"/>
      <c r="DV1" s="971" t="n"/>
      <c r="DW1" s="832" t="inlineStr">
        <is>
          <t>Actual Sales Gain/ Loss in Carton (last 6 Months)</t>
        </is>
      </c>
    </row>
    <row r="2" ht="18.75" customHeight="1">
      <c r="A2" s="831" t="inlineStr">
        <is>
          <t>Sr.</t>
        </is>
      </c>
      <c r="B2" s="831" t="inlineStr">
        <is>
          <t xml:space="preserve">Product Name </t>
        </is>
      </c>
      <c r="C2" s="831" t="n"/>
      <c r="D2" s="829" t="inlineStr">
        <is>
          <t>ML</t>
        </is>
      </c>
      <c r="E2" s="829" t="inlineStr">
        <is>
          <t xml:space="preserve">Packing </t>
        </is>
      </c>
      <c r="F2" s="829" t="inlineStr">
        <is>
          <t>Sales Price</t>
        </is>
      </c>
      <c r="G2" s="827" t="n">
        <v>44562</v>
      </c>
      <c r="H2" s="971" t="n"/>
      <c r="I2" s="827" t="n">
        <v>44593</v>
      </c>
      <c r="J2" s="971" t="n"/>
      <c r="K2" s="827" t="n">
        <v>44621</v>
      </c>
      <c r="L2" s="971" t="n"/>
      <c r="M2" s="827" t="n">
        <v>44652</v>
      </c>
      <c r="N2" s="971" t="n"/>
      <c r="O2" s="827" t="n">
        <v>44682</v>
      </c>
      <c r="P2" s="971" t="n"/>
      <c r="Q2" s="827" t="n">
        <v>44713</v>
      </c>
      <c r="R2" s="971" t="n"/>
      <c r="S2" s="827" t="n">
        <v>44743</v>
      </c>
      <c r="T2" s="971" t="n"/>
      <c r="U2" s="827" t="n">
        <v>44774</v>
      </c>
      <c r="V2" s="971" t="n"/>
      <c r="W2" s="827" t="n">
        <v>44805</v>
      </c>
      <c r="X2" s="971" t="n"/>
      <c r="Y2" s="827" t="n">
        <v>44835</v>
      </c>
      <c r="Z2" s="971" t="n"/>
      <c r="AA2" s="827" t="n">
        <v>44866</v>
      </c>
      <c r="AB2" s="971" t="n"/>
      <c r="AC2" s="827" t="n">
        <v>44896</v>
      </c>
      <c r="AD2" s="971" t="n"/>
      <c r="AE2" s="828" t="inlineStr">
        <is>
          <t>2022 Average</t>
        </is>
      </c>
      <c r="AF2" s="971" t="n"/>
      <c r="AG2" s="827" t="n">
        <v>44927</v>
      </c>
      <c r="AH2" s="971" t="n"/>
      <c r="AI2" s="827" t="n">
        <v>44958</v>
      </c>
      <c r="AJ2" s="971" t="n"/>
      <c r="AK2" s="827" t="n">
        <v>44986</v>
      </c>
      <c r="AL2" s="971" t="n"/>
      <c r="AM2" s="827" t="n">
        <v>45017</v>
      </c>
      <c r="AN2" s="971" t="n"/>
      <c r="AO2" s="827" t="n">
        <v>45047</v>
      </c>
      <c r="AP2" s="971" t="n"/>
      <c r="AQ2" s="827" t="n">
        <v>45078</v>
      </c>
      <c r="AR2" s="971" t="n"/>
      <c r="AS2" s="827" t="n">
        <v>45108</v>
      </c>
      <c r="AT2" s="971" t="n"/>
      <c r="AU2" s="827" t="n">
        <v>45139</v>
      </c>
      <c r="AV2" s="971" t="n"/>
      <c r="AW2" s="827" t="n">
        <v>45170</v>
      </c>
      <c r="AX2" s="971" t="n"/>
      <c r="AY2" s="827" t="n">
        <v>45200</v>
      </c>
      <c r="AZ2" s="971" t="n"/>
      <c r="BA2" s="827" t="n">
        <v>45231</v>
      </c>
      <c r="BB2" s="971" t="n"/>
      <c r="BC2" s="827" t="n">
        <v>45261</v>
      </c>
      <c r="BD2" s="971" t="n"/>
      <c r="BE2" s="828" t="inlineStr">
        <is>
          <t>2023 Average</t>
        </is>
      </c>
      <c r="BF2" s="971" t="n"/>
      <c r="BG2" s="827" t="n">
        <v>45292</v>
      </c>
      <c r="BH2" s="971" t="n"/>
      <c r="BI2" s="827" t="n">
        <v>45323</v>
      </c>
      <c r="BJ2" s="971" t="n"/>
      <c r="BK2" s="827" t="n">
        <v>45352</v>
      </c>
      <c r="BL2" s="971" t="n"/>
      <c r="BM2" s="827" t="n">
        <v>45383</v>
      </c>
      <c r="BN2" s="971" t="n"/>
      <c r="BO2" s="827" t="n">
        <v>45413</v>
      </c>
      <c r="BP2" s="971" t="n"/>
      <c r="BQ2" s="827" t="n">
        <v>45444</v>
      </c>
      <c r="BR2" s="971" t="n"/>
      <c r="BS2" s="827" t="n">
        <v>45474</v>
      </c>
      <c r="BT2" s="971" t="n"/>
      <c r="BU2" s="827" t="n">
        <v>45505</v>
      </c>
      <c r="BV2" s="971" t="n"/>
      <c r="BW2" s="827" t="n">
        <v>45536</v>
      </c>
      <c r="BX2" s="971" t="n"/>
      <c r="BY2" s="827" t="n">
        <v>45566</v>
      </c>
      <c r="BZ2" s="971" t="n"/>
      <c r="CA2" s="827" t="n">
        <v>45597</v>
      </c>
      <c r="CB2" s="971" t="n"/>
      <c r="CC2" s="827" t="n">
        <v>45627</v>
      </c>
      <c r="CD2" s="971" t="n"/>
      <c r="CE2" s="827" t="inlineStr">
        <is>
          <t>Jan-Jun AVG 2024</t>
        </is>
      </c>
      <c r="CF2" s="971" t="n"/>
      <c r="CG2" s="828" t="inlineStr">
        <is>
          <t>2024 Average</t>
        </is>
      </c>
      <c r="CH2" s="971" t="n"/>
      <c r="CI2" s="829" t="inlineStr">
        <is>
          <t>2024 Average</t>
        </is>
      </c>
      <c r="CJ2" s="971" t="n"/>
      <c r="CK2" s="834" t="inlineStr">
        <is>
          <t>Contribution</t>
        </is>
      </c>
      <c r="CL2" s="834" t="inlineStr">
        <is>
          <t>Fly. Contribution</t>
        </is>
      </c>
      <c r="CM2" s="827" t="n">
        <v>45658</v>
      </c>
      <c r="CN2" s="971" t="n"/>
      <c r="CO2" s="827" t="n">
        <v>45689</v>
      </c>
      <c r="CP2" s="971" t="n"/>
      <c r="CQ2" s="827" t="n">
        <v>45717</v>
      </c>
      <c r="CR2" s="971" t="n"/>
      <c r="CS2" s="827" t="n">
        <v>45748</v>
      </c>
      <c r="CT2" s="971" t="n"/>
      <c r="CU2" s="827" t="n">
        <v>45778</v>
      </c>
      <c r="CV2" s="971" t="n"/>
      <c r="CW2" s="827" t="n">
        <v>45809</v>
      </c>
      <c r="CX2" s="971" t="n"/>
      <c r="CY2" s="827" t="n">
        <v>45839</v>
      </c>
      <c r="CZ2" s="971" t="n"/>
      <c r="DA2" s="827" t="n">
        <v>45870</v>
      </c>
      <c r="DB2" s="971" t="n"/>
      <c r="DC2" s="827" t="n">
        <v>45901</v>
      </c>
      <c r="DD2" s="971" t="n"/>
      <c r="DE2" s="827" t="n">
        <v>45931</v>
      </c>
      <c r="DF2" s="971" t="n"/>
      <c r="DG2" s="827" t="n">
        <v>45962</v>
      </c>
      <c r="DH2" s="971" t="n"/>
      <c r="DI2" s="827" t="n">
        <v>45992</v>
      </c>
      <c r="DJ2" s="971" t="n"/>
      <c r="DK2" s="834" t="inlineStr">
        <is>
          <t>2025 Total</t>
        </is>
      </c>
      <c r="DL2" s="971" t="n"/>
      <c r="DM2" s="834" t="inlineStr">
        <is>
          <t>Jan-Jun AVG 2025</t>
        </is>
      </c>
      <c r="DN2" s="971" t="n"/>
      <c r="DO2" s="47" t="n"/>
      <c r="DP2" s="833" t="inlineStr">
        <is>
          <t>SKU Wise Difference</t>
        </is>
      </c>
      <c r="DQ2" s="48" t="inlineStr">
        <is>
          <t>GOLY Jan-Jun 24 Vs 25</t>
        </is>
      </c>
      <c r="DR2" s="48" t="inlineStr">
        <is>
          <t>GOLY Jan-Dec 24 Vs 25</t>
        </is>
      </c>
      <c r="DS2" s="832" t="inlineStr">
        <is>
          <t>Litre Wise Difference</t>
        </is>
      </c>
      <c r="DT2" s="971" t="n"/>
      <c r="DU2" s="49" t="inlineStr">
        <is>
          <t>Carton (14Pcs) wise Difference</t>
        </is>
      </c>
      <c r="DV2" s="49" t="n"/>
      <c r="DW2" s="972" t="n"/>
    </row>
    <row r="3" ht="18.75" customHeight="1">
      <c r="A3" s="973" t="n"/>
      <c r="B3" s="973" t="n"/>
      <c r="C3" s="973" t="n"/>
      <c r="D3" s="973" t="n"/>
      <c r="E3" s="973" t="n"/>
      <c r="F3" s="973" t="n"/>
      <c r="G3" s="827" t="inlineStr">
        <is>
          <t>Bot</t>
        </is>
      </c>
      <c r="H3" s="3" t="inlineStr">
        <is>
          <t>Lit</t>
        </is>
      </c>
      <c r="I3" s="827" t="inlineStr">
        <is>
          <t>Bot</t>
        </is>
      </c>
      <c r="J3" s="3" t="inlineStr">
        <is>
          <t>Lit</t>
        </is>
      </c>
      <c r="K3" s="827" t="inlineStr">
        <is>
          <t>Bot</t>
        </is>
      </c>
      <c r="L3" s="3" t="inlineStr">
        <is>
          <t>Lit</t>
        </is>
      </c>
      <c r="M3" s="827" t="inlineStr">
        <is>
          <t>Bot</t>
        </is>
      </c>
      <c r="N3" s="3" t="inlineStr">
        <is>
          <t>Lit</t>
        </is>
      </c>
      <c r="O3" s="827" t="inlineStr">
        <is>
          <t>Bot</t>
        </is>
      </c>
      <c r="P3" s="3" t="inlineStr">
        <is>
          <t>Lit</t>
        </is>
      </c>
      <c r="Q3" s="827" t="inlineStr">
        <is>
          <t>Bot</t>
        </is>
      </c>
      <c r="R3" s="3" t="inlineStr">
        <is>
          <t>Lit</t>
        </is>
      </c>
      <c r="S3" s="827" t="inlineStr">
        <is>
          <t>Bot</t>
        </is>
      </c>
      <c r="T3" s="3" t="inlineStr">
        <is>
          <t>Lit</t>
        </is>
      </c>
      <c r="U3" s="827" t="inlineStr">
        <is>
          <t>Bot</t>
        </is>
      </c>
      <c r="V3" s="3" t="inlineStr">
        <is>
          <t>Lit</t>
        </is>
      </c>
      <c r="W3" s="827" t="inlineStr">
        <is>
          <t>Bot</t>
        </is>
      </c>
      <c r="X3" s="3" t="inlineStr">
        <is>
          <t>Lit</t>
        </is>
      </c>
      <c r="Y3" s="827" t="inlineStr">
        <is>
          <t>Bot</t>
        </is>
      </c>
      <c r="Z3" s="3" t="inlineStr">
        <is>
          <t>Lit</t>
        </is>
      </c>
      <c r="AA3" s="827" t="inlineStr">
        <is>
          <t>Bot</t>
        </is>
      </c>
      <c r="AB3" s="3" t="inlineStr">
        <is>
          <t>Lit</t>
        </is>
      </c>
      <c r="AC3" s="827" t="inlineStr">
        <is>
          <t>Bot</t>
        </is>
      </c>
      <c r="AD3" s="3" t="inlineStr">
        <is>
          <t>Lit</t>
        </is>
      </c>
      <c r="AE3" s="828" t="inlineStr">
        <is>
          <t>Bot</t>
        </is>
      </c>
      <c r="AF3" s="5" t="inlineStr">
        <is>
          <t>Lit</t>
        </is>
      </c>
      <c r="AG3" s="827" t="inlineStr">
        <is>
          <t>Bot</t>
        </is>
      </c>
      <c r="AH3" s="3" t="inlineStr">
        <is>
          <t>Lit</t>
        </is>
      </c>
      <c r="AI3" s="827" t="inlineStr">
        <is>
          <t>Bot</t>
        </is>
      </c>
      <c r="AJ3" s="3" t="inlineStr">
        <is>
          <t>Lit</t>
        </is>
      </c>
      <c r="AK3" s="827" t="inlineStr">
        <is>
          <t>Bot</t>
        </is>
      </c>
      <c r="AL3" s="3" t="inlineStr">
        <is>
          <t>Lit</t>
        </is>
      </c>
      <c r="AM3" s="827" t="inlineStr">
        <is>
          <t>Bot</t>
        </is>
      </c>
      <c r="AN3" s="3" t="inlineStr">
        <is>
          <t>Lit</t>
        </is>
      </c>
      <c r="AO3" s="827" t="inlineStr">
        <is>
          <t>Bot</t>
        </is>
      </c>
      <c r="AP3" s="3" t="inlineStr">
        <is>
          <t>Lit</t>
        </is>
      </c>
      <c r="AQ3" s="827" t="inlineStr">
        <is>
          <t>Bot</t>
        </is>
      </c>
      <c r="AR3" s="3" t="inlineStr">
        <is>
          <t>Lit</t>
        </is>
      </c>
      <c r="AS3" s="827" t="inlineStr">
        <is>
          <t>Bot</t>
        </is>
      </c>
      <c r="AT3" s="3" t="inlineStr">
        <is>
          <t>Lit</t>
        </is>
      </c>
      <c r="AU3" s="827" t="inlineStr">
        <is>
          <t>Bot</t>
        </is>
      </c>
      <c r="AV3" s="3" t="inlineStr">
        <is>
          <t>Lit</t>
        </is>
      </c>
      <c r="AW3" s="827" t="inlineStr">
        <is>
          <t>Bot</t>
        </is>
      </c>
      <c r="AX3" s="3" t="inlineStr">
        <is>
          <t>Lit</t>
        </is>
      </c>
      <c r="AY3" s="827" t="inlineStr">
        <is>
          <t>Bot</t>
        </is>
      </c>
      <c r="AZ3" s="3" t="inlineStr">
        <is>
          <t>Lit</t>
        </is>
      </c>
      <c r="BA3" s="827" t="inlineStr">
        <is>
          <t>Bot</t>
        </is>
      </c>
      <c r="BB3" s="3" t="inlineStr">
        <is>
          <t>Lit</t>
        </is>
      </c>
      <c r="BC3" s="827" t="inlineStr">
        <is>
          <t>Bot</t>
        </is>
      </c>
      <c r="BD3" s="3" t="inlineStr">
        <is>
          <t>Lit</t>
        </is>
      </c>
      <c r="BE3" s="828" t="inlineStr">
        <is>
          <t>Bot</t>
        </is>
      </c>
      <c r="BF3" s="5" t="inlineStr">
        <is>
          <t>Lit</t>
        </is>
      </c>
      <c r="BG3" s="827" t="inlineStr">
        <is>
          <t>Bot</t>
        </is>
      </c>
      <c r="BH3" s="3" t="inlineStr">
        <is>
          <t>Lit</t>
        </is>
      </c>
      <c r="BI3" s="827" t="inlineStr">
        <is>
          <t>Bot</t>
        </is>
      </c>
      <c r="BJ3" s="3" t="inlineStr">
        <is>
          <t>Lit</t>
        </is>
      </c>
      <c r="BK3" s="827" t="inlineStr">
        <is>
          <t>Bot</t>
        </is>
      </c>
      <c r="BL3" s="3" t="inlineStr">
        <is>
          <t>Lit</t>
        </is>
      </c>
      <c r="BM3" s="827" t="inlineStr">
        <is>
          <t>Bot</t>
        </is>
      </c>
      <c r="BN3" s="3" t="inlineStr">
        <is>
          <t>Lit</t>
        </is>
      </c>
      <c r="BO3" s="827" t="inlineStr">
        <is>
          <t>Bot</t>
        </is>
      </c>
      <c r="BP3" s="3" t="inlineStr">
        <is>
          <t>Lit</t>
        </is>
      </c>
      <c r="BQ3" s="827" t="inlineStr">
        <is>
          <t>Bot</t>
        </is>
      </c>
      <c r="BR3" s="3" t="inlineStr">
        <is>
          <t>Lit</t>
        </is>
      </c>
      <c r="BS3" s="827" t="inlineStr">
        <is>
          <t>Bot</t>
        </is>
      </c>
      <c r="BT3" s="3" t="inlineStr">
        <is>
          <t>Lit</t>
        </is>
      </c>
      <c r="BU3" s="827" t="inlineStr">
        <is>
          <t>Bot</t>
        </is>
      </c>
      <c r="BV3" s="3" t="inlineStr">
        <is>
          <t>Lit</t>
        </is>
      </c>
      <c r="BW3" s="827" t="inlineStr">
        <is>
          <t>Bot</t>
        </is>
      </c>
      <c r="BX3" s="3" t="inlineStr">
        <is>
          <t>Lit</t>
        </is>
      </c>
      <c r="BY3" s="827" t="inlineStr">
        <is>
          <t>Bot</t>
        </is>
      </c>
      <c r="BZ3" s="3" t="inlineStr">
        <is>
          <t>Lit</t>
        </is>
      </c>
      <c r="CA3" s="827" t="inlineStr">
        <is>
          <t>Bot</t>
        </is>
      </c>
      <c r="CB3" s="3" t="inlineStr">
        <is>
          <t>Lit</t>
        </is>
      </c>
      <c r="CC3" s="827" t="inlineStr">
        <is>
          <t>Bot</t>
        </is>
      </c>
      <c r="CD3" s="3" t="inlineStr">
        <is>
          <t>Lit</t>
        </is>
      </c>
      <c r="CE3" s="827" t="inlineStr">
        <is>
          <t>Bot</t>
        </is>
      </c>
      <c r="CF3" s="3" t="inlineStr">
        <is>
          <t>Lit</t>
        </is>
      </c>
      <c r="CG3" s="828" t="inlineStr">
        <is>
          <t>Bot</t>
        </is>
      </c>
      <c r="CH3" s="5" t="inlineStr">
        <is>
          <t>Lit</t>
        </is>
      </c>
      <c r="CI3" s="827" t="inlineStr">
        <is>
          <t>Bot</t>
        </is>
      </c>
      <c r="CJ3" s="974" t="inlineStr">
        <is>
          <t>Lit</t>
        </is>
      </c>
      <c r="CK3" s="66" t="inlineStr">
        <is>
          <t>Litre</t>
        </is>
      </c>
      <c r="CL3" s="67" t="inlineStr">
        <is>
          <t>Lit</t>
        </is>
      </c>
      <c r="CM3" s="827" t="inlineStr">
        <is>
          <t>Bot</t>
        </is>
      </c>
      <c r="CN3" s="974" t="inlineStr">
        <is>
          <t>Lit</t>
        </is>
      </c>
      <c r="CO3" s="827" t="inlineStr">
        <is>
          <t>Bot</t>
        </is>
      </c>
      <c r="CP3" s="3" t="inlineStr">
        <is>
          <t>Lit</t>
        </is>
      </c>
      <c r="CQ3" s="827" t="inlineStr">
        <is>
          <t>Bot</t>
        </is>
      </c>
      <c r="CR3" s="3" t="inlineStr">
        <is>
          <t>Lit</t>
        </is>
      </c>
      <c r="CS3" s="827" t="inlineStr">
        <is>
          <t>Bot</t>
        </is>
      </c>
      <c r="CT3" s="3" t="inlineStr">
        <is>
          <t>Lit</t>
        </is>
      </c>
      <c r="CU3" s="827" t="inlineStr">
        <is>
          <t>Bot</t>
        </is>
      </c>
      <c r="CV3" s="3" t="inlineStr">
        <is>
          <t>Lit</t>
        </is>
      </c>
      <c r="CW3" s="827" t="inlineStr">
        <is>
          <t>Bot</t>
        </is>
      </c>
      <c r="CX3" s="3" t="inlineStr">
        <is>
          <t>Lit</t>
        </is>
      </c>
      <c r="CY3" s="827" t="inlineStr">
        <is>
          <t>Bot</t>
        </is>
      </c>
      <c r="CZ3" s="3" t="inlineStr">
        <is>
          <t>Lit</t>
        </is>
      </c>
      <c r="DA3" s="827" t="inlineStr">
        <is>
          <t>Bot</t>
        </is>
      </c>
      <c r="DB3" s="3" t="inlineStr">
        <is>
          <t>Lit</t>
        </is>
      </c>
      <c r="DC3" s="827" t="inlineStr">
        <is>
          <t>Bot</t>
        </is>
      </c>
      <c r="DD3" s="3" t="inlineStr">
        <is>
          <t>Lit</t>
        </is>
      </c>
      <c r="DE3" s="827" t="inlineStr">
        <is>
          <t>Bot</t>
        </is>
      </c>
      <c r="DF3" s="3" t="inlineStr">
        <is>
          <t>Lit</t>
        </is>
      </c>
      <c r="DG3" s="827" t="inlineStr">
        <is>
          <t>Bot</t>
        </is>
      </c>
      <c r="DH3" s="3" t="inlineStr">
        <is>
          <t>Lit</t>
        </is>
      </c>
      <c r="DI3" s="827" t="inlineStr">
        <is>
          <t>Bot</t>
        </is>
      </c>
      <c r="DJ3" s="3" t="inlineStr">
        <is>
          <t>Lit</t>
        </is>
      </c>
      <c r="DK3" s="827" t="inlineStr">
        <is>
          <t>Bot</t>
        </is>
      </c>
      <c r="DL3" s="3" t="inlineStr">
        <is>
          <t>Lit</t>
        </is>
      </c>
      <c r="DM3" s="827" t="inlineStr">
        <is>
          <t>Bot</t>
        </is>
      </c>
      <c r="DN3" s="3" t="inlineStr">
        <is>
          <t>Lit</t>
        </is>
      </c>
      <c r="DO3" s="50" t="inlineStr">
        <is>
          <t>Contribution</t>
        </is>
      </c>
      <c r="DP3" s="973" t="n"/>
      <c r="DQ3" s="48" t="inlineStr">
        <is>
          <t>Litre</t>
        </is>
      </c>
      <c r="DR3" s="48" t="inlineStr">
        <is>
          <t>Litre</t>
        </is>
      </c>
      <c r="DS3" s="51" t="inlineStr">
        <is>
          <t>Annual AVG</t>
        </is>
      </c>
      <c r="DT3" s="51" t="inlineStr">
        <is>
          <t>YTD (Jan-Jun)</t>
        </is>
      </c>
      <c r="DU3" s="51" t="inlineStr">
        <is>
          <t>Annual AVG</t>
        </is>
      </c>
      <c r="DV3" s="51" t="inlineStr">
        <is>
          <t>YTD</t>
        </is>
      </c>
      <c r="DW3" s="973" t="n"/>
    </row>
    <row r="4">
      <c r="A4" s="7" t="n">
        <v>1</v>
      </c>
      <c r="B4" s="8" t="inlineStr">
        <is>
          <t>"Zay" Vodka 700-ml</t>
        </is>
      </c>
      <c r="C4" s="8" t="inlineStr">
        <is>
          <t>ပုလင်း</t>
        </is>
      </c>
      <c r="D4" s="7" t="n">
        <v>0.7</v>
      </c>
      <c r="E4" s="7" t="inlineStr">
        <is>
          <t>1 * 12</t>
        </is>
      </c>
      <c r="F4" s="7" t="n">
        <v>1870</v>
      </c>
      <c r="G4" s="975" t="n">
        <v>19961</v>
      </c>
      <c r="H4" s="976">
        <f>G4*$D4</f>
        <v/>
      </c>
      <c r="I4" s="975" t="n">
        <v>12844</v>
      </c>
      <c r="J4" s="976">
        <f>I4*$D4</f>
        <v/>
      </c>
      <c r="K4" s="975" t="n">
        <v>22152</v>
      </c>
      <c r="L4" s="976">
        <f>K4*$D4</f>
        <v/>
      </c>
      <c r="M4" s="975" t="n">
        <v>13368</v>
      </c>
      <c r="N4" s="976">
        <f>M4*$D4</f>
        <v/>
      </c>
      <c r="O4" s="975" t="n">
        <v>13720</v>
      </c>
      <c r="P4" s="976">
        <f>O4*$D4</f>
        <v/>
      </c>
      <c r="Q4" s="975" t="n">
        <v>8880</v>
      </c>
      <c r="R4" s="976">
        <f>Q4*$D4</f>
        <v/>
      </c>
      <c r="S4" s="975" t="n">
        <v>8208</v>
      </c>
      <c r="T4" s="976">
        <f>S4*$D4</f>
        <v/>
      </c>
      <c r="U4" s="975" t="n">
        <v>14127</v>
      </c>
      <c r="V4" s="976">
        <f>U4*$D4</f>
        <v/>
      </c>
      <c r="W4" s="975" t="n">
        <v>6948</v>
      </c>
      <c r="X4" s="976">
        <f>W4*$D4</f>
        <v/>
      </c>
      <c r="Y4" s="975" t="n">
        <v>3876</v>
      </c>
      <c r="Z4" s="976">
        <f>Y4*$D4</f>
        <v/>
      </c>
      <c r="AA4" s="975" t="n">
        <v>5580</v>
      </c>
      <c r="AB4" s="976">
        <f>AA4*$D4</f>
        <v/>
      </c>
      <c r="AC4" s="975" t="n">
        <v>4932</v>
      </c>
      <c r="AD4" s="976">
        <f>AC4*$D4</f>
        <v/>
      </c>
      <c r="AE4" s="977">
        <f>(AC4+AA4+Y4+W4+U4+S4+Q4+O4+M4+K4+I4+G4)/12</f>
        <v/>
      </c>
      <c r="AF4" s="978">
        <f>AE4*$D4</f>
        <v/>
      </c>
      <c r="AG4" s="975" t="n">
        <v>6960</v>
      </c>
      <c r="AH4" s="976">
        <f>AG4*$D4</f>
        <v/>
      </c>
      <c r="AI4" s="975" t="n">
        <v>6120</v>
      </c>
      <c r="AJ4" s="976">
        <f>AI4*$D4</f>
        <v/>
      </c>
      <c r="AK4" s="975" t="n">
        <v>4584</v>
      </c>
      <c r="AL4" s="976">
        <f>AK4*$D4</f>
        <v/>
      </c>
      <c r="AM4" s="975" t="n">
        <v>2172</v>
      </c>
      <c r="AN4" s="976">
        <f>AM4*$D4</f>
        <v/>
      </c>
      <c r="AO4" s="975" t="n">
        <v>3288</v>
      </c>
      <c r="AP4" s="976">
        <f>AO4*$D4</f>
        <v/>
      </c>
      <c r="AQ4" s="975" t="n">
        <v>3060</v>
      </c>
      <c r="AR4" s="976">
        <f>AQ4*$D4</f>
        <v/>
      </c>
      <c r="AS4" s="975" t="n">
        <v>2472</v>
      </c>
      <c r="AT4" s="976">
        <f>AS4*$D4</f>
        <v/>
      </c>
      <c r="AU4" s="975" t="n">
        <v>2232</v>
      </c>
      <c r="AV4" s="976">
        <f>AU4*$D4</f>
        <v/>
      </c>
      <c r="AW4" s="975" t="n">
        <v>1032</v>
      </c>
      <c r="AX4" s="976">
        <f>AW4*$D4</f>
        <v/>
      </c>
      <c r="AY4" s="975" t="n">
        <v>2856</v>
      </c>
      <c r="AZ4" s="976">
        <f>AY4*$D4</f>
        <v/>
      </c>
      <c r="BA4" s="975" t="n">
        <v>2235</v>
      </c>
      <c r="BB4" s="976">
        <f>BA4*$D4</f>
        <v/>
      </c>
      <c r="BC4" s="975" t="n">
        <v>3036</v>
      </c>
      <c r="BD4" s="976">
        <f>BC4*$D4</f>
        <v/>
      </c>
      <c r="BE4" s="977">
        <f>(BC4+BA4+AY4+AW4+AU4+AS4+AQ4+AO4+AM4+AK4+AI4+AG4)/12</f>
        <v/>
      </c>
      <c r="BF4" s="978">
        <f>BE4*$D4</f>
        <v/>
      </c>
      <c r="BG4" s="975" t="n">
        <v>2178</v>
      </c>
      <c r="BH4" s="976">
        <f>BG4*$D4</f>
        <v/>
      </c>
      <c r="BI4" s="975" t="n">
        <v>2118</v>
      </c>
      <c r="BJ4" s="976">
        <f>BI4*$D4</f>
        <v/>
      </c>
      <c r="BK4" s="975" t="n">
        <v>2737</v>
      </c>
      <c r="BL4" s="976">
        <f>BK4*$D4</f>
        <v/>
      </c>
      <c r="BM4" s="975" t="n">
        <v>2268</v>
      </c>
      <c r="BN4" s="976">
        <f>BM4*$D4</f>
        <v/>
      </c>
      <c r="BO4" s="975" t="n">
        <v>1992</v>
      </c>
      <c r="BP4" s="976">
        <f>BO4*$D4</f>
        <v/>
      </c>
      <c r="BQ4" s="975" t="n">
        <v>1452</v>
      </c>
      <c r="BR4" s="976">
        <f>BQ4*$D4</f>
        <v/>
      </c>
      <c r="BS4" s="975" t="n">
        <v>2598</v>
      </c>
      <c r="BT4" s="976">
        <f>BS4*$D4</f>
        <v/>
      </c>
      <c r="BU4" s="975" t="n">
        <v>2496</v>
      </c>
      <c r="BV4" s="976">
        <f>BU4*$D4</f>
        <v/>
      </c>
      <c r="BW4" s="975" t="n">
        <v>1668</v>
      </c>
      <c r="BX4" s="976">
        <f>BW4*$D4</f>
        <v/>
      </c>
      <c r="BY4" s="975" t="n">
        <v>948</v>
      </c>
      <c r="BZ4" s="976">
        <f>BY4*$D4</f>
        <v/>
      </c>
      <c r="CA4" s="975" t="n">
        <v>1212</v>
      </c>
      <c r="CB4" s="976">
        <f>CA4*$D4</f>
        <v/>
      </c>
      <c r="CC4" s="975" t="n">
        <v>3264</v>
      </c>
      <c r="CD4" s="976">
        <f>CC4*$D4</f>
        <v/>
      </c>
      <c r="CE4" s="979">
        <f>(BG4+BI4+BK4+BM4+BO4+BQ4)/6</f>
        <v/>
      </c>
      <c r="CF4" s="976">
        <f>(BH4+BJ4+BL4+BN4+BP4+BR4)/6</f>
        <v/>
      </c>
      <c r="CG4" s="977">
        <f>(CC4+CA4+BY4+BW4+BU4+BS4+BQ4+BO4+BM4+BK4+BI4+BG4)/12</f>
        <v/>
      </c>
      <c r="CH4" s="978">
        <f>CG4*$D4</f>
        <v/>
      </c>
      <c r="CI4" s="980" t="n">
        <v>2078</v>
      </c>
      <c r="CJ4" s="981">
        <f>CI4*$D4</f>
        <v/>
      </c>
      <c r="CK4" s="15">
        <f>CH4/$CH$36%</f>
        <v/>
      </c>
      <c r="CL4" s="15" t="n">
        <v>0.26</v>
      </c>
      <c r="CM4" s="982" t="n">
        <v>1308</v>
      </c>
      <c r="CN4" s="976">
        <f>CM4*$D4</f>
        <v/>
      </c>
      <c r="CO4" s="982" t="n">
        <v>1860</v>
      </c>
      <c r="CP4" s="15">
        <f>CO4*$D4</f>
        <v/>
      </c>
      <c r="CQ4" s="982" t="n">
        <v>840</v>
      </c>
      <c r="CR4" s="15">
        <f>CQ4*$D4</f>
        <v/>
      </c>
      <c r="CS4" s="982" t="n">
        <v>358</v>
      </c>
      <c r="CT4" s="15">
        <f>CS4*$D4</f>
        <v/>
      </c>
      <c r="CU4" s="982" t="n">
        <v>2640</v>
      </c>
      <c r="CV4" s="15">
        <f>CU4*$D4</f>
        <v/>
      </c>
      <c r="CW4" s="982" t="n">
        <v>696</v>
      </c>
      <c r="CX4" s="15">
        <f>CW4*$D4</f>
        <v/>
      </c>
      <c r="CY4" s="982" t="n"/>
      <c r="CZ4" s="15">
        <f>CY4*$D4</f>
        <v/>
      </c>
      <c r="DA4" s="982" t="n"/>
      <c r="DB4" s="15">
        <f>DA4*$D4</f>
        <v/>
      </c>
      <c r="DC4" s="982" t="n"/>
      <c r="DD4" s="15">
        <f>DC4*$D4</f>
        <v/>
      </c>
      <c r="DE4" s="982" t="n"/>
      <c r="DF4" s="15">
        <f>DE4*$D4</f>
        <v/>
      </c>
      <c r="DG4" s="982" t="n"/>
      <c r="DH4" s="15">
        <f>DG4*$D4</f>
        <v/>
      </c>
      <c r="DI4" s="982" t="n">
        <v>0</v>
      </c>
      <c r="DJ4" s="15">
        <f>DI4*$D4</f>
        <v/>
      </c>
      <c r="DK4" s="983">
        <f>SUM(CM4,CO4,CQ4,CS4,CU4,CW4,CY4,DA4,DC4,DE4,DG4,DI4)</f>
        <v/>
      </c>
      <c r="DL4" s="984">
        <f>SUM(CN4,CP4,CR4,CT4,CV4,CX4,CZ4,DB4,DD4,DF4,DH4,DJ4)</f>
        <v/>
      </c>
      <c r="DM4" s="985">
        <f>DK4/6</f>
        <v/>
      </c>
      <c r="DN4" s="985">
        <f>DL4/6</f>
        <v/>
      </c>
      <c r="DO4" s="69">
        <f>DN4/$DN$36%</f>
        <v/>
      </c>
      <c r="DP4" s="70">
        <f>DO4-CK4</f>
        <v/>
      </c>
      <c r="DQ4" s="986">
        <f>DN4/CF4*100-100</f>
        <v/>
      </c>
      <c r="DR4" s="986">
        <f>DN4/CH4*100-100</f>
        <v/>
      </c>
      <c r="DS4" s="986">
        <f>DN4-CH4</f>
        <v/>
      </c>
      <c r="DT4" s="986">
        <f>DN4-CF4</f>
        <v/>
      </c>
      <c r="DU4" s="986">
        <f>DS4/14</f>
        <v/>
      </c>
      <c r="DV4" s="986">
        <f>DT4/14</f>
        <v/>
      </c>
      <c r="DW4" s="986">
        <f>DV4*6</f>
        <v/>
      </c>
    </row>
    <row r="5">
      <c r="A5" s="7" t="n">
        <v>2</v>
      </c>
      <c r="B5" s="8" t="inlineStr">
        <is>
          <t>"Zay" (1 Liter)</t>
        </is>
      </c>
      <c r="C5" s="8" t="inlineStr">
        <is>
          <t>‌ကော်ဘူး</t>
        </is>
      </c>
      <c r="D5" s="7" t="n">
        <v>1</v>
      </c>
      <c r="E5" s="7" t="inlineStr">
        <is>
          <t>1 * 12</t>
        </is>
      </c>
      <c r="F5" s="7" t="n">
        <v>1580</v>
      </c>
      <c r="G5" s="975" t="n">
        <v>972</v>
      </c>
      <c r="H5" s="976">
        <f>G5*$D5</f>
        <v/>
      </c>
      <c r="I5" s="975" t="n">
        <v>468</v>
      </c>
      <c r="J5" s="976">
        <f>I5*$D5</f>
        <v/>
      </c>
      <c r="K5" s="975" t="n"/>
      <c r="L5" s="976">
        <f>K5*$D5</f>
        <v/>
      </c>
      <c r="M5" s="975" t="n">
        <v>420</v>
      </c>
      <c r="N5" s="976">
        <f>M5*$D5</f>
        <v/>
      </c>
      <c r="O5" s="975" t="n">
        <v>600</v>
      </c>
      <c r="P5" s="976">
        <f>O5*$D5</f>
        <v/>
      </c>
      <c r="Q5" s="975" t="n"/>
      <c r="R5" s="976">
        <f>Q5*$D5</f>
        <v/>
      </c>
      <c r="S5" s="975" t="n"/>
      <c r="T5" s="976">
        <f>S5*$D5</f>
        <v/>
      </c>
      <c r="U5" s="975" t="n">
        <v>420</v>
      </c>
      <c r="V5" s="976">
        <f>U5*$D5</f>
        <v/>
      </c>
      <c r="W5" s="975" t="n">
        <v>288</v>
      </c>
      <c r="X5" s="976">
        <f>W5*$D5</f>
        <v/>
      </c>
      <c r="Y5" s="975" t="n">
        <v>180</v>
      </c>
      <c r="Z5" s="976">
        <f>Y5*$D5</f>
        <v/>
      </c>
      <c r="AA5" s="975" t="n"/>
      <c r="AB5" s="976">
        <f>AA5*$D5</f>
        <v/>
      </c>
      <c r="AC5" s="975" t="n">
        <v>120</v>
      </c>
      <c r="AD5" s="976">
        <f>AC5*$D5</f>
        <v/>
      </c>
      <c r="AE5" s="977">
        <f>(AC5+AA5+Y5+W5+U5+S5+Q5+O5+M5+K5+I5+G5)/12</f>
        <v/>
      </c>
      <c r="AF5" s="978">
        <f>AE5*$D5</f>
        <v/>
      </c>
      <c r="AG5" s="975" t="n">
        <v>120</v>
      </c>
      <c r="AH5" s="976">
        <f>AG5*$D5</f>
        <v/>
      </c>
      <c r="AI5" s="975" t="n"/>
      <c r="AJ5" s="976">
        <f>AI5*$D5</f>
        <v/>
      </c>
      <c r="AK5" s="975" t="n">
        <v>60</v>
      </c>
      <c r="AL5" s="976">
        <f>AK5*$D5</f>
        <v/>
      </c>
      <c r="AM5" s="975" t="n"/>
      <c r="AN5" s="976">
        <f>AM5*$D5</f>
        <v/>
      </c>
      <c r="AO5" s="975" t="n">
        <v>300</v>
      </c>
      <c r="AP5" s="976">
        <f>AO5*$D5</f>
        <v/>
      </c>
      <c r="AQ5" s="975" t="n"/>
      <c r="AR5" s="976">
        <f>AQ5*$D5</f>
        <v/>
      </c>
      <c r="AS5" s="975" t="n"/>
      <c r="AT5" s="976">
        <f>AS5*$D5</f>
        <v/>
      </c>
      <c r="AU5" s="975" t="n"/>
      <c r="AV5" s="976">
        <f>AU5*$D5</f>
        <v/>
      </c>
      <c r="AW5" s="975" t="n">
        <v>180</v>
      </c>
      <c r="AX5" s="976">
        <f>AW5*$D5</f>
        <v/>
      </c>
      <c r="AY5" s="975" t="n">
        <v>12</v>
      </c>
      <c r="AZ5" s="976">
        <f>AY5*$D5</f>
        <v/>
      </c>
      <c r="BA5" s="975" t="n">
        <v>828</v>
      </c>
      <c r="BB5" s="976">
        <f>BA5*$D5</f>
        <v/>
      </c>
      <c r="BC5" s="975" t="n">
        <v>600</v>
      </c>
      <c r="BD5" s="976">
        <f>BC5*$D5</f>
        <v/>
      </c>
      <c r="BE5" s="977">
        <f>(BC5+BA5+AY5+AW5+AU5+AS5+AQ5+AO5+AM5+AK5+AI5+AG5)/12</f>
        <v/>
      </c>
      <c r="BF5" s="978">
        <f>BE5*$D5</f>
        <v/>
      </c>
      <c r="BG5" s="975" t="n"/>
      <c r="BH5" s="976">
        <f>BG5*$D5</f>
        <v/>
      </c>
      <c r="BI5" s="975" t="n">
        <v>240</v>
      </c>
      <c r="BJ5" s="976">
        <f>BI5*$D5</f>
        <v/>
      </c>
      <c r="BK5" s="975" t="n"/>
      <c r="BL5" s="976">
        <f>BK5*$D5</f>
        <v/>
      </c>
      <c r="BM5" s="975" t="n"/>
      <c r="BN5" s="976">
        <f>BM5*$D5</f>
        <v/>
      </c>
      <c r="BO5" s="975" t="n">
        <v>660</v>
      </c>
      <c r="BP5" s="976">
        <f>BO5*$D5</f>
        <v/>
      </c>
      <c r="BQ5" s="975" t="n"/>
      <c r="BR5" s="976">
        <f>BQ5*$D5</f>
        <v/>
      </c>
      <c r="BS5" s="975" t="n"/>
      <c r="BT5" s="976">
        <f>BS5*$D5</f>
        <v/>
      </c>
      <c r="BU5" s="975" t="n"/>
      <c r="BV5" s="976">
        <f>BU5*$D5</f>
        <v/>
      </c>
      <c r="BW5" s="975" t="n"/>
      <c r="BX5" s="976">
        <f>BW5*$D5</f>
        <v/>
      </c>
      <c r="BY5" s="975" t="n"/>
      <c r="BZ5" s="976">
        <f>BY5*$D5</f>
        <v/>
      </c>
      <c r="CA5" s="975" t="n"/>
      <c r="CB5" s="976">
        <f>CA5*$D5</f>
        <v/>
      </c>
      <c r="CC5" s="975" t="n"/>
      <c r="CD5" s="976">
        <f>CC5*$D5</f>
        <v/>
      </c>
      <c r="CE5" s="979">
        <f>(BG5+BI5+BK5+BM5+BO5+BQ5)/6</f>
        <v/>
      </c>
      <c r="CF5" s="976">
        <f>(BH5+BJ5+BL5+BN5+BP5+BR5)/6</f>
        <v/>
      </c>
      <c r="CG5" s="977">
        <f>(CC5+CA5+BY5+BW5+BU5+BS5+BQ5+BO5+BM5+BK5+BI5+BG5)/12</f>
        <v/>
      </c>
      <c r="CH5" s="978">
        <f>CG5*$D5</f>
        <v/>
      </c>
      <c r="CI5" s="980" t="n">
        <v>75</v>
      </c>
      <c r="CJ5" s="976">
        <f>CI5*$D5</f>
        <v/>
      </c>
      <c r="CK5" s="15">
        <f>CH5/$CH$36%</f>
        <v/>
      </c>
      <c r="CL5" s="15" t="n"/>
      <c r="CM5" s="982" t="n"/>
      <c r="CN5" s="976">
        <f>CM5*$D5</f>
        <v/>
      </c>
      <c r="CO5" s="982" t="n"/>
      <c r="CP5" s="15">
        <f>CO5*$D5</f>
        <v/>
      </c>
      <c r="CQ5" s="982" t="n"/>
      <c r="CR5" s="15">
        <f>CQ5*$D5</f>
        <v/>
      </c>
      <c r="CS5" s="982" t="n"/>
      <c r="CT5" s="15">
        <f>CS5*$D5</f>
        <v/>
      </c>
      <c r="CU5" s="982" t="n"/>
      <c r="CV5" s="15">
        <f>CU5*$D5</f>
        <v/>
      </c>
      <c r="CW5" s="982" t="n"/>
      <c r="CX5" s="15">
        <f>CW5*$D5</f>
        <v/>
      </c>
      <c r="CY5" s="982" t="n"/>
      <c r="CZ5" s="15">
        <f>CY5*$D5</f>
        <v/>
      </c>
      <c r="DA5" s="982" t="n"/>
      <c r="DB5" s="15">
        <f>DA5*$D5</f>
        <v/>
      </c>
      <c r="DC5" s="982" t="n"/>
      <c r="DD5" s="15">
        <f>DC5*$D5</f>
        <v/>
      </c>
      <c r="DE5" s="982" t="n"/>
      <c r="DF5" s="15">
        <f>DE5*$D5</f>
        <v/>
      </c>
      <c r="DG5" s="982" t="n"/>
      <c r="DH5" s="15">
        <f>DG5*$D5</f>
        <v/>
      </c>
      <c r="DI5" s="982" t="n"/>
      <c r="DJ5" s="15">
        <f>DI5*$D5</f>
        <v/>
      </c>
      <c r="DK5" s="983">
        <f>SUM(CM5,CO5,CQ5,CS5,CU5,CW5,CY5,DA5,DC5,DE5,DG5,DI5)</f>
        <v/>
      </c>
      <c r="DL5" s="984">
        <f>SUM(CN5,CP5,CR5,CT5,CV5,CX5,CZ5,DB5,DD5,DF5,DH5,DJ5)</f>
        <v/>
      </c>
      <c r="DM5" s="985">
        <f>DK5/6</f>
        <v/>
      </c>
      <c r="DN5" s="985">
        <f>DL5/6</f>
        <v/>
      </c>
      <c r="DO5" s="69">
        <f>DN5/$DN$36%</f>
        <v/>
      </c>
      <c r="DP5" s="70">
        <f>DO5-CK5</f>
        <v/>
      </c>
      <c r="DQ5" s="986">
        <f>DN5/CF5*100-100</f>
        <v/>
      </c>
      <c r="DR5" s="986">
        <f>DN5/CH5*100-100</f>
        <v/>
      </c>
      <c r="DS5" s="986">
        <f>DN5-CH5</f>
        <v/>
      </c>
      <c r="DT5" s="986">
        <f>DN5-CF5</f>
        <v/>
      </c>
      <c r="DU5" s="986">
        <f>DS5/14</f>
        <v/>
      </c>
      <c r="DV5" s="986">
        <f>DT5/14</f>
        <v/>
      </c>
      <c r="DW5" s="986">
        <f>DV5*6</f>
        <v/>
      </c>
    </row>
    <row r="6">
      <c r="A6" s="7" t="n">
        <v>3</v>
      </c>
      <c r="B6" s="8" t="inlineStr">
        <is>
          <t>"Zay" Vodka - 640ml</t>
        </is>
      </c>
      <c r="C6" s="8" t="inlineStr">
        <is>
          <t>ပုလင်း</t>
        </is>
      </c>
      <c r="D6" s="7" t="n">
        <v>0.64</v>
      </c>
      <c r="E6" s="7" t="inlineStr">
        <is>
          <t>1 * 14</t>
        </is>
      </c>
      <c r="F6" s="7" t="n">
        <v>1230</v>
      </c>
      <c r="G6" s="975" t="n"/>
      <c r="H6" s="976">
        <f>G6*$D6</f>
        <v/>
      </c>
      <c r="I6" s="975" t="n"/>
      <c r="J6" s="976">
        <f>I6*$D6</f>
        <v/>
      </c>
      <c r="K6" s="975" t="n"/>
      <c r="L6" s="976">
        <f>K6*$D6</f>
        <v/>
      </c>
      <c r="M6" s="975" t="n"/>
      <c r="N6" s="976">
        <f>M6*$D6</f>
        <v/>
      </c>
      <c r="O6" s="975" t="n"/>
      <c r="P6" s="976">
        <f>O6*$D6</f>
        <v/>
      </c>
      <c r="Q6" s="975" t="n"/>
      <c r="R6" s="976">
        <f>Q6*$D6</f>
        <v/>
      </c>
      <c r="S6" s="975" t="n"/>
      <c r="T6" s="976">
        <f>S6*$D6</f>
        <v/>
      </c>
      <c r="U6" s="975" t="n"/>
      <c r="V6" s="976">
        <f>U6*$D6</f>
        <v/>
      </c>
      <c r="W6" s="975" t="n"/>
      <c r="X6" s="976">
        <f>W6*$D6</f>
        <v/>
      </c>
      <c r="Y6" s="975" t="n"/>
      <c r="Z6" s="976">
        <f>Y6*$D6</f>
        <v/>
      </c>
      <c r="AA6" s="975" t="n"/>
      <c r="AB6" s="976">
        <f>AA6*$D6</f>
        <v/>
      </c>
      <c r="AC6" s="975" t="n"/>
      <c r="AD6" s="976">
        <f>AC6*$D6</f>
        <v/>
      </c>
      <c r="AE6" s="977">
        <f>(AC6+AA6+Y6+W6+U6+S6+Q6+O6+M6+K6+I6+G6)/12</f>
        <v/>
      </c>
      <c r="AF6" s="978">
        <f>AE6*$D6</f>
        <v/>
      </c>
      <c r="AG6" s="975" t="n"/>
      <c r="AH6" s="976">
        <f>AG6*$D6</f>
        <v/>
      </c>
      <c r="AI6" s="975" t="n"/>
      <c r="AJ6" s="976">
        <f>AI6*$D6</f>
        <v/>
      </c>
      <c r="AK6" s="975" t="n"/>
      <c r="AL6" s="976">
        <f>AK6*$D6</f>
        <v/>
      </c>
      <c r="AM6" s="975" t="n"/>
      <c r="AN6" s="976">
        <f>AM6*$D6</f>
        <v/>
      </c>
      <c r="AO6" s="975" t="n"/>
      <c r="AP6" s="976">
        <f>AO6*$D6</f>
        <v/>
      </c>
      <c r="AQ6" s="975" t="n"/>
      <c r="AR6" s="976">
        <f>AQ6*$D6</f>
        <v/>
      </c>
      <c r="AS6" s="975" t="n"/>
      <c r="AT6" s="976">
        <f>AS6*$D6</f>
        <v/>
      </c>
      <c r="AU6" s="975" t="n"/>
      <c r="AV6" s="976">
        <f>AU6*$D6</f>
        <v/>
      </c>
      <c r="AW6" s="975" t="n"/>
      <c r="AX6" s="976">
        <f>AW6*$D6</f>
        <v/>
      </c>
      <c r="AY6" s="975" t="n"/>
      <c r="AZ6" s="976">
        <f>AY6*$D6</f>
        <v/>
      </c>
      <c r="BA6" s="975" t="n"/>
      <c r="BB6" s="976">
        <f>BA6*$D6</f>
        <v/>
      </c>
      <c r="BC6" s="975" t="n"/>
      <c r="BD6" s="976">
        <f>BC6*$D6</f>
        <v/>
      </c>
      <c r="BE6" s="977">
        <f>(BC6+BA6+AY6+AW6+AU6+AS6+AQ6+AO6+AM6+AK6+AI6+AG6)/12</f>
        <v/>
      </c>
      <c r="BF6" s="978">
        <f>BE6*$D6</f>
        <v/>
      </c>
      <c r="BG6" s="975" t="n">
        <v>175070</v>
      </c>
      <c r="BH6" s="976">
        <f>BG6*$D6</f>
        <v/>
      </c>
      <c r="BI6" s="975" t="n">
        <v>155676</v>
      </c>
      <c r="BJ6" s="976">
        <f>BI6*$D6</f>
        <v/>
      </c>
      <c r="BK6" s="975" t="n">
        <v>162568</v>
      </c>
      <c r="BL6" s="976">
        <f>BK6*$D6</f>
        <v/>
      </c>
      <c r="BM6" s="975" t="n">
        <v>148862</v>
      </c>
      <c r="BN6" s="976">
        <f>BM6*$D6</f>
        <v/>
      </c>
      <c r="BO6" s="975" t="n">
        <v>160404</v>
      </c>
      <c r="BP6" s="976">
        <f>BO6*$D6</f>
        <v/>
      </c>
      <c r="BQ6" s="975" t="n">
        <v>149233</v>
      </c>
      <c r="BR6" s="976">
        <f>BQ6*$D6</f>
        <v/>
      </c>
      <c r="BS6" s="975" t="n">
        <v>157353</v>
      </c>
      <c r="BT6" s="976">
        <f>BS6*$D6</f>
        <v/>
      </c>
      <c r="BU6" s="975" t="n">
        <v>179116</v>
      </c>
      <c r="BV6" s="976">
        <f>BU6*$D6</f>
        <v/>
      </c>
      <c r="BW6" s="975" t="n">
        <v>170683</v>
      </c>
      <c r="BX6" s="976">
        <f>BW6*$D6</f>
        <v/>
      </c>
      <c r="BY6" s="975" t="n">
        <v>185136</v>
      </c>
      <c r="BZ6" s="976">
        <f>BY6*$D6</f>
        <v/>
      </c>
      <c r="CA6" s="975" t="n">
        <v>155498</v>
      </c>
      <c r="CB6" s="976">
        <f>CA6*$D6</f>
        <v/>
      </c>
      <c r="CC6" s="975" t="n">
        <v>193405</v>
      </c>
      <c r="CD6" s="976">
        <f>CC6*$D6</f>
        <v/>
      </c>
      <c r="CE6" s="979">
        <f>(BG6+BI6+BK6+BM6+BO6+BQ6)/6</f>
        <v/>
      </c>
      <c r="CF6" s="976">
        <f>(BH6+BJ6+BL6+BN6+BP6+BR6)/6</f>
        <v/>
      </c>
      <c r="CG6" s="977">
        <f>(CC6+CA6+BY6+BW6+BU6+BS6+BQ6+BO6+BM6+BK6+BI6+BG6)/12</f>
        <v/>
      </c>
      <c r="CH6" s="978">
        <f>CG6*$D6</f>
        <v/>
      </c>
      <c r="CI6" s="980" t="n">
        <v>166084</v>
      </c>
      <c r="CJ6" s="976">
        <f>CI6*$D6</f>
        <v/>
      </c>
      <c r="CK6" s="15">
        <f>CH6/$CH$36%</f>
        <v/>
      </c>
      <c r="CL6" s="15" t="n">
        <v>18.87</v>
      </c>
      <c r="CM6" s="982" t="n">
        <v>179189</v>
      </c>
      <c r="CN6" s="976">
        <f>CM6*$D6</f>
        <v/>
      </c>
      <c r="CO6" s="982" t="n">
        <v>156743</v>
      </c>
      <c r="CP6" s="15">
        <f>CO6*$D6</f>
        <v/>
      </c>
      <c r="CQ6" s="982" t="n">
        <v>209757</v>
      </c>
      <c r="CR6" s="15">
        <f>CQ6*$D6</f>
        <v/>
      </c>
      <c r="CS6" s="982" t="n">
        <v>163352</v>
      </c>
      <c r="CT6" s="15">
        <f>CS6*$D6</f>
        <v/>
      </c>
      <c r="CU6" s="982" t="n">
        <v>167668</v>
      </c>
      <c r="CV6" s="15">
        <f>CU6*$D6</f>
        <v/>
      </c>
      <c r="CW6" s="982" t="n">
        <v>169518</v>
      </c>
      <c r="CX6" s="15">
        <f>CW6*$D6</f>
        <v/>
      </c>
      <c r="CY6" s="982" t="n"/>
      <c r="CZ6" s="15">
        <f>CY6*$D6</f>
        <v/>
      </c>
      <c r="DA6" s="982" t="n"/>
      <c r="DB6" s="15">
        <f>DA6*$D6</f>
        <v/>
      </c>
      <c r="DC6" s="982" t="n"/>
      <c r="DD6" s="15">
        <f>DC6*$D6</f>
        <v/>
      </c>
      <c r="DE6" s="982" t="n"/>
      <c r="DF6" s="15">
        <f>DE6*$D6</f>
        <v/>
      </c>
      <c r="DG6" s="982" t="n"/>
      <c r="DH6" s="15">
        <f>DG6*$D6</f>
        <v/>
      </c>
      <c r="DI6" s="982" t="n"/>
      <c r="DJ6" s="15">
        <f>DI6*$D6</f>
        <v/>
      </c>
      <c r="DK6" s="983">
        <f>SUM(CM6,CO6,CQ6,CS6,CU6,CW6,CY6,DA6,DC6,DE6,DG6,DI6)</f>
        <v/>
      </c>
      <c r="DL6" s="984">
        <f>SUM(CN6,CP6,CR6,CT6,CV6,CX6,CZ6,DB6,DD6,DF6,DH6,DJ6)</f>
        <v/>
      </c>
      <c r="DM6" s="985">
        <f>DK6/6</f>
        <v/>
      </c>
      <c r="DN6" s="985">
        <f>DL6/6</f>
        <v/>
      </c>
      <c r="DO6" s="69">
        <f>DN6/$DN$36%</f>
        <v/>
      </c>
      <c r="DP6" s="70">
        <f>DO6-CK6</f>
        <v/>
      </c>
      <c r="DQ6" s="986">
        <f>DN6/CF6*100-100</f>
        <v/>
      </c>
      <c r="DR6" s="986">
        <f>DN6/CH6*100-100</f>
        <v/>
      </c>
      <c r="DS6" s="986">
        <f>DN6-CH6</f>
        <v/>
      </c>
      <c r="DT6" s="986">
        <f>DN6-CF6</f>
        <v/>
      </c>
      <c r="DU6" s="986">
        <f>DS6/14</f>
        <v/>
      </c>
      <c r="DV6" s="986">
        <f>DT6/14</f>
        <v/>
      </c>
      <c r="DW6" s="986">
        <f>DV6*6</f>
        <v/>
      </c>
    </row>
    <row r="7">
      <c r="A7" s="7" t="n">
        <v>4</v>
      </c>
      <c r="B7" s="8" t="inlineStr">
        <is>
          <t>Kaung Kyi (1 Liter)_25%</t>
        </is>
      </c>
      <c r="C7" s="8" t="inlineStr">
        <is>
          <t>‌ကော်ဘူး</t>
        </is>
      </c>
      <c r="D7" s="7" t="n">
        <v>1</v>
      </c>
      <c r="E7" s="7" t="inlineStr">
        <is>
          <t>1 * 12</t>
        </is>
      </c>
      <c r="F7" s="7" t="n">
        <v>1530</v>
      </c>
      <c r="G7" s="975" t="n">
        <v>8475</v>
      </c>
      <c r="H7" s="976">
        <f>G7*$D7</f>
        <v/>
      </c>
      <c r="I7" s="975" t="n">
        <v>7344</v>
      </c>
      <c r="J7" s="976">
        <f>I7*$D7</f>
        <v/>
      </c>
      <c r="K7" s="975" t="n">
        <v>14040</v>
      </c>
      <c r="L7" s="976">
        <f>K7*$D7</f>
        <v/>
      </c>
      <c r="M7" s="975" t="n">
        <v>10788</v>
      </c>
      <c r="N7" s="976">
        <f>M7*$D7</f>
        <v/>
      </c>
      <c r="O7" s="975" t="n">
        <v>5844</v>
      </c>
      <c r="P7" s="976">
        <f>O7*$D7</f>
        <v/>
      </c>
      <c r="Q7" s="975" t="n">
        <v>7104</v>
      </c>
      <c r="R7" s="976">
        <f>Q7*$D7</f>
        <v/>
      </c>
      <c r="S7" s="975" t="n">
        <v>10047</v>
      </c>
      <c r="T7" s="976">
        <f>S7*$D7</f>
        <v/>
      </c>
      <c r="U7" s="975" t="n">
        <v>12900</v>
      </c>
      <c r="V7" s="976">
        <f>U7*$D7</f>
        <v/>
      </c>
      <c r="W7" s="975" t="n">
        <v>8244</v>
      </c>
      <c r="X7" s="976">
        <f>W7*$D7</f>
        <v/>
      </c>
      <c r="Y7" s="975" t="n">
        <v>9120</v>
      </c>
      <c r="Z7" s="976">
        <f>Y7*$D7</f>
        <v/>
      </c>
      <c r="AA7" s="975" t="n">
        <v>13236</v>
      </c>
      <c r="AB7" s="976">
        <f>AA7*$D7</f>
        <v/>
      </c>
      <c r="AC7" s="975" t="n">
        <v>10632</v>
      </c>
      <c r="AD7" s="976">
        <f>AC7*$D7</f>
        <v/>
      </c>
      <c r="AE7" s="977">
        <f>(AC7+AA7+Y7+W7+U7+S7+Q7+O7+M7+K7+I7+G7)/12</f>
        <v/>
      </c>
      <c r="AF7" s="978">
        <f>AE7*$D7</f>
        <v/>
      </c>
      <c r="AG7" s="975" t="n">
        <v>12312</v>
      </c>
      <c r="AH7" s="976">
        <f>AG7*$D7</f>
        <v/>
      </c>
      <c r="AI7" s="975" t="n">
        <v>6684</v>
      </c>
      <c r="AJ7" s="976">
        <f>AI7*$D7</f>
        <v/>
      </c>
      <c r="AK7" s="975" t="n">
        <v>12432</v>
      </c>
      <c r="AL7" s="976">
        <f>AK7*$D7</f>
        <v/>
      </c>
      <c r="AM7" s="975" t="n">
        <v>12108</v>
      </c>
      <c r="AN7" s="976">
        <f>AM7*$D7</f>
        <v/>
      </c>
      <c r="AO7" s="975" t="n">
        <v>12456</v>
      </c>
      <c r="AP7" s="976">
        <f>AO7*$D7</f>
        <v/>
      </c>
      <c r="AQ7" s="975" t="n">
        <v>13150</v>
      </c>
      <c r="AR7" s="976">
        <f>AQ7*$D7</f>
        <v/>
      </c>
      <c r="AS7" s="975" t="n">
        <v>15358</v>
      </c>
      <c r="AT7" s="976">
        <f>AS7*$D7</f>
        <v/>
      </c>
      <c r="AU7" s="975" t="n">
        <v>10075</v>
      </c>
      <c r="AV7" s="976">
        <f>AU7*$D7</f>
        <v/>
      </c>
      <c r="AW7" s="975" t="n">
        <v>13018</v>
      </c>
      <c r="AX7" s="976">
        <f>AW7*$D7</f>
        <v/>
      </c>
      <c r="AY7" s="975" t="n">
        <v>10356</v>
      </c>
      <c r="AZ7" s="976">
        <f>AY7*$D7</f>
        <v/>
      </c>
      <c r="BA7" s="975" t="n">
        <v>16800</v>
      </c>
      <c r="BB7" s="976">
        <f>BA7*$D7</f>
        <v/>
      </c>
      <c r="BC7" s="975" t="n">
        <v>16884</v>
      </c>
      <c r="BD7" s="976">
        <f>BC7*$D7</f>
        <v/>
      </c>
      <c r="BE7" s="977">
        <f>(BC7+BA7+AY7+AW7+AU7+AS7+AQ7+AO7+AM7+AK7+AI7+AG7)/12</f>
        <v/>
      </c>
      <c r="BF7" s="978">
        <f>BE7*$D7</f>
        <v/>
      </c>
      <c r="BG7" s="975" t="n">
        <v>15300</v>
      </c>
      <c r="BH7" s="976">
        <f>BG7*$D7</f>
        <v/>
      </c>
      <c r="BI7" s="975" t="n">
        <v>13344</v>
      </c>
      <c r="BJ7" s="976">
        <f>BI7*$D7</f>
        <v/>
      </c>
      <c r="BK7" s="975" t="n">
        <v>11724</v>
      </c>
      <c r="BL7" s="976">
        <f>BK7*$D7</f>
        <v/>
      </c>
      <c r="BM7" s="975" t="n">
        <v>18996</v>
      </c>
      <c r="BN7" s="976">
        <f>BM7*$D7</f>
        <v/>
      </c>
      <c r="BO7" s="975" t="n">
        <v>9228</v>
      </c>
      <c r="BP7" s="976">
        <f>BO7*$D7</f>
        <v/>
      </c>
      <c r="BQ7" s="975" t="n">
        <v>13296</v>
      </c>
      <c r="BR7" s="976">
        <f>BQ7*$D7</f>
        <v/>
      </c>
      <c r="BS7" s="975" t="n">
        <v>18504</v>
      </c>
      <c r="BT7" s="976">
        <f>BS7*$D7</f>
        <v/>
      </c>
      <c r="BU7" s="975" t="n">
        <v>21840</v>
      </c>
      <c r="BV7" s="976">
        <f>BU7*$D7</f>
        <v/>
      </c>
      <c r="BW7" s="975" t="n">
        <v>19896</v>
      </c>
      <c r="BX7" s="976">
        <f>BW7*$D7</f>
        <v/>
      </c>
      <c r="BY7" s="975" t="n">
        <v>28848</v>
      </c>
      <c r="BZ7" s="976">
        <f>BY7*$D7</f>
        <v/>
      </c>
      <c r="CA7" s="975" t="n">
        <v>25560</v>
      </c>
      <c r="CB7" s="976">
        <f>CA7*$D7</f>
        <v/>
      </c>
      <c r="CC7" s="975" t="n">
        <v>36288</v>
      </c>
      <c r="CD7" s="976">
        <f>CC7*$D7</f>
        <v/>
      </c>
      <c r="CE7" s="979">
        <f>(BG7+BI7+BK7+BM7+BO7+BQ7)/6</f>
        <v/>
      </c>
      <c r="CF7" s="976">
        <f>(BH7+BJ7+BL7+BN7+BP7+BR7)/6</f>
        <v/>
      </c>
      <c r="CG7" s="977">
        <f>(CC7+CA7+BY7+BW7+BU7+BS7+BQ7+BO7+BM7+BK7+BI7+BG7)/12</f>
        <v/>
      </c>
      <c r="CH7" s="978">
        <f>CG7*$D7</f>
        <v/>
      </c>
      <c r="CI7" s="980" t="n">
        <v>19402</v>
      </c>
      <c r="CJ7" s="976">
        <f>CI7*$D7</f>
        <v/>
      </c>
      <c r="CK7" s="15">
        <f>CH7/$CH$36%</f>
        <v/>
      </c>
      <c r="CL7" s="15" t="n"/>
      <c r="CM7" s="982" t="n">
        <v>33792</v>
      </c>
      <c r="CN7" s="976">
        <f>CM7*$D7</f>
        <v/>
      </c>
      <c r="CO7" s="982" t="n">
        <v>20238</v>
      </c>
      <c r="CP7" s="15">
        <f>CO7*$D7</f>
        <v/>
      </c>
      <c r="CQ7" s="982" t="n">
        <v>48540</v>
      </c>
      <c r="CR7" s="15">
        <f>CQ7*$D7</f>
        <v/>
      </c>
      <c r="CS7" s="982" t="n">
        <v>22764</v>
      </c>
      <c r="CT7" s="15">
        <f>CS7*$D7</f>
        <v/>
      </c>
      <c r="CU7" s="982" t="n">
        <v>26844</v>
      </c>
      <c r="CV7" s="15">
        <f>CU7*$D7</f>
        <v/>
      </c>
      <c r="CW7" s="982" t="n">
        <v>33972</v>
      </c>
      <c r="CX7" s="15">
        <f>CW7*$D7</f>
        <v/>
      </c>
      <c r="CY7" s="982" t="n"/>
      <c r="CZ7" s="15">
        <f>CY7*$D7</f>
        <v/>
      </c>
      <c r="DA7" s="982" t="n"/>
      <c r="DB7" s="15">
        <f>DA7*$D7</f>
        <v/>
      </c>
      <c r="DC7" s="982" t="n"/>
      <c r="DD7" s="15">
        <f>DC7*$D7</f>
        <v/>
      </c>
      <c r="DE7" s="982" t="n"/>
      <c r="DF7" s="15">
        <f>DE7*$D7</f>
        <v/>
      </c>
      <c r="DG7" s="982" t="n"/>
      <c r="DH7" s="15">
        <f>DG7*$D7</f>
        <v/>
      </c>
      <c r="DI7" s="982" t="n"/>
      <c r="DJ7" s="15">
        <f>DI7*$D7</f>
        <v/>
      </c>
      <c r="DK7" s="983">
        <f>SUM(CM7,CO7,CQ7,CS7,CU7,CW7,CY7,DA7,DC7,DE7,DG7,DI7)</f>
        <v/>
      </c>
      <c r="DL7" s="984">
        <f>SUM(CN7,CP7,CR7,CT7,CV7,CX7,CZ7,DB7,DD7,DF7,DH7,DJ7)</f>
        <v/>
      </c>
      <c r="DM7" s="985">
        <f>DK7/6</f>
        <v/>
      </c>
      <c r="DN7" s="985">
        <f>DL7/6</f>
        <v/>
      </c>
      <c r="DO7" s="69">
        <f>DN7/$DN$36%</f>
        <v/>
      </c>
      <c r="DP7" s="70">
        <f>DO7-CK7</f>
        <v/>
      </c>
      <c r="DQ7" s="986">
        <f>DN7/CF7*100-100</f>
        <v/>
      </c>
      <c r="DR7" s="986">
        <f>DN7/CH7*100-100</f>
        <v/>
      </c>
      <c r="DS7" s="986">
        <f>DN7-CH7</f>
        <v/>
      </c>
      <c r="DT7" s="986">
        <f>DN7-CF7</f>
        <v/>
      </c>
      <c r="DU7" s="986">
        <f>DS7/14</f>
        <v/>
      </c>
      <c r="DV7" s="986">
        <f>DT7/14</f>
        <v/>
      </c>
      <c r="DW7" s="986">
        <f>DV7*6</f>
        <v/>
      </c>
    </row>
    <row r="8">
      <c r="A8" s="7" t="n">
        <v>5</v>
      </c>
      <c r="B8" s="8" t="inlineStr">
        <is>
          <t>Kaung Kyi (0.6 Liter)_25%</t>
        </is>
      </c>
      <c r="C8" s="8" t="inlineStr">
        <is>
          <t>‌ကော်ဘူး</t>
        </is>
      </c>
      <c r="D8" s="7" t="n">
        <v>0.6</v>
      </c>
      <c r="E8" s="7" t="inlineStr">
        <is>
          <t>1 * 12</t>
        </is>
      </c>
      <c r="F8" s="7" t="n">
        <v>1090</v>
      </c>
      <c r="G8" s="975" t="n">
        <v>1824</v>
      </c>
      <c r="H8" s="976">
        <f>G8*$D8</f>
        <v/>
      </c>
      <c r="I8" s="975" t="n">
        <v>1464</v>
      </c>
      <c r="J8" s="976">
        <f>I8*$D8</f>
        <v/>
      </c>
      <c r="K8" s="975" t="n">
        <v>3360</v>
      </c>
      <c r="L8" s="976">
        <f>K8*$D8</f>
        <v/>
      </c>
      <c r="M8" s="975" t="n">
        <v>3240</v>
      </c>
      <c r="N8" s="976">
        <f>M8*$D8</f>
        <v/>
      </c>
      <c r="O8" s="975" t="n">
        <v>660</v>
      </c>
      <c r="P8" s="976">
        <f>O8*$D8</f>
        <v/>
      </c>
      <c r="Q8" s="975" t="n">
        <v>720</v>
      </c>
      <c r="R8" s="976">
        <f>Q8*$D8</f>
        <v/>
      </c>
      <c r="S8" s="975" t="n">
        <v>1056</v>
      </c>
      <c r="T8" s="976">
        <f>S8*$D8</f>
        <v/>
      </c>
      <c r="U8" s="975" t="n">
        <v>1224</v>
      </c>
      <c r="V8" s="976">
        <f>U8*$D8</f>
        <v/>
      </c>
      <c r="W8" s="975" t="n">
        <v>852</v>
      </c>
      <c r="X8" s="976">
        <f>W8*$D8</f>
        <v/>
      </c>
      <c r="Y8" s="975" t="n">
        <v>480</v>
      </c>
      <c r="Z8" s="976">
        <f>Y8*$D8</f>
        <v/>
      </c>
      <c r="AA8" s="975" t="n">
        <v>744</v>
      </c>
      <c r="AB8" s="976">
        <f>AA8*$D8</f>
        <v/>
      </c>
      <c r="AC8" s="975" t="n">
        <v>1608</v>
      </c>
      <c r="AD8" s="976">
        <f>AC8*$D8</f>
        <v/>
      </c>
      <c r="AE8" s="977">
        <f>(AC8+AA8+Y8+W8+U8+S8+Q8+O8+M8+K8+I8+G8)/12</f>
        <v/>
      </c>
      <c r="AF8" s="978">
        <f>AE8*$D8</f>
        <v/>
      </c>
      <c r="AG8" s="975" t="n">
        <v>1488</v>
      </c>
      <c r="AH8" s="976">
        <f>AG8*$D8</f>
        <v/>
      </c>
      <c r="AI8" s="975" t="n">
        <v>492</v>
      </c>
      <c r="AJ8" s="976">
        <f>AI8*$D8</f>
        <v/>
      </c>
      <c r="AK8" s="975" t="n">
        <v>552</v>
      </c>
      <c r="AL8" s="976">
        <f>AK8*$D8</f>
        <v/>
      </c>
      <c r="AM8" s="975" t="n">
        <v>600</v>
      </c>
      <c r="AN8" s="976">
        <f>AM8*$D8</f>
        <v/>
      </c>
      <c r="AO8" s="975" t="n">
        <v>780</v>
      </c>
      <c r="AP8" s="976">
        <f>AO8*$D8</f>
        <v/>
      </c>
      <c r="AQ8" s="975" t="n">
        <v>648</v>
      </c>
      <c r="AR8" s="976">
        <f>AQ8*$D8</f>
        <v/>
      </c>
      <c r="AS8" s="975" t="n">
        <v>564</v>
      </c>
      <c r="AT8" s="976">
        <f>AS8*$D8</f>
        <v/>
      </c>
      <c r="AU8" s="975" t="n">
        <v>636</v>
      </c>
      <c r="AV8" s="976">
        <f>AU8*$D8</f>
        <v/>
      </c>
      <c r="AW8" s="975" t="n">
        <v>600</v>
      </c>
      <c r="AX8" s="976">
        <f>AW8*$D8</f>
        <v/>
      </c>
      <c r="AY8" s="975" t="n">
        <v>876</v>
      </c>
      <c r="AZ8" s="976">
        <f>AY8*$D8</f>
        <v/>
      </c>
      <c r="BA8" s="975" t="n">
        <v>720</v>
      </c>
      <c r="BB8" s="976">
        <f>BA8*$D8</f>
        <v/>
      </c>
      <c r="BC8" s="975" t="n">
        <v>576</v>
      </c>
      <c r="BD8" s="976">
        <f>BC8*$D8</f>
        <v/>
      </c>
      <c r="BE8" s="977">
        <f>(BC8+BA8+AY8+AW8+AU8+AS8+AQ8+AO8+AM8+AK8+AI8+AG8)/12</f>
        <v/>
      </c>
      <c r="BF8" s="978">
        <f>BE8*$D8</f>
        <v/>
      </c>
      <c r="BG8" s="975" t="n">
        <v>900</v>
      </c>
      <c r="BH8" s="976">
        <f>BG8*$D8</f>
        <v/>
      </c>
      <c r="BI8" s="975" t="n">
        <v>564</v>
      </c>
      <c r="BJ8" s="976">
        <f>BI8*$D8</f>
        <v/>
      </c>
      <c r="BK8" s="975" t="n">
        <v>744</v>
      </c>
      <c r="BL8" s="976">
        <f>BK8*$D8</f>
        <v/>
      </c>
      <c r="BM8" s="975" t="n">
        <v>612</v>
      </c>
      <c r="BN8" s="976">
        <f>BM8*$D8</f>
        <v/>
      </c>
      <c r="BO8" s="975" t="n">
        <v>12</v>
      </c>
      <c r="BP8" s="976">
        <f>BO8*$D8</f>
        <v/>
      </c>
      <c r="BQ8" s="975" t="n">
        <v>336</v>
      </c>
      <c r="BR8" s="976">
        <f>BQ8*$D8</f>
        <v/>
      </c>
      <c r="BS8" s="975" t="n">
        <v>408</v>
      </c>
      <c r="BT8" s="976">
        <f>BS8*$D8</f>
        <v/>
      </c>
      <c r="BU8" s="975" t="n">
        <v>336</v>
      </c>
      <c r="BV8" s="976">
        <f>BU8*$D8</f>
        <v/>
      </c>
      <c r="BW8" s="975" t="n">
        <v>840</v>
      </c>
      <c r="BX8" s="976">
        <f>BW8*$D8</f>
        <v/>
      </c>
      <c r="BY8" s="975" t="n">
        <v>1152</v>
      </c>
      <c r="BZ8" s="976">
        <f>BY8*$D8</f>
        <v/>
      </c>
      <c r="CA8" s="975" t="n">
        <v>1776</v>
      </c>
      <c r="CB8" s="976">
        <f>CA8*$D8</f>
        <v/>
      </c>
      <c r="CC8" s="975" t="n">
        <v>600</v>
      </c>
      <c r="CD8" s="976">
        <f>CC8*$D8</f>
        <v/>
      </c>
      <c r="CE8" s="979">
        <f>(BG8+BI8+BK8+BM8+BO8+BQ8)/6</f>
        <v/>
      </c>
      <c r="CF8" s="976">
        <f>(BH8+BJ8+BL8+BN8+BP8+BR8)/6</f>
        <v/>
      </c>
      <c r="CG8" s="977">
        <f>(CC8+CA8+BY8+BW8+BU8+BS8+BQ8+BO8+BM8+BK8+BI8+BG8)/12</f>
        <v/>
      </c>
      <c r="CH8" s="978">
        <f>CG8*$D8</f>
        <v/>
      </c>
      <c r="CI8" s="980" t="n">
        <v>690</v>
      </c>
      <c r="CJ8" s="976">
        <f>CI8*$D8</f>
        <v/>
      </c>
      <c r="CK8" s="15">
        <f>CH8/$CH$36%</f>
        <v/>
      </c>
      <c r="CL8" s="15" t="n"/>
      <c r="CM8" s="982" t="n">
        <v>672</v>
      </c>
      <c r="CN8" s="976">
        <f>CM8*$D8</f>
        <v/>
      </c>
      <c r="CO8" s="982" t="n">
        <v>756</v>
      </c>
      <c r="CP8" s="15">
        <f>CO8*$D8</f>
        <v/>
      </c>
      <c r="CQ8" s="982" t="n">
        <v>540</v>
      </c>
      <c r="CR8" s="15">
        <f>CQ8*$D8</f>
        <v/>
      </c>
      <c r="CS8" s="982" t="n">
        <v>756</v>
      </c>
      <c r="CT8" s="15">
        <f>CS8*$D8</f>
        <v/>
      </c>
      <c r="CU8" s="982" t="n">
        <v>720</v>
      </c>
      <c r="CV8" s="15">
        <f>CU8*$D8</f>
        <v/>
      </c>
      <c r="CW8" s="982" t="n">
        <v>456</v>
      </c>
      <c r="CX8" s="15">
        <f>CW8*$D8</f>
        <v/>
      </c>
      <c r="CY8" s="982" t="n"/>
      <c r="CZ8" s="15">
        <f>CY8*$D8</f>
        <v/>
      </c>
      <c r="DA8" s="982" t="n"/>
      <c r="DB8" s="15">
        <f>DA8*$D8</f>
        <v/>
      </c>
      <c r="DC8" s="982" t="n"/>
      <c r="DD8" s="15">
        <f>DC8*$D8</f>
        <v/>
      </c>
      <c r="DE8" s="982" t="n"/>
      <c r="DF8" s="15">
        <f>DE8*$D8</f>
        <v/>
      </c>
      <c r="DG8" s="982" t="n"/>
      <c r="DH8" s="15">
        <f>DG8*$D8</f>
        <v/>
      </c>
      <c r="DI8" s="982" t="n"/>
      <c r="DJ8" s="15">
        <f>DI8*$D8</f>
        <v/>
      </c>
      <c r="DK8" s="983">
        <f>SUM(CM8,CO8,CQ8,CS8,CU8,CW8,CY8,DA8,DC8,DE8,DG8,DI8)</f>
        <v/>
      </c>
      <c r="DL8" s="984">
        <f>SUM(CN8,CP8,CR8,CT8,CV8,CX8,CZ8,DB8,DD8,DF8,DH8,DJ8)</f>
        <v/>
      </c>
      <c r="DM8" s="985">
        <f>DK8/6</f>
        <v/>
      </c>
      <c r="DN8" s="985">
        <f>DL8/6</f>
        <v/>
      </c>
      <c r="DO8" s="69">
        <f>DN8/$DN$36%</f>
        <v/>
      </c>
      <c r="DP8" s="70">
        <f>DO8-CK8</f>
        <v/>
      </c>
      <c r="DQ8" s="986">
        <f>DN8/CF8*100-100</f>
        <v/>
      </c>
      <c r="DR8" s="986">
        <f>DN8/CH8*100-100</f>
        <v/>
      </c>
      <c r="DS8" s="986">
        <f>DN8-CH8</f>
        <v/>
      </c>
      <c r="DT8" s="986">
        <f>DN8-CF8</f>
        <v/>
      </c>
      <c r="DU8" s="986">
        <f>DS8/14</f>
        <v/>
      </c>
      <c r="DV8" s="986">
        <f>DT8/14</f>
        <v/>
      </c>
      <c r="DW8" s="986">
        <f>DV8*6</f>
        <v/>
      </c>
    </row>
    <row r="9">
      <c r="A9" s="7" t="n">
        <v>6</v>
      </c>
      <c r="B9" s="8" t="inlineStr">
        <is>
          <t xml:space="preserve">Kaung Kyi </t>
        </is>
      </c>
      <c r="C9" s="8" t="inlineStr">
        <is>
          <t>ပုလင်း</t>
        </is>
      </c>
      <c r="D9" s="7" t="n">
        <v>0.64</v>
      </c>
      <c r="E9" s="7" t="inlineStr">
        <is>
          <t>1 * 14</t>
        </is>
      </c>
      <c r="F9" s="7" t="n">
        <v>1230</v>
      </c>
      <c r="G9" s="975" t="n">
        <v>70658</v>
      </c>
      <c r="H9" s="976">
        <f>G9*$D9</f>
        <v/>
      </c>
      <c r="I9" s="975" t="n">
        <v>66416</v>
      </c>
      <c r="J9" s="976">
        <f>I9*$D9</f>
        <v/>
      </c>
      <c r="K9" s="975" t="n">
        <v>74508</v>
      </c>
      <c r="L9" s="976">
        <f>K9*$D9</f>
        <v/>
      </c>
      <c r="M9" s="975" t="n">
        <v>54532</v>
      </c>
      <c r="N9" s="976">
        <f>M9*$D9</f>
        <v/>
      </c>
      <c r="O9" s="975" t="n">
        <v>57792</v>
      </c>
      <c r="P9" s="976">
        <f>O9*$D9</f>
        <v/>
      </c>
      <c r="Q9" s="975" t="n">
        <v>64400</v>
      </c>
      <c r="R9" s="976">
        <f>Q9*$D9</f>
        <v/>
      </c>
      <c r="S9" s="975" t="n">
        <v>60830</v>
      </c>
      <c r="T9" s="976">
        <f>S9*$D9</f>
        <v/>
      </c>
      <c r="U9" s="975" t="n">
        <v>64428</v>
      </c>
      <c r="V9" s="976">
        <f>U9*$D9</f>
        <v/>
      </c>
      <c r="W9" s="975" t="n">
        <v>58705</v>
      </c>
      <c r="X9" s="976">
        <f>W9*$D9</f>
        <v/>
      </c>
      <c r="Y9" s="975" t="n">
        <v>62384</v>
      </c>
      <c r="Z9" s="976">
        <f>Y9*$D9</f>
        <v/>
      </c>
      <c r="AA9" s="975" t="n">
        <v>67326</v>
      </c>
      <c r="AB9" s="976">
        <f>AA9*$D9</f>
        <v/>
      </c>
      <c r="AC9" s="975" t="n">
        <v>82770</v>
      </c>
      <c r="AD9" s="976">
        <f>AC9*$D9</f>
        <v/>
      </c>
      <c r="AE9" s="977">
        <f>(AC9+AA9+Y9+W9+U9+S9+Q9+O9+M9+K9+I9+G9)/12</f>
        <v/>
      </c>
      <c r="AF9" s="978">
        <f>AE9*$D9</f>
        <v/>
      </c>
      <c r="AG9" s="975" t="n">
        <v>67662</v>
      </c>
      <c r="AH9" s="976">
        <f>AG9*$D9</f>
        <v/>
      </c>
      <c r="AI9" s="975" t="n">
        <v>58922</v>
      </c>
      <c r="AJ9" s="976">
        <f>AI9*$D9</f>
        <v/>
      </c>
      <c r="AK9" s="975" t="n">
        <v>61334</v>
      </c>
      <c r="AL9" s="976">
        <f>AK9*$D9</f>
        <v/>
      </c>
      <c r="AM9" s="975" t="n">
        <v>59794</v>
      </c>
      <c r="AN9" s="976">
        <f>AM9*$D9</f>
        <v/>
      </c>
      <c r="AO9" s="975" t="n">
        <v>45528</v>
      </c>
      <c r="AP9" s="976">
        <f>AO9*$D9</f>
        <v/>
      </c>
      <c r="AQ9" s="975" t="n">
        <v>58940</v>
      </c>
      <c r="AR9" s="976">
        <f>AQ9*$D9</f>
        <v/>
      </c>
      <c r="AS9" s="975" t="n">
        <v>68562</v>
      </c>
      <c r="AT9" s="976">
        <f>AS9*$D9</f>
        <v/>
      </c>
      <c r="AU9" s="975" t="n">
        <v>62636</v>
      </c>
      <c r="AV9" s="976">
        <f>AU9*$D9</f>
        <v/>
      </c>
      <c r="AW9" s="975" t="n">
        <v>66628</v>
      </c>
      <c r="AX9" s="976">
        <f>AW9*$D9</f>
        <v/>
      </c>
      <c r="AY9" s="975" t="n">
        <v>67270</v>
      </c>
      <c r="AZ9" s="976">
        <f>AY9*$D9</f>
        <v/>
      </c>
      <c r="BA9" s="975" t="n">
        <v>65856</v>
      </c>
      <c r="BB9" s="976">
        <f>BA9*$D9</f>
        <v/>
      </c>
      <c r="BC9" s="975" t="n">
        <v>87710</v>
      </c>
      <c r="BD9" s="976">
        <f>BC9*$D9</f>
        <v/>
      </c>
      <c r="BE9" s="977">
        <f>(BC9+BA9+AY9+AW9+AU9+AS9+AQ9+AO9+AM9+AK9+AI9+AG9)/12</f>
        <v/>
      </c>
      <c r="BF9" s="978">
        <f>BE9*$D9</f>
        <v/>
      </c>
      <c r="BG9" s="975" t="n">
        <v>75935</v>
      </c>
      <c r="BH9" s="976">
        <f>BG9*$D9</f>
        <v/>
      </c>
      <c r="BI9" s="975" t="n">
        <v>64518</v>
      </c>
      <c r="BJ9" s="976">
        <f>BI9*$D9</f>
        <v/>
      </c>
      <c r="BK9" s="975" t="n">
        <v>69272</v>
      </c>
      <c r="BL9" s="976">
        <f>BK9*$D9</f>
        <v/>
      </c>
      <c r="BM9" s="975" t="n">
        <v>59570</v>
      </c>
      <c r="BN9" s="976">
        <f>BM9*$D9</f>
        <v/>
      </c>
      <c r="BO9" s="975" t="n">
        <v>65708</v>
      </c>
      <c r="BP9" s="976">
        <f>BO9*$D9</f>
        <v/>
      </c>
      <c r="BQ9" s="975" t="n">
        <v>66472</v>
      </c>
      <c r="BR9" s="976">
        <f>BQ9*$D9</f>
        <v/>
      </c>
      <c r="BS9" s="975" t="n">
        <v>71516</v>
      </c>
      <c r="BT9" s="976">
        <f>BS9*$D9</f>
        <v/>
      </c>
      <c r="BU9" s="975" t="n">
        <v>59500</v>
      </c>
      <c r="BV9" s="976">
        <f>BU9*$D9</f>
        <v/>
      </c>
      <c r="BW9" s="975" t="n">
        <v>66640</v>
      </c>
      <c r="BX9" s="976">
        <f>BW9*$D9</f>
        <v/>
      </c>
      <c r="BY9" s="975" t="n">
        <v>76510</v>
      </c>
      <c r="BZ9" s="976">
        <f>BY9*$D9</f>
        <v/>
      </c>
      <c r="CA9" s="975" t="n">
        <v>66934</v>
      </c>
      <c r="CB9" s="976">
        <f>CA9*$D9</f>
        <v/>
      </c>
      <c r="CC9" s="975" t="n">
        <v>79688</v>
      </c>
      <c r="CD9" s="976">
        <f>CC9*$D9</f>
        <v/>
      </c>
      <c r="CE9" s="979">
        <f>(BG9+BI9+BK9+BM9+BO9+BQ9)/6</f>
        <v/>
      </c>
      <c r="CF9" s="976">
        <f>(BH9+BJ9+BL9+BN9+BP9+BR9)/6</f>
        <v/>
      </c>
      <c r="CG9" s="977">
        <f>(CC9+CA9+BY9+BW9+BU9+BS9+BQ9+BO9+BM9+BK9+BI9+BG9)/12</f>
        <v/>
      </c>
      <c r="CH9" s="978">
        <f>CG9*$D9</f>
        <v/>
      </c>
      <c r="CI9" s="980" t="n">
        <v>68522</v>
      </c>
      <c r="CJ9" s="976">
        <f>CI9*$D9</f>
        <v/>
      </c>
      <c r="CK9" s="15">
        <f>CH9/$CH$36%</f>
        <v/>
      </c>
      <c r="CL9" s="15" t="n">
        <v>11.29</v>
      </c>
      <c r="CM9" s="982" t="n">
        <v>78915</v>
      </c>
      <c r="CN9" s="976">
        <f>CM9*$D9</f>
        <v/>
      </c>
      <c r="CO9" s="982" t="n">
        <v>57960</v>
      </c>
      <c r="CP9" s="15">
        <f>CO9*$D9</f>
        <v/>
      </c>
      <c r="CQ9" s="982" t="n">
        <v>67424</v>
      </c>
      <c r="CR9" s="15">
        <f>CQ9*$D9</f>
        <v/>
      </c>
      <c r="CS9" s="982" t="n">
        <v>59108</v>
      </c>
      <c r="CT9" s="15">
        <f>CS9*$D9</f>
        <v/>
      </c>
      <c r="CU9" s="982" t="n">
        <v>62751</v>
      </c>
      <c r="CV9" s="15">
        <f>CU9*$D9</f>
        <v/>
      </c>
      <c r="CW9" s="982" t="n">
        <v>60505</v>
      </c>
      <c r="CX9" s="15">
        <f>CW9*$D9</f>
        <v/>
      </c>
      <c r="CY9" s="982" t="n"/>
      <c r="CZ9" s="15">
        <f>CY9*$D9</f>
        <v/>
      </c>
      <c r="DA9" s="982" t="n"/>
      <c r="DB9" s="15">
        <f>DA9*$D9</f>
        <v/>
      </c>
      <c r="DC9" s="982" t="n"/>
      <c r="DD9" s="15">
        <f>DC9*$D9</f>
        <v/>
      </c>
      <c r="DE9" s="982" t="n"/>
      <c r="DF9" s="15">
        <f>DE9*$D9</f>
        <v/>
      </c>
      <c r="DG9" s="982" t="n"/>
      <c r="DH9" s="15">
        <f>DG9*$D9</f>
        <v/>
      </c>
      <c r="DI9" s="982" t="n"/>
      <c r="DJ9" s="15">
        <f>DI9*$D9</f>
        <v/>
      </c>
      <c r="DK9" s="983">
        <f>SUM(CM9,CO9,CQ9,CS9,CU9,CW9,CY9,DA9,DC9,DE9,DG9,DI9)</f>
        <v/>
      </c>
      <c r="DL9" s="984">
        <f>SUM(CN9,CP9,CR9,CT9,CV9,CX9,CZ9,DB9,DD9,DF9,DH9,DJ9)</f>
        <v/>
      </c>
      <c r="DM9" s="985">
        <f>DK9/6</f>
        <v/>
      </c>
      <c r="DN9" s="985">
        <f>DL9/6</f>
        <v/>
      </c>
      <c r="DO9" s="69">
        <f>DN9/$DN$36%</f>
        <v/>
      </c>
      <c r="DP9" s="70">
        <f>DO9-CK9</f>
        <v/>
      </c>
      <c r="DQ9" s="986">
        <f>DN9/CF9*100-100</f>
        <v/>
      </c>
      <c r="DR9" s="986">
        <f>DN9/CH9*100-100</f>
        <v/>
      </c>
      <c r="DS9" s="986">
        <f>DN9-CH9</f>
        <v/>
      </c>
      <c r="DT9" s="986">
        <f>DN9-CF9</f>
        <v/>
      </c>
      <c r="DU9" s="986">
        <f>DS9/14</f>
        <v/>
      </c>
      <c r="DV9" s="986">
        <f>DT9/14</f>
        <v/>
      </c>
      <c r="DW9" s="986">
        <f>DV9*6</f>
        <v/>
      </c>
    </row>
    <row r="10">
      <c r="A10" s="7" t="n">
        <v>7</v>
      </c>
      <c r="B10" s="8" t="inlineStr">
        <is>
          <t>မိုးနဲကွန်ကီကော်ဘူး(1 Liter)</t>
        </is>
      </c>
      <c r="C10" s="8" t="inlineStr">
        <is>
          <t>‌ကော်ဘူး</t>
        </is>
      </c>
      <c r="D10" s="7" t="n">
        <v>1</v>
      </c>
      <c r="E10" s="7" t="inlineStr">
        <is>
          <t>1 * 24</t>
        </is>
      </c>
      <c r="F10" s="7" t="n">
        <v>1900</v>
      </c>
      <c r="G10" s="975" t="n"/>
      <c r="H10" s="976">
        <f>G10*$D10</f>
        <v/>
      </c>
      <c r="I10" s="975" t="n"/>
      <c r="J10" s="976">
        <f>I10*$D10</f>
        <v/>
      </c>
      <c r="K10" s="975" t="n"/>
      <c r="L10" s="976">
        <f>K10*$D10</f>
        <v/>
      </c>
      <c r="M10" s="975" t="n"/>
      <c r="N10" s="976">
        <f>M10*$D10</f>
        <v/>
      </c>
      <c r="O10" s="975" t="n"/>
      <c r="P10" s="976">
        <f>O10*$D10</f>
        <v/>
      </c>
      <c r="Q10" s="975" t="n"/>
      <c r="R10" s="976">
        <f>Q10*$D10</f>
        <v/>
      </c>
      <c r="S10" s="975" t="n"/>
      <c r="T10" s="976">
        <f>S10*$D10</f>
        <v/>
      </c>
      <c r="U10" s="975" t="n"/>
      <c r="V10" s="976">
        <f>U10*$D10</f>
        <v/>
      </c>
      <c r="W10" s="975" t="n"/>
      <c r="X10" s="976">
        <f>W10*$D10</f>
        <v/>
      </c>
      <c r="Y10" s="975" t="n"/>
      <c r="Z10" s="976">
        <f>Y10*$D10</f>
        <v/>
      </c>
      <c r="AA10" s="975" t="n"/>
      <c r="AB10" s="976">
        <f>AA10*$D10</f>
        <v/>
      </c>
      <c r="AC10" s="975" t="n"/>
      <c r="AD10" s="976">
        <f>AC10*$D10</f>
        <v/>
      </c>
      <c r="AE10" s="977">
        <f>(AC10+AA10+Y10+W10+U10+S10+Q10+O10+M10+K10+I10+G10)/12</f>
        <v/>
      </c>
      <c r="AF10" s="978">
        <f>AE10*$D10</f>
        <v/>
      </c>
      <c r="AG10" s="975" t="n"/>
      <c r="AH10" s="976">
        <f>AG10*$D10</f>
        <v/>
      </c>
      <c r="AI10" s="975" t="n"/>
      <c r="AJ10" s="976">
        <f>AI10*$D10</f>
        <v/>
      </c>
      <c r="AK10" s="975" t="n"/>
      <c r="AL10" s="976">
        <f>AK10*$D10</f>
        <v/>
      </c>
      <c r="AM10" s="975" t="n"/>
      <c r="AN10" s="976">
        <f>AM10*$D10</f>
        <v/>
      </c>
      <c r="AO10" s="975" t="n"/>
      <c r="AP10" s="976">
        <f>AO10*$D10</f>
        <v/>
      </c>
      <c r="AQ10" s="975" t="n"/>
      <c r="AR10" s="976">
        <f>AQ10*$D10</f>
        <v/>
      </c>
      <c r="AS10" s="975" t="n"/>
      <c r="AT10" s="976">
        <f>AS10*$D10</f>
        <v/>
      </c>
      <c r="AU10" s="975" t="n"/>
      <c r="AV10" s="976">
        <f>AU10*$D10</f>
        <v/>
      </c>
      <c r="AW10" s="975" t="n"/>
      <c r="AX10" s="976">
        <f>AW10*$D10</f>
        <v/>
      </c>
      <c r="AY10" s="975" t="n"/>
      <c r="AZ10" s="976">
        <f>AY10*$D10</f>
        <v/>
      </c>
      <c r="BA10" s="975" t="n"/>
      <c r="BB10" s="976">
        <f>BA10*$D10</f>
        <v/>
      </c>
      <c r="BC10" s="975" t="n"/>
      <c r="BD10" s="976">
        <f>BC10*$D10</f>
        <v/>
      </c>
      <c r="BE10" s="977">
        <f>(BC10+BA10+AY10+AW10+AU10+AS10+AQ10+AO10+AM10+AK10+AI10+AG10)/12</f>
        <v/>
      </c>
      <c r="BF10" s="978">
        <f>BE10*$D10</f>
        <v/>
      </c>
      <c r="BG10" s="975" t="n"/>
      <c r="BH10" s="976">
        <f>BG10*$D10</f>
        <v/>
      </c>
      <c r="BI10" s="975" t="n"/>
      <c r="BJ10" s="976">
        <f>BI10*$D10</f>
        <v/>
      </c>
      <c r="BK10" s="975" t="n"/>
      <c r="BL10" s="976">
        <f>BK10*$D10</f>
        <v/>
      </c>
      <c r="BM10" s="975" t="n"/>
      <c r="BN10" s="976">
        <f>BM10*$D10</f>
        <v/>
      </c>
      <c r="BO10" s="975" t="n"/>
      <c r="BP10" s="976">
        <f>BO10*$D10</f>
        <v/>
      </c>
      <c r="BQ10" s="975" t="n"/>
      <c r="BR10" s="976">
        <f>BQ10*$D10</f>
        <v/>
      </c>
      <c r="BS10" s="975" t="n"/>
      <c r="BT10" s="976">
        <f>BS10*$D10</f>
        <v/>
      </c>
      <c r="BU10" s="975" t="n"/>
      <c r="BV10" s="976">
        <f>BU10*$D10</f>
        <v/>
      </c>
      <c r="BW10" s="975" t="n"/>
      <c r="BX10" s="976">
        <f>BW10*$D10</f>
        <v/>
      </c>
      <c r="BY10" s="975" t="n"/>
      <c r="BZ10" s="976">
        <f>BY10*$D10</f>
        <v/>
      </c>
      <c r="CA10" s="975" t="n"/>
      <c r="CB10" s="976">
        <f>CA10*$D10</f>
        <v/>
      </c>
      <c r="CC10" s="975" t="n"/>
      <c r="CD10" s="976">
        <f>CC10*$D10</f>
        <v/>
      </c>
      <c r="CE10" s="979">
        <f>(BG10+BI10+BK10+BM10+BO10+BQ10)/6</f>
        <v/>
      </c>
      <c r="CF10" s="976">
        <f>(BH10+BJ10+BL10+BN10+BP10+BR10)/6</f>
        <v/>
      </c>
      <c r="CG10" s="977">
        <f>(CC10+CA10+BY10+BW10+BU10+BS10+BQ10+BO10+BM10+BK10+BI10+BG10)/12</f>
        <v/>
      </c>
      <c r="CH10" s="978">
        <f>CG10*$D10</f>
        <v/>
      </c>
      <c r="CI10" s="980" t="n"/>
      <c r="CJ10" s="976">
        <f>CI10*$D10</f>
        <v/>
      </c>
      <c r="CK10" s="15">
        <f>CH10/$CH$36%</f>
        <v/>
      </c>
      <c r="CL10" s="15" t="n"/>
      <c r="CM10" s="982" t="n"/>
      <c r="CN10" s="976">
        <f>CM10*$D10</f>
        <v/>
      </c>
      <c r="CO10" s="982" t="n"/>
      <c r="CP10" s="15">
        <f>CO10*$D10</f>
        <v/>
      </c>
      <c r="CQ10" s="982" t="n">
        <v>16608</v>
      </c>
      <c r="CR10" s="15">
        <f>CQ10*$D10</f>
        <v/>
      </c>
      <c r="CS10" s="982" t="n">
        <v>6468</v>
      </c>
      <c r="CT10" s="15">
        <f>CS10*$D10</f>
        <v/>
      </c>
      <c r="CU10" s="982" t="n">
        <v>8040</v>
      </c>
      <c r="CV10" s="15">
        <f>CU10*$D10</f>
        <v/>
      </c>
      <c r="CW10" s="982" t="n">
        <v>1188</v>
      </c>
      <c r="CX10" s="15">
        <f>CW10*$D10</f>
        <v/>
      </c>
      <c r="CY10" s="982" t="n"/>
      <c r="CZ10" s="15">
        <f>CY10*$D10</f>
        <v/>
      </c>
      <c r="DA10" s="982" t="n"/>
      <c r="DB10" s="15">
        <f>DA10*$D10</f>
        <v/>
      </c>
      <c r="DC10" s="982" t="n"/>
      <c r="DD10" s="15">
        <f>DC10*$D10</f>
        <v/>
      </c>
      <c r="DE10" s="982" t="n"/>
      <c r="DF10" s="15">
        <f>DE10*$D10</f>
        <v/>
      </c>
      <c r="DG10" s="982" t="n"/>
      <c r="DH10" s="15">
        <f>DG10*$D10</f>
        <v/>
      </c>
      <c r="DI10" s="982" t="n"/>
      <c r="DJ10" s="15">
        <f>DI10*$D10</f>
        <v/>
      </c>
      <c r="DK10" s="983">
        <f>SUM(CM10,CO10,CQ10,CS10,CU10,CW10,CY10,DA10,DC10,DE10,DG10,DI10)</f>
        <v/>
      </c>
      <c r="DL10" s="984">
        <f>SUM(CN10,CP10,CR10,CT10,CV10,CX10,CZ10,DB10,DD10,DF10,DH10,DJ10)</f>
        <v/>
      </c>
      <c r="DM10" s="985">
        <f>DK10/6</f>
        <v/>
      </c>
      <c r="DN10" s="985">
        <f>DL10/6</f>
        <v/>
      </c>
      <c r="DO10" s="69">
        <f>DN10/$DN$36%</f>
        <v/>
      </c>
      <c r="DP10" s="70">
        <f>DO10-CK10</f>
        <v/>
      </c>
      <c r="DQ10" s="986">
        <f>DN10/CF10*100-100</f>
        <v/>
      </c>
      <c r="DR10" s="986">
        <f>DN10/CH10*100-100</f>
        <v/>
      </c>
      <c r="DS10" s="986">
        <f>DN10-CH10</f>
        <v/>
      </c>
      <c r="DT10" s="986">
        <f>DN10-CF10</f>
        <v/>
      </c>
      <c r="DU10" s="986">
        <f>DS10/14</f>
        <v/>
      </c>
      <c r="DV10" s="986">
        <f>DT10/14</f>
        <v/>
      </c>
      <c r="DW10" s="986">
        <f>DV10*6</f>
        <v/>
      </c>
    </row>
    <row r="11">
      <c r="A11" s="7" t="n">
        <v>8</v>
      </c>
      <c r="B11" s="8" t="inlineStr">
        <is>
          <t xml:space="preserve">Moe Nae Kon Ki </t>
        </is>
      </c>
      <c r="C11" s="8" t="inlineStr">
        <is>
          <t>ပုလင်း</t>
        </is>
      </c>
      <c r="D11" s="7" t="n">
        <v>0.64</v>
      </c>
      <c r="E11" s="7" t="inlineStr">
        <is>
          <t>1 * 14</t>
        </is>
      </c>
      <c r="F11" s="7" t="n">
        <v>1500</v>
      </c>
      <c r="G11" s="975" t="n">
        <v>19838</v>
      </c>
      <c r="H11" s="976">
        <f>G11*$D11</f>
        <v/>
      </c>
      <c r="I11" s="975" t="n">
        <v>21560</v>
      </c>
      <c r="J11" s="976">
        <f>I11*$D11</f>
        <v/>
      </c>
      <c r="K11" s="975" t="n">
        <v>33040</v>
      </c>
      <c r="L11" s="976">
        <f>K11*$D11</f>
        <v/>
      </c>
      <c r="M11" s="975" t="n">
        <v>33390</v>
      </c>
      <c r="N11" s="976">
        <f>M11*$D11</f>
        <v/>
      </c>
      <c r="O11" s="975" t="n">
        <v>41692</v>
      </c>
      <c r="P11" s="976">
        <f>O11*$D11</f>
        <v/>
      </c>
      <c r="Q11" s="975" t="n">
        <v>61586</v>
      </c>
      <c r="R11" s="976">
        <f>Q11*$D11</f>
        <v/>
      </c>
      <c r="S11" s="975" t="n">
        <v>77210</v>
      </c>
      <c r="T11" s="976">
        <f>S11*$D11</f>
        <v/>
      </c>
      <c r="U11" s="975" t="n">
        <v>85148</v>
      </c>
      <c r="V11" s="976">
        <f>U11*$D11</f>
        <v/>
      </c>
      <c r="W11" s="975" t="n">
        <v>78722</v>
      </c>
      <c r="X11" s="976">
        <f>W11*$D11</f>
        <v/>
      </c>
      <c r="Y11" s="975" t="n">
        <v>46494</v>
      </c>
      <c r="Z11" s="976">
        <f>Y11*$D11</f>
        <v/>
      </c>
      <c r="AA11" s="975" t="n">
        <v>52136</v>
      </c>
      <c r="AB11" s="976">
        <f>AA11*$D11</f>
        <v/>
      </c>
      <c r="AC11" s="975" t="n">
        <v>53018</v>
      </c>
      <c r="AD11" s="976">
        <f>AC11*$D11</f>
        <v/>
      </c>
      <c r="AE11" s="977">
        <f>(AC11+AA11+Y11+W11+U11+S11+Q11+O11+M11+K11+I11+G11)/12</f>
        <v/>
      </c>
      <c r="AF11" s="978">
        <f>AE11*$D11</f>
        <v/>
      </c>
      <c r="AG11" s="975" t="n">
        <v>44912</v>
      </c>
      <c r="AH11" s="976">
        <f>AG11*$D11</f>
        <v/>
      </c>
      <c r="AI11" s="975" t="n">
        <v>31654</v>
      </c>
      <c r="AJ11" s="976">
        <f>AI11*$D11</f>
        <v/>
      </c>
      <c r="AK11" s="975" t="n">
        <v>34804</v>
      </c>
      <c r="AL11" s="976">
        <f>AK11*$D11</f>
        <v/>
      </c>
      <c r="AM11" s="975" t="n">
        <v>36498</v>
      </c>
      <c r="AN11" s="976">
        <f>AM11*$D11</f>
        <v/>
      </c>
      <c r="AO11" s="975" t="n">
        <v>35546</v>
      </c>
      <c r="AP11" s="976">
        <f>AO11*$D11</f>
        <v/>
      </c>
      <c r="AQ11" s="975" t="n">
        <v>54246</v>
      </c>
      <c r="AR11" s="976">
        <f>AQ11*$D11</f>
        <v/>
      </c>
      <c r="AS11" s="975" t="n">
        <v>73412</v>
      </c>
      <c r="AT11" s="976">
        <f>AS11*$D11</f>
        <v/>
      </c>
      <c r="AU11" s="975" t="n">
        <v>66720</v>
      </c>
      <c r="AV11" s="976">
        <f>AU11*$D11</f>
        <v/>
      </c>
      <c r="AW11" s="975" t="n">
        <v>68740</v>
      </c>
      <c r="AX11" s="976">
        <f>AW11*$D11</f>
        <v/>
      </c>
      <c r="AY11" s="975" t="n">
        <v>81158</v>
      </c>
      <c r="AZ11" s="976">
        <f>AY11*$D11</f>
        <v/>
      </c>
      <c r="BA11" s="975" t="n">
        <v>93086</v>
      </c>
      <c r="BB11" s="976">
        <f>BA11*$D11</f>
        <v/>
      </c>
      <c r="BC11" s="975" t="n">
        <v>97244</v>
      </c>
      <c r="BD11" s="976">
        <f>BC11*$D11</f>
        <v/>
      </c>
      <c r="BE11" s="977">
        <f>(BC11+BA11+AY11+AW11+AU11+AS11+AQ11+AO11+AM11+AK11+AI11+AG11)/12</f>
        <v/>
      </c>
      <c r="BF11" s="978">
        <f>BE11*$D11</f>
        <v/>
      </c>
      <c r="BG11" s="975" t="n">
        <v>91784</v>
      </c>
      <c r="BH11" s="976">
        <f>BG11*$D11</f>
        <v/>
      </c>
      <c r="BI11" s="975" t="n">
        <v>70816</v>
      </c>
      <c r="BJ11" s="976">
        <f>BI11*$D11</f>
        <v/>
      </c>
      <c r="BK11" s="975" t="n">
        <v>67550</v>
      </c>
      <c r="BL11" s="976">
        <f>BK11*$D11</f>
        <v/>
      </c>
      <c r="BM11" s="975" t="n">
        <v>56644</v>
      </c>
      <c r="BN11" s="976">
        <f>BM11*$D11</f>
        <v/>
      </c>
      <c r="BO11" s="975" t="n">
        <v>80334</v>
      </c>
      <c r="BP11" s="976">
        <f>BO11*$D11</f>
        <v/>
      </c>
      <c r="BQ11" s="975" t="n">
        <v>84071</v>
      </c>
      <c r="BR11" s="976">
        <f>BQ11*$D11</f>
        <v/>
      </c>
      <c r="BS11" s="975" t="n">
        <v>80080</v>
      </c>
      <c r="BT11" s="976">
        <f>BS11*$D11</f>
        <v/>
      </c>
      <c r="BU11" s="975" t="n">
        <v>73961</v>
      </c>
      <c r="BV11" s="976">
        <f>BU11*$D11</f>
        <v/>
      </c>
      <c r="BW11" s="975" t="n">
        <v>72380</v>
      </c>
      <c r="BX11" s="976">
        <f>BW11*$D11</f>
        <v/>
      </c>
      <c r="BY11" s="975" t="n">
        <v>74174</v>
      </c>
      <c r="BZ11" s="976">
        <f>BY11*$D11</f>
        <v/>
      </c>
      <c r="CA11" s="975" t="n">
        <v>68837</v>
      </c>
      <c r="CB11" s="976">
        <f>CA11*$D11</f>
        <v/>
      </c>
      <c r="CC11" s="975" t="n">
        <v>70386</v>
      </c>
      <c r="CD11" s="976">
        <f>CC11*$D11</f>
        <v/>
      </c>
      <c r="CE11" s="979">
        <f>(BG11+BI11+BK11+BM11+BO11+BQ11)/6</f>
        <v/>
      </c>
      <c r="CF11" s="976">
        <f>(BH11+BJ11+BL11+BN11+BP11+BR11)/6</f>
        <v/>
      </c>
      <c r="CG11" s="977">
        <f>(CC11+CA11+BY11+BW11+BU11+BS11+BQ11+BO11+BM11+BK11+BI11+BG11)/12</f>
        <v/>
      </c>
      <c r="CH11" s="978">
        <f>CG11*$D11</f>
        <v/>
      </c>
      <c r="CI11" s="980" t="n">
        <v>74251</v>
      </c>
      <c r="CJ11" s="976">
        <f>CI11*$D11</f>
        <v/>
      </c>
      <c r="CK11" s="15">
        <f>CH11/$CH$36%</f>
        <v/>
      </c>
      <c r="CL11" s="15" t="n">
        <v>8.43</v>
      </c>
      <c r="CM11" s="982" t="n">
        <v>58032</v>
      </c>
      <c r="CN11" s="976">
        <f>CM11*$D11</f>
        <v/>
      </c>
      <c r="CO11" s="982" t="n">
        <v>56770</v>
      </c>
      <c r="CP11" s="15">
        <f>CO11*$D11</f>
        <v/>
      </c>
      <c r="CQ11" s="982" t="n">
        <v>36787</v>
      </c>
      <c r="CR11" s="15">
        <f>CQ11*$D11</f>
        <v/>
      </c>
      <c r="CS11" s="982" t="n">
        <v>36194</v>
      </c>
      <c r="CT11" s="15">
        <f>CS11*$D11</f>
        <v/>
      </c>
      <c r="CU11" s="982" t="n">
        <v>70375</v>
      </c>
      <c r="CV11" s="15">
        <f>CU11*$D11</f>
        <v/>
      </c>
      <c r="CW11" s="982" t="n">
        <v>54995</v>
      </c>
      <c r="CX11" s="15">
        <f>CW11*$D11</f>
        <v/>
      </c>
      <c r="CY11" s="982" t="n"/>
      <c r="CZ11" s="15">
        <f>CY11*$D11</f>
        <v/>
      </c>
      <c r="DA11" s="982" t="n"/>
      <c r="DB11" s="15">
        <f>DA11*$D11</f>
        <v/>
      </c>
      <c r="DC11" s="982" t="n"/>
      <c r="DD11" s="15">
        <f>DC11*$D11</f>
        <v/>
      </c>
      <c r="DE11" s="982" t="n"/>
      <c r="DF11" s="15">
        <f>DE11*$D11</f>
        <v/>
      </c>
      <c r="DG11" s="982" t="n"/>
      <c r="DH11" s="15">
        <f>DG11*$D11</f>
        <v/>
      </c>
      <c r="DI11" s="982" t="n"/>
      <c r="DJ11" s="15">
        <f>DI11*$D11</f>
        <v/>
      </c>
      <c r="DK11" s="983">
        <f>SUM(CM11,CO11,CQ11,CS11,CU11,CW11,CY11,DA11,DC11,DE11,DG11,DI11)</f>
        <v/>
      </c>
      <c r="DL11" s="984">
        <f>SUM(CN11,CP11,CR11,CT11,CV11,CX11,CZ11,DB11,DD11,DF11,DH11,DJ11)</f>
        <v/>
      </c>
      <c r="DM11" s="985">
        <f>DK11/6</f>
        <v/>
      </c>
      <c r="DN11" s="985">
        <f>DL11/6</f>
        <v/>
      </c>
      <c r="DO11" s="69">
        <f>DN11/$DN$36%</f>
        <v/>
      </c>
      <c r="DP11" s="70">
        <f>DO11-CK11</f>
        <v/>
      </c>
      <c r="DQ11" s="986">
        <f>DN11/CF11*100-100</f>
        <v/>
      </c>
      <c r="DR11" s="986">
        <f>DN11/CH11*100-100</f>
        <v/>
      </c>
      <c r="DS11" s="986">
        <f>DN11-CH11</f>
        <v/>
      </c>
      <c r="DT11" s="986">
        <f>DN11-CF11</f>
        <v/>
      </c>
      <c r="DU11" s="986">
        <f>DS11/14</f>
        <v/>
      </c>
      <c r="DV11" s="986">
        <f>DT11/14</f>
        <v/>
      </c>
      <c r="DW11" s="986">
        <f>DV11*6</f>
        <v/>
      </c>
    </row>
    <row r="12">
      <c r="A12" s="7" t="n">
        <v>9</v>
      </c>
      <c r="B12" s="8" t="inlineStr">
        <is>
          <t>Zayawaddy Red(1 Liter)30%</t>
        </is>
      </c>
      <c r="C12" s="8" t="inlineStr">
        <is>
          <t>‌ကော်ဘူး</t>
        </is>
      </c>
      <c r="D12" s="7" t="n">
        <v>1</v>
      </c>
      <c r="E12" s="7" t="inlineStr">
        <is>
          <t>1 * 12</t>
        </is>
      </c>
      <c r="F12" s="7" t="n">
        <v>1580</v>
      </c>
      <c r="G12" s="975" t="n">
        <v>840</v>
      </c>
      <c r="H12" s="976">
        <f>G12*$D12</f>
        <v/>
      </c>
      <c r="I12" s="975" t="n"/>
      <c r="J12" s="976">
        <f>I12*$D12</f>
        <v/>
      </c>
      <c r="K12" s="975" t="n">
        <v>1812</v>
      </c>
      <c r="L12" s="976">
        <f>K12*$D12</f>
        <v/>
      </c>
      <c r="M12" s="975" t="n"/>
      <c r="N12" s="976">
        <f>M12*$D12</f>
        <v/>
      </c>
      <c r="O12" s="975" t="n"/>
      <c r="P12" s="976">
        <f>O12*$D12</f>
        <v/>
      </c>
      <c r="Q12" s="975" t="n"/>
      <c r="R12" s="976">
        <f>Q12*$D12</f>
        <v/>
      </c>
      <c r="S12" s="975" t="n"/>
      <c r="T12" s="976">
        <f>S12*$D12</f>
        <v/>
      </c>
      <c r="U12" s="975" t="n"/>
      <c r="V12" s="976">
        <f>U12*$D12</f>
        <v/>
      </c>
      <c r="W12" s="975" t="n"/>
      <c r="X12" s="976">
        <f>W12*$D12</f>
        <v/>
      </c>
      <c r="Y12" s="975" t="n"/>
      <c r="Z12" s="976">
        <f>Y12*$D12</f>
        <v/>
      </c>
      <c r="AA12" s="975" t="n"/>
      <c r="AB12" s="976">
        <f>AA12*$D12</f>
        <v/>
      </c>
      <c r="AC12" s="975" t="n">
        <v>120</v>
      </c>
      <c r="AD12" s="976">
        <f>AC12*$D12</f>
        <v/>
      </c>
      <c r="AE12" s="977">
        <f>(AC12+AA12+Y12+W12+U12+S12+Q12+O12+M12+K12+I12+G12)/12</f>
        <v/>
      </c>
      <c r="AF12" s="978">
        <f>AE12*$D12</f>
        <v/>
      </c>
      <c r="AG12" s="975" t="n"/>
      <c r="AH12" s="976">
        <f>AG12*$D12</f>
        <v/>
      </c>
      <c r="AI12" s="975" t="n"/>
      <c r="AJ12" s="976">
        <f>AI12*$D12</f>
        <v/>
      </c>
      <c r="AK12" s="975" t="n"/>
      <c r="AL12" s="976">
        <f>AK12*$D12</f>
        <v/>
      </c>
      <c r="AM12" s="975" t="n"/>
      <c r="AN12" s="976">
        <f>AM12*$D12</f>
        <v/>
      </c>
      <c r="AO12" s="975" t="n"/>
      <c r="AP12" s="976">
        <f>AO12*$D12</f>
        <v/>
      </c>
      <c r="AQ12" s="975" t="n"/>
      <c r="AR12" s="976">
        <f>AQ12*$D12</f>
        <v/>
      </c>
      <c r="AS12" s="975" t="n"/>
      <c r="AT12" s="976">
        <f>AS12*$D12</f>
        <v/>
      </c>
      <c r="AU12" s="975" t="n"/>
      <c r="AV12" s="976">
        <f>AU12*$D12</f>
        <v/>
      </c>
      <c r="AW12" s="975" t="n"/>
      <c r="AX12" s="976">
        <f>AW12*$D12</f>
        <v/>
      </c>
      <c r="AY12" s="975" t="n"/>
      <c r="AZ12" s="976">
        <f>AY12*$D12</f>
        <v/>
      </c>
      <c r="BA12" s="975" t="n"/>
      <c r="BB12" s="976">
        <f>BA12*$D12</f>
        <v/>
      </c>
      <c r="BC12" s="975" t="n"/>
      <c r="BD12" s="976">
        <f>BC12*$D12</f>
        <v/>
      </c>
      <c r="BE12" s="977">
        <f>(BC12+BA12+AY12+AW12+AU12+AS12+AQ12+AO12+AM12+AK12+AI12+AG12)/12</f>
        <v/>
      </c>
      <c r="BF12" s="978">
        <f>BE12*$D12</f>
        <v/>
      </c>
      <c r="BG12" s="975" t="n"/>
      <c r="BH12" s="976">
        <f>BG12*$D12</f>
        <v/>
      </c>
      <c r="BI12" s="975" t="n"/>
      <c r="BJ12" s="976">
        <f>BI12*$D12</f>
        <v/>
      </c>
      <c r="BK12" s="975" t="n"/>
      <c r="BL12" s="976">
        <f>BK12*$D12</f>
        <v/>
      </c>
      <c r="BM12" s="975" t="n"/>
      <c r="BN12" s="976">
        <f>BM12*$D12</f>
        <v/>
      </c>
      <c r="BO12" s="975" t="n"/>
      <c r="BP12" s="976">
        <f>BO12*$D12</f>
        <v/>
      </c>
      <c r="BQ12" s="975" t="n"/>
      <c r="BR12" s="976">
        <f>BQ12*$D12</f>
        <v/>
      </c>
      <c r="BS12" s="975" t="n"/>
      <c r="BT12" s="976">
        <f>BS12*$D12</f>
        <v/>
      </c>
      <c r="BU12" s="975" t="n"/>
      <c r="BV12" s="976">
        <f>BU12*$D12</f>
        <v/>
      </c>
      <c r="BW12" s="975" t="n"/>
      <c r="BX12" s="976">
        <f>BW12*$D12</f>
        <v/>
      </c>
      <c r="BY12" s="975" t="n"/>
      <c r="BZ12" s="976">
        <f>BY12*$D12</f>
        <v/>
      </c>
      <c r="CA12" s="975" t="n"/>
      <c r="CB12" s="976">
        <f>CA12*$D12</f>
        <v/>
      </c>
      <c r="CC12" s="975" t="n"/>
      <c r="CD12" s="976">
        <f>CC12*$D12</f>
        <v/>
      </c>
      <c r="CE12" s="979">
        <f>(BG12+BI12+BK12+BM12+BO12+BQ12)/6</f>
        <v/>
      </c>
      <c r="CF12" s="976">
        <f>(BH12+BJ12+BL12+BN12+BP12+BR12)/6</f>
        <v/>
      </c>
      <c r="CG12" s="977">
        <f>(CC12+CA12+BY12+BW12+BU12+BS12+BQ12+BO12+BM12+BK12+BI12+BG12)/12</f>
        <v/>
      </c>
      <c r="CH12" s="978">
        <f>CG12*$D12</f>
        <v/>
      </c>
      <c r="CI12" s="980" t="n"/>
      <c r="CJ12" s="976">
        <f>CI12*$D12</f>
        <v/>
      </c>
      <c r="CK12" s="15">
        <f>CH12/$CH$36%</f>
        <v/>
      </c>
      <c r="CL12" s="15" t="n"/>
      <c r="CM12" s="982" t="n"/>
      <c r="CN12" s="976">
        <f>CM12*$D12</f>
        <v/>
      </c>
      <c r="CO12" s="982" t="n"/>
      <c r="CP12" s="15">
        <f>CO12*$D12</f>
        <v/>
      </c>
      <c r="CQ12" s="982" t="n"/>
      <c r="CR12" s="15">
        <f>CQ12*$D12</f>
        <v/>
      </c>
      <c r="CS12" s="982" t="n"/>
      <c r="CT12" s="15">
        <f>CS12*$D12</f>
        <v/>
      </c>
      <c r="CU12" s="982" t="n">
        <v>840</v>
      </c>
      <c r="CV12" s="15">
        <f>CU12*$D12</f>
        <v/>
      </c>
      <c r="CW12" s="982" t="n">
        <v>1140</v>
      </c>
      <c r="CX12" s="15">
        <f>CW12*$D12</f>
        <v/>
      </c>
      <c r="CY12" s="982" t="n"/>
      <c r="CZ12" s="15">
        <f>CY12*$D12</f>
        <v/>
      </c>
      <c r="DA12" s="982" t="n"/>
      <c r="DB12" s="15">
        <f>DA12*$D12</f>
        <v/>
      </c>
      <c r="DC12" s="982" t="n"/>
      <c r="DD12" s="15">
        <f>DC12*$D12</f>
        <v/>
      </c>
      <c r="DE12" s="982" t="n"/>
      <c r="DF12" s="15">
        <f>DE12*$D12</f>
        <v/>
      </c>
      <c r="DG12" s="982" t="n"/>
      <c r="DH12" s="15">
        <f>DG12*$D12</f>
        <v/>
      </c>
      <c r="DI12" s="982" t="n"/>
      <c r="DJ12" s="15">
        <f>DI12*$D12</f>
        <v/>
      </c>
      <c r="DK12" s="983">
        <f>SUM(CM12,CO12,CQ12,CS12,CU12,CW12,CY12,DA12,DC12,DE12,DG12,DI12)</f>
        <v/>
      </c>
      <c r="DL12" s="984">
        <f>SUM(CN12,CP12,CR12,CT12,CV12,CX12,CZ12,DB12,DD12,DF12,DH12,DJ12)</f>
        <v/>
      </c>
      <c r="DM12" s="985">
        <f>DK12/6</f>
        <v/>
      </c>
      <c r="DN12" s="985">
        <f>DL12/6</f>
        <v/>
      </c>
      <c r="DO12" s="69">
        <f>DN12/$DN$36%</f>
        <v/>
      </c>
      <c r="DP12" s="70">
        <f>DO12-CK12</f>
        <v/>
      </c>
      <c r="DQ12" s="986">
        <f>DN12/CF12*100-100</f>
        <v/>
      </c>
      <c r="DR12" s="986">
        <f>DN12/CH12*100-100</f>
        <v/>
      </c>
      <c r="DS12" s="986">
        <f>DN12-CH12</f>
        <v/>
      </c>
      <c r="DT12" s="986">
        <f>DN12-CF12</f>
        <v/>
      </c>
      <c r="DU12" s="986">
        <f>DS12/14</f>
        <v/>
      </c>
      <c r="DV12" s="986">
        <f>DT12/14</f>
        <v/>
      </c>
      <c r="DW12" s="986">
        <f>DV12*6</f>
        <v/>
      </c>
    </row>
    <row r="13">
      <c r="A13" s="7" t="n">
        <v>10</v>
      </c>
      <c r="B13" s="8" t="inlineStr">
        <is>
          <t xml:space="preserve">Zayawaddy Red </t>
        </is>
      </c>
      <c r="C13" s="8" t="inlineStr">
        <is>
          <t>ပုလင်း</t>
        </is>
      </c>
      <c r="D13" s="7" t="n">
        <v>0.7</v>
      </c>
      <c r="E13" s="7" t="inlineStr">
        <is>
          <t>1 * 12</t>
        </is>
      </c>
      <c r="F13" s="7" t="n">
        <v>1700</v>
      </c>
      <c r="G13" s="975" t="n">
        <v>25776</v>
      </c>
      <c r="H13" s="976">
        <f>G13*$D13</f>
        <v/>
      </c>
      <c r="I13" s="975" t="n">
        <v>20160</v>
      </c>
      <c r="J13" s="976">
        <f>I13*$D13</f>
        <v/>
      </c>
      <c r="K13" s="975" t="n">
        <v>22660</v>
      </c>
      <c r="L13" s="976">
        <f>K13*$D13</f>
        <v/>
      </c>
      <c r="M13" s="975" t="n">
        <v>16679</v>
      </c>
      <c r="N13" s="976">
        <f>M13*$D13</f>
        <v/>
      </c>
      <c r="O13" s="975" t="n">
        <v>12936</v>
      </c>
      <c r="P13" s="976">
        <f>O13*$D13</f>
        <v/>
      </c>
      <c r="Q13" s="975" t="n">
        <v>12696</v>
      </c>
      <c r="R13" s="976">
        <f>Q13*$D13</f>
        <v/>
      </c>
      <c r="S13" s="975" t="n">
        <v>14820</v>
      </c>
      <c r="T13" s="976">
        <f>S13*$D13</f>
        <v/>
      </c>
      <c r="U13" s="975" t="n">
        <v>24228</v>
      </c>
      <c r="V13" s="976">
        <f>U13*$D13</f>
        <v/>
      </c>
      <c r="W13" s="975" t="n">
        <v>9156</v>
      </c>
      <c r="X13" s="976">
        <f>W13*$D13</f>
        <v/>
      </c>
      <c r="Y13" s="975" t="n">
        <v>8520</v>
      </c>
      <c r="Z13" s="976">
        <f>Y13*$D13</f>
        <v/>
      </c>
      <c r="AA13" s="975" t="n">
        <v>10776</v>
      </c>
      <c r="AB13" s="976">
        <f>AA13*$D13</f>
        <v/>
      </c>
      <c r="AC13" s="975" t="n">
        <v>8832</v>
      </c>
      <c r="AD13" s="976">
        <f>AC13*$D13</f>
        <v/>
      </c>
      <c r="AE13" s="977">
        <f>(AC13+AA13+Y13+W13+U13+S13+Q13+O13+M13+K13+I13+G13)/12</f>
        <v/>
      </c>
      <c r="AF13" s="978">
        <f>AE13*$D13</f>
        <v/>
      </c>
      <c r="AG13" s="975" t="n">
        <v>10740</v>
      </c>
      <c r="AH13" s="976">
        <f>AG13*$D13</f>
        <v/>
      </c>
      <c r="AI13" s="975" t="n">
        <v>5988</v>
      </c>
      <c r="AJ13" s="976">
        <f>AI13*$D13</f>
        <v/>
      </c>
      <c r="AK13" s="975" t="n">
        <v>9600</v>
      </c>
      <c r="AL13" s="976">
        <f>AK13*$D13</f>
        <v/>
      </c>
      <c r="AM13" s="975" t="n">
        <v>6972</v>
      </c>
      <c r="AN13" s="976">
        <f>AM13*$D13</f>
        <v/>
      </c>
      <c r="AO13" s="975" t="n">
        <v>6840</v>
      </c>
      <c r="AP13" s="976">
        <f>AO13*$D13</f>
        <v/>
      </c>
      <c r="AQ13" s="975" t="n">
        <v>7380</v>
      </c>
      <c r="AR13" s="976">
        <f>AQ13*$D13</f>
        <v/>
      </c>
      <c r="AS13" s="975" t="n">
        <v>4404</v>
      </c>
      <c r="AT13" s="976">
        <f>AS13*$D13</f>
        <v/>
      </c>
      <c r="AU13" s="975" t="n">
        <v>6624</v>
      </c>
      <c r="AV13" s="976">
        <f>AU13*$D13</f>
        <v/>
      </c>
      <c r="AW13" s="975" t="n">
        <v>4282</v>
      </c>
      <c r="AX13" s="976">
        <f>AW13*$D13</f>
        <v/>
      </c>
      <c r="AY13" s="975" t="n">
        <v>6540</v>
      </c>
      <c r="AZ13" s="976">
        <f>AY13*$D13</f>
        <v/>
      </c>
      <c r="BA13" s="975" t="n">
        <v>5640</v>
      </c>
      <c r="BB13" s="976">
        <f>BA13*$D13</f>
        <v/>
      </c>
      <c r="BC13" s="975" t="n">
        <v>5580</v>
      </c>
      <c r="BD13" s="976">
        <f>BC13*$D13</f>
        <v/>
      </c>
      <c r="BE13" s="977">
        <f>(BC13+BA13+AY13+AW13+AU13+AS13+AQ13+AO13+AM13+AK13+AI13+AG13)/12</f>
        <v/>
      </c>
      <c r="BF13" s="978">
        <f>BE13*$D13</f>
        <v/>
      </c>
      <c r="BG13" s="975" t="n">
        <v>6204</v>
      </c>
      <c r="BH13" s="976">
        <f>BG13*$D13</f>
        <v/>
      </c>
      <c r="BI13" s="975" t="n">
        <v>5268</v>
      </c>
      <c r="BJ13" s="976">
        <f>BI13*$D13</f>
        <v/>
      </c>
      <c r="BK13" s="975" t="n">
        <v>4440</v>
      </c>
      <c r="BL13" s="976">
        <f>BK13*$D13</f>
        <v/>
      </c>
      <c r="BM13" s="975" t="n">
        <v>3996</v>
      </c>
      <c r="BN13" s="976">
        <f>BM13*$D13</f>
        <v/>
      </c>
      <c r="BO13" s="975" t="n">
        <v>2436</v>
      </c>
      <c r="BP13" s="976">
        <f>BO13*$D13</f>
        <v/>
      </c>
      <c r="BQ13" s="975" t="n">
        <v>4006</v>
      </c>
      <c r="BR13" s="976">
        <f>BQ13*$D13</f>
        <v/>
      </c>
      <c r="BS13" s="975" t="n">
        <v>4020</v>
      </c>
      <c r="BT13" s="976">
        <f>BS13*$D13</f>
        <v/>
      </c>
      <c r="BU13" s="975" t="n">
        <v>3900</v>
      </c>
      <c r="BV13" s="976">
        <f>BU13*$D13</f>
        <v/>
      </c>
      <c r="BW13" s="975" t="n">
        <v>4788</v>
      </c>
      <c r="BX13" s="976">
        <f>BW13*$D13</f>
        <v/>
      </c>
      <c r="BY13" s="975" t="n">
        <v>4680</v>
      </c>
      <c r="BZ13" s="976">
        <f>BY13*$D13</f>
        <v/>
      </c>
      <c r="CA13" s="975" t="n">
        <v>4452</v>
      </c>
      <c r="CB13" s="976">
        <f>CA13*$D13</f>
        <v/>
      </c>
      <c r="CC13" s="975" t="n">
        <v>5232</v>
      </c>
      <c r="CD13" s="976">
        <f>CC13*$D13</f>
        <v/>
      </c>
      <c r="CE13" s="979">
        <f>(BG13+BI13+BK13+BM13+BO13+BQ13)/6</f>
        <v/>
      </c>
      <c r="CF13" s="976">
        <f>(BH13+BJ13+BL13+BN13+BP13+BR13)/6</f>
        <v/>
      </c>
      <c r="CG13" s="977">
        <f>(CC13+CA13+BY13+BW13+BU13+BS13+BQ13+BO13+BM13+BK13+BI13+BG13)/12</f>
        <v/>
      </c>
      <c r="CH13" s="978">
        <f>CG13*$D13</f>
        <v/>
      </c>
      <c r="CI13" s="980" t="n">
        <v>4452</v>
      </c>
      <c r="CJ13" s="976">
        <f>CI13*$D13</f>
        <v/>
      </c>
      <c r="CK13" s="15">
        <f>CH13/$CH$36%</f>
        <v/>
      </c>
      <c r="CL13" s="15" t="n"/>
      <c r="CM13" s="982" t="n">
        <v>4836</v>
      </c>
      <c r="CN13" s="976">
        <f>CM13*$D13</f>
        <v/>
      </c>
      <c r="CO13" s="982" t="n">
        <v>3924</v>
      </c>
      <c r="CP13" s="15">
        <f>CO13*$D13</f>
        <v/>
      </c>
      <c r="CQ13" s="982" t="n">
        <v>6216</v>
      </c>
      <c r="CR13" s="15">
        <f>CQ13*$D13</f>
        <v/>
      </c>
      <c r="CS13" s="982" t="n">
        <v>1416</v>
      </c>
      <c r="CT13" s="15">
        <f>CS13*$D13</f>
        <v/>
      </c>
      <c r="CU13" s="982" t="n">
        <v>2400</v>
      </c>
      <c r="CV13" s="15">
        <f>CU13*$D13</f>
        <v/>
      </c>
      <c r="CW13" s="982" t="n">
        <v>4740</v>
      </c>
      <c r="CX13" s="15">
        <f>CW13*$D13</f>
        <v/>
      </c>
      <c r="CY13" s="982" t="n"/>
      <c r="CZ13" s="15">
        <f>CY13*$D13</f>
        <v/>
      </c>
      <c r="DA13" s="982" t="n"/>
      <c r="DB13" s="15">
        <f>DA13*$D13</f>
        <v/>
      </c>
      <c r="DC13" s="982" t="n"/>
      <c r="DD13" s="15">
        <f>DC13*$D13</f>
        <v/>
      </c>
      <c r="DE13" s="982" t="n"/>
      <c r="DF13" s="15">
        <f>DE13*$D13</f>
        <v/>
      </c>
      <c r="DG13" s="982" t="n"/>
      <c r="DH13" s="15">
        <f>DG13*$D13</f>
        <v/>
      </c>
      <c r="DI13" s="982" t="n"/>
      <c r="DJ13" s="15">
        <f>DI13*$D13</f>
        <v/>
      </c>
      <c r="DK13" s="983">
        <f>SUM(CM13,CO13,CQ13,CS13,CU13,CW13,CY13,DA13,DC13,DE13,DG13,DI13)</f>
        <v/>
      </c>
      <c r="DL13" s="984">
        <f>SUM(CN13,CP13,CR13,CT13,CV13,CX13,CZ13,DB13,DD13,DF13,DH13,DJ13)</f>
        <v/>
      </c>
      <c r="DM13" s="985">
        <f>DK13/6</f>
        <v/>
      </c>
      <c r="DN13" s="985">
        <f>DL13/6</f>
        <v/>
      </c>
      <c r="DO13" s="69">
        <f>DN13/$DN$36%</f>
        <v/>
      </c>
      <c r="DP13" s="70">
        <f>DO13-CK13</f>
        <v/>
      </c>
      <c r="DQ13" s="986">
        <f>DN13/CF13*100-100</f>
        <v/>
      </c>
      <c r="DR13" s="986">
        <f>DN13/CH13*100-100</f>
        <v/>
      </c>
      <c r="DS13" s="986">
        <f>DN13-CH13</f>
        <v/>
      </c>
      <c r="DT13" s="986">
        <f>DN13-CF13</f>
        <v/>
      </c>
      <c r="DU13" s="986">
        <f>DS13/14</f>
        <v/>
      </c>
      <c r="DV13" s="986">
        <f>DT13/14</f>
        <v/>
      </c>
      <c r="DW13" s="986">
        <f>DV13*6</f>
        <v/>
      </c>
    </row>
    <row r="14">
      <c r="A14" s="7" t="n">
        <v>11</v>
      </c>
      <c r="B14" s="8" t="inlineStr">
        <is>
          <t>Zeyawaddy Rum (43%)</t>
        </is>
      </c>
      <c r="C14" s="8" t="inlineStr">
        <is>
          <t>ပုလင်း</t>
        </is>
      </c>
      <c r="D14" s="7" t="n">
        <v>0.68</v>
      </c>
      <c r="E14" s="7" t="inlineStr">
        <is>
          <t>1 * 12</t>
        </is>
      </c>
      <c r="F14" s="7" t="n">
        <v>1500</v>
      </c>
      <c r="G14" s="975" t="n"/>
      <c r="H14" s="976">
        <f>G14*$D14</f>
        <v/>
      </c>
      <c r="I14" s="975" t="n"/>
      <c r="J14" s="976">
        <f>I14*$D14</f>
        <v/>
      </c>
      <c r="K14" s="975" t="n"/>
      <c r="L14" s="976">
        <f>K14*$D14</f>
        <v/>
      </c>
      <c r="M14" s="975" t="n"/>
      <c r="N14" s="976">
        <f>M14*$D14</f>
        <v/>
      </c>
      <c r="O14" s="975" t="n"/>
      <c r="P14" s="976">
        <f>O14*$D14</f>
        <v/>
      </c>
      <c r="Q14" s="975" t="n"/>
      <c r="R14" s="976">
        <f>Q14*$D14</f>
        <v/>
      </c>
      <c r="S14" s="975" t="n"/>
      <c r="T14" s="976">
        <f>S14*$D14</f>
        <v/>
      </c>
      <c r="U14" s="975" t="n"/>
      <c r="V14" s="976">
        <f>U14*$D14</f>
        <v/>
      </c>
      <c r="W14" s="975" t="n"/>
      <c r="X14" s="976">
        <f>W14*$D14</f>
        <v/>
      </c>
      <c r="Y14" s="975" t="n"/>
      <c r="Z14" s="976">
        <f>Y14*$D14</f>
        <v/>
      </c>
      <c r="AA14" s="975" t="n"/>
      <c r="AB14" s="976">
        <f>AA14*$D14</f>
        <v/>
      </c>
      <c r="AC14" s="975" t="n"/>
      <c r="AD14" s="976">
        <f>AC14*$D14</f>
        <v/>
      </c>
      <c r="AE14" s="977">
        <f>(AC14+AA14+Y14+W14+U14+S14+Q14+O14+M14+K14+I14+G14)/12</f>
        <v/>
      </c>
      <c r="AF14" s="978">
        <f>AE14*$D14</f>
        <v/>
      </c>
      <c r="AG14" s="975" t="n"/>
      <c r="AH14" s="976">
        <f>AG14*$D14</f>
        <v/>
      </c>
      <c r="AI14" s="975" t="n"/>
      <c r="AJ14" s="976">
        <f>AI14*$D14</f>
        <v/>
      </c>
      <c r="AK14" s="975" t="n"/>
      <c r="AL14" s="976">
        <f>AK14*$D14</f>
        <v/>
      </c>
      <c r="AM14" s="975" t="n"/>
      <c r="AN14" s="976">
        <f>AM14*$D14</f>
        <v/>
      </c>
      <c r="AO14" s="975" t="n"/>
      <c r="AP14" s="976">
        <f>AO14*$D14</f>
        <v/>
      </c>
      <c r="AQ14" s="975" t="n"/>
      <c r="AR14" s="976">
        <f>AQ14*$D14</f>
        <v/>
      </c>
      <c r="AS14" s="975" t="n"/>
      <c r="AT14" s="976">
        <f>AS14*$D14</f>
        <v/>
      </c>
      <c r="AU14" s="975" t="n">
        <v>264</v>
      </c>
      <c r="AV14" s="976">
        <f>AU14*$D14</f>
        <v/>
      </c>
      <c r="AW14" s="975" t="n">
        <v>1668</v>
      </c>
      <c r="AX14" s="976">
        <f>AW14*$D14</f>
        <v/>
      </c>
      <c r="AY14" s="975" t="n">
        <v>4235</v>
      </c>
      <c r="AZ14" s="976">
        <f>AY14*$D14</f>
        <v/>
      </c>
      <c r="BA14" s="975" t="n">
        <v>576</v>
      </c>
      <c r="BB14" s="976">
        <f>BA14*$D14</f>
        <v/>
      </c>
      <c r="BC14" s="975" t="n">
        <v>324</v>
      </c>
      <c r="BD14" s="976">
        <f>BC14*$D14</f>
        <v/>
      </c>
      <c r="BE14" s="977">
        <f>(BC14+BA14+AY14+AW14+AU14+AS14+AQ14+AO14+AM14+AK14+AI14+AG14)/12</f>
        <v/>
      </c>
      <c r="BF14" s="978">
        <f>BE14*$D14</f>
        <v/>
      </c>
      <c r="BG14" s="975" t="n">
        <v>1200</v>
      </c>
      <c r="BH14" s="976">
        <f>BG14*$D14</f>
        <v/>
      </c>
      <c r="BI14" s="975" t="n">
        <v>611</v>
      </c>
      <c r="BJ14" s="976">
        <f>BI14*$D14</f>
        <v/>
      </c>
      <c r="BK14" s="975" t="n">
        <v>1647</v>
      </c>
      <c r="BL14" s="976">
        <f>BK14*$D14</f>
        <v/>
      </c>
      <c r="BM14" s="975" t="n">
        <v>1038</v>
      </c>
      <c r="BN14" s="976">
        <f>BM14*$D14</f>
        <v/>
      </c>
      <c r="BO14" s="975" t="n">
        <v>283</v>
      </c>
      <c r="BP14" s="976">
        <f>BO14*$D14</f>
        <v/>
      </c>
      <c r="BQ14" s="975" t="n">
        <v>674</v>
      </c>
      <c r="BR14" s="976">
        <f>BQ14*$D14</f>
        <v/>
      </c>
      <c r="BS14" s="975" t="n">
        <v>670</v>
      </c>
      <c r="BT14" s="976">
        <f>BS14*$D14</f>
        <v/>
      </c>
      <c r="BU14" s="975" t="n">
        <v>624</v>
      </c>
      <c r="BV14" s="976">
        <f>BU14*$D14</f>
        <v/>
      </c>
      <c r="BW14" s="975" t="n">
        <v>984</v>
      </c>
      <c r="BX14" s="976">
        <f>BW14*$D14</f>
        <v/>
      </c>
      <c r="BY14" s="975" t="n">
        <v>712</v>
      </c>
      <c r="BZ14" s="976">
        <f>BY14*$D14</f>
        <v/>
      </c>
      <c r="CA14" s="975" t="n">
        <v>528</v>
      </c>
      <c r="CB14" s="976">
        <f>CA14*$D14</f>
        <v/>
      </c>
      <c r="CC14" s="975" t="n">
        <v>492</v>
      </c>
      <c r="CD14" s="976">
        <f>CC14*$D14</f>
        <v/>
      </c>
      <c r="CE14" s="979">
        <f>(BG14+BI14+BK14+BM14+BO14+BQ14)/6</f>
        <v/>
      </c>
      <c r="CF14" s="976">
        <f>(BH14+BJ14+BL14+BN14+BP14+BR14)/6</f>
        <v/>
      </c>
      <c r="CG14" s="977">
        <f>(CC14+CA14+BY14+BW14+BU14+BS14+BQ14+BO14+BM14+BK14+BI14+BG14)/12</f>
        <v/>
      </c>
      <c r="CH14" s="978">
        <f>CG14*$D14</f>
        <v/>
      </c>
      <c r="CI14" s="980" t="n">
        <v>788</v>
      </c>
      <c r="CJ14" s="976">
        <f>CI14*$D14</f>
        <v/>
      </c>
      <c r="CK14" s="15">
        <f>CH14/$CH$36%</f>
        <v/>
      </c>
      <c r="CL14" s="15" t="n"/>
      <c r="CM14" s="982" t="n">
        <v>360</v>
      </c>
      <c r="CN14" s="976">
        <f>CM14*$D14</f>
        <v/>
      </c>
      <c r="CO14" s="982" t="n">
        <v>360</v>
      </c>
      <c r="CP14" s="15">
        <f>CO14*$D14</f>
        <v/>
      </c>
      <c r="CQ14" s="982" t="n">
        <v>240</v>
      </c>
      <c r="CR14" s="15">
        <f>CQ14*$D14</f>
        <v/>
      </c>
      <c r="CS14" s="982" t="n">
        <v>1116</v>
      </c>
      <c r="CT14" s="15">
        <f>CS14*$D14</f>
        <v/>
      </c>
      <c r="CU14" s="982" t="n">
        <v>480</v>
      </c>
      <c r="CV14" s="15">
        <f>CU14*$D14</f>
        <v/>
      </c>
      <c r="CW14" s="982" t="n">
        <v>420</v>
      </c>
      <c r="CX14" s="15">
        <f>CW14*$D14</f>
        <v/>
      </c>
      <c r="CY14" s="982" t="n"/>
      <c r="CZ14" s="15">
        <f>CY14*$D14</f>
        <v/>
      </c>
      <c r="DA14" s="982" t="n"/>
      <c r="DB14" s="15">
        <f>DA14*$D14</f>
        <v/>
      </c>
      <c r="DC14" s="982" t="n"/>
      <c r="DD14" s="15">
        <f>DC14*$D14</f>
        <v/>
      </c>
      <c r="DE14" s="982" t="n"/>
      <c r="DF14" s="15">
        <f>DE14*$D14</f>
        <v/>
      </c>
      <c r="DG14" s="982" t="n"/>
      <c r="DH14" s="15">
        <f>DG14*$D14</f>
        <v/>
      </c>
      <c r="DI14" s="982" t="n"/>
      <c r="DJ14" s="15">
        <f>DI14*$D14</f>
        <v/>
      </c>
      <c r="DK14" s="983">
        <f>SUM(CM14,CO14,CQ14,CS14,CU14,CW14,CY14,DA14,DC14,DE14,DG14,DI14)</f>
        <v/>
      </c>
      <c r="DL14" s="984">
        <f>SUM(CN14,CP14,CR14,CT14,CV14,CX14,CZ14,DB14,DD14,DF14,DH14,DJ14)</f>
        <v/>
      </c>
      <c r="DM14" s="985">
        <f>DK14/6</f>
        <v/>
      </c>
      <c r="DN14" s="985">
        <f>DL14/6</f>
        <v/>
      </c>
      <c r="DO14" s="69">
        <f>DN14/$DN$36%</f>
        <v/>
      </c>
      <c r="DP14" s="70">
        <f>DO14-CK14</f>
        <v/>
      </c>
      <c r="DQ14" s="986">
        <f>DN14/CF14*100-100</f>
        <v/>
      </c>
      <c r="DR14" s="986">
        <f>DN14/CH14*100-100</f>
        <v/>
      </c>
      <c r="DS14" s="986">
        <f>DN14-CH14</f>
        <v/>
      </c>
      <c r="DT14" s="986">
        <f>DN14-CF14</f>
        <v/>
      </c>
      <c r="DU14" s="986">
        <f>DS14/14</f>
        <v/>
      </c>
      <c r="DV14" s="986">
        <f>DT14/14</f>
        <v/>
      </c>
      <c r="DW14" s="986">
        <f>DV14*6</f>
        <v/>
      </c>
    </row>
    <row r="15">
      <c r="A15" s="7" t="n">
        <v>12</v>
      </c>
      <c r="B15" s="8" t="inlineStr">
        <is>
          <t xml:space="preserve">Zayawaddy Red </t>
        </is>
      </c>
      <c r="C15" s="8" t="inlineStr">
        <is>
          <t>ပုလင်း</t>
        </is>
      </c>
      <c r="D15" s="7" t="n">
        <v>0.64</v>
      </c>
      <c r="E15" s="7" t="inlineStr">
        <is>
          <t>1 * 14</t>
        </is>
      </c>
      <c r="F15" s="7" t="n">
        <v>1230</v>
      </c>
      <c r="G15" s="975" t="n">
        <v>39676</v>
      </c>
      <c r="H15" s="976">
        <f>G15*$D15</f>
        <v/>
      </c>
      <c r="I15" s="975" t="n">
        <v>47110</v>
      </c>
      <c r="J15" s="976">
        <f>I15*$D15</f>
        <v/>
      </c>
      <c r="K15" s="975" t="n">
        <v>48888</v>
      </c>
      <c r="L15" s="976">
        <f>K15*$D15</f>
        <v/>
      </c>
      <c r="M15" s="975" t="n">
        <v>33124</v>
      </c>
      <c r="N15" s="976">
        <f>M15*$D15</f>
        <v/>
      </c>
      <c r="O15" s="975" t="n">
        <v>38360</v>
      </c>
      <c r="P15" s="976">
        <f>O15*$D15</f>
        <v/>
      </c>
      <c r="Q15" s="975" t="n">
        <v>36918</v>
      </c>
      <c r="R15" s="976">
        <f>Q15*$D15</f>
        <v/>
      </c>
      <c r="S15" s="975" t="n">
        <v>42098</v>
      </c>
      <c r="T15" s="976">
        <f>S15*$D15</f>
        <v/>
      </c>
      <c r="U15" s="975" t="n">
        <v>45248</v>
      </c>
      <c r="V15" s="976">
        <f>U15*$D15</f>
        <v/>
      </c>
      <c r="W15" s="975" t="n">
        <v>37324</v>
      </c>
      <c r="X15" s="976">
        <f>W15*$D15</f>
        <v/>
      </c>
      <c r="Y15" s="975" t="n">
        <v>43708</v>
      </c>
      <c r="Z15" s="976">
        <f>Y15*$D15</f>
        <v/>
      </c>
      <c r="AA15" s="975" t="n">
        <v>44828</v>
      </c>
      <c r="AB15" s="976">
        <f>AA15*$D15</f>
        <v/>
      </c>
      <c r="AC15" s="975" t="n">
        <v>54670</v>
      </c>
      <c r="AD15" s="976">
        <f>AC15*$D15</f>
        <v/>
      </c>
      <c r="AE15" s="977">
        <f>(AC15+AA15+Y15+W15+U15+S15+Q15+O15+M15+K15+I15+G15)/12</f>
        <v/>
      </c>
      <c r="AF15" s="978">
        <f>AE15*$D15</f>
        <v/>
      </c>
      <c r="AG15" s="975" t="n">
        <v>53162</v>
      </c>
      <c r="AH15" s="976">
        <f>AG15*$D15</f>
        <v/>
      </c>
      <c r="AI15" s="975" t="n">
        <v>47572</v>
      </c>
      <c r="AJ15" s="976">
        <f>AI15*$D15</f>
        <v/>
      </c>
      <c r="AK15" s="975" t="n">
        <v>52598</v>
      </c>
      <c r="AL15" s="976">
        <f>AK15*$D15</f>
        <v/>
      </c>
      <c r="AM15" s="975" t="n">
        <v>43540</v>
      </c>
      <c r="AN15" s="976">
        <f>AM15*$D15</f>
        <v/>
      </c>
      <c r="AO15" s="975" t="n">
        <v>34048</v>
      </c>
      <c r="AP15" s="976">
        <f>AO15*$D15</f>
        <v/>
      </c>
      <c r="AQ15" s="975" t="n">
        <v>44774</v>
      </c>
      <c r="AR15" s="976">
        <f>AQ15*$D15</f>
        <v/>
      </c>
      <c r="AS15" s="975" t="n">
        <v>48580</v>
      </c>
      <c r="AT15" s="976">
        <f>AS15*$D15</f>
        <v/>
      </c>
      <c r="AU15" s="975" t="n">
        <v>50008</v>
      </c>
      <c r="AV15" s="976">
        <f>AU15*$D15</f>
        <v/>
      </c>
      <c r="AW15" s="975" t="n">
        <v>46382</v>
      </c>
      <c r="AX15" s="976">
        <f>AW15*$D15</f>
        <v/>
      </c>
      <c r="AY15" s="975" t="n">
        <v>41111</v>
      </c>
      <c r="AZ15" s="976">
        <f>AY15*$D15</f>
        <v/>
      </c>
      <c r="BA15" s="975" t="n">
        <v>53928</v>
      </c>
      <c r="BB15" s="976">
        <f>BA15*$D15</f>
        <v/>
      </c>
      <c r="BC15" s="975" t="n">
        <v>67326</v>
      </c>
      <c r="BD15" s="976">
        <f>BC15*$D15</f>
        <v/>
      </c>
      <c r="BE15" s="977">
        <f>(BC15+BA15+AY15+AW15+AU15+AS15+AQ15+AO15+AM15+AK15+AI15+AG15)/12</f>
        <v/>
      </c>
      <c r="BF15" s="978">
        <f>BE15*$D15</f>
        <v/>
      </c>
      <c r="BG15" s="975" t="n">
        <v>58324</v>
      </c>
      <c r="BH15" s="976">
        <f>BG15*$D15</f>
        <v/>
      </c>
      <c r="BI15" s="975" t="n">
        <v>52393</v>
      </c>
      <c r="BJ15" s="976">
        <f>BI15*$D15</f>
        <v/>
      </c>
      <c r="BK15" s="975" t="n">
        <v>52290</v>
      </c>
      <c r="BL15" s="976">
        <f>BK15*$D15</f>
        <v/>
      </c>
      <c r="BM15" s="975" t="n">
        <v>51660</v>
      </c>
      <c r="BN15" s="976">
        <f>BM15*$D15</f>
        <v/>
      </c>
      <c r="BO15" s="975" t="n">
        <v>50582</v>
      </c>
      <c r="BP15" s="976">
        <f>BO15*$D15</f>
        <v/>
      </c>
      <c r="BQ15" s="975" t="n">
        <v>50162</v>
      </c>
      <c r="BR15" s="976">
        <f>BQ15*$D15</f>
        <v/>
      </c>
      <c r="BS15" s="975" t="n">
        <v>47579</v>
      </c>
      <c r="BT15" s="976">
        <f>BS15*$D15</f>
        <v/>
      </c>
      <c r="BU15" s="975" t="n">
        <v>54922</v>
      </c>
      <c r="BV15" s="976">
        <f>BU15*$D15</f>
        <v/>
      </c>
      <c r="BW15" s="975" t="n">
        <v>54362</v>
      </c>
      <c r="BX15" s="976">
        <f>BW15*$D15</f>
        <v/>
      </c>
      <c r="BY15" s="975" t="n">
        <v>53634</v>
      </c>
      <c r="BZ15" s="976">
        <f>BY15*$D15</f>
        <v/>
      </c>
      <c r="CA15" s="975" t="n">
        <v>53928</v>
      </c>
      <c r="CB15" s="976">
        <f>CA15*$D15</f>
        <v/>
      </c>
      <c r="CC15" s="975" t="n">
        <v>54544</v>
      </c>
      <c r="CD15" s="976">
        <f>CC15*$D15</f>
        <v/>
      </c>
      <c r="CE15" s="979">
        <f>(BG15+BI15+BK15+BM15+BO15+BQ15)/6</f>
        <v/>
      </c>
      <c r="CF15" s="976">
        <f>(BH15+BJ15+BL15+BN15+BP15+BR15)/6</f>
        <v/>
      </c>
      <c r="CG15" s="977">
        <f>(CC15+CA15+BY15+BW15+BU15+BS15+BQ15+BO15+BM15+BK15+BI15+BG15)/12</f>
        <v/>
      </c>
      <c r="CH15" s="978">
        <f>CG15*$D15</f>
        <v/>
      </c>
      <c r="CI15" s="980" t="n">
        <v>52865</v>
      </c>
      <c r="CJ15" s="976">
        <f>CI15*$D15</f>
        <v/>
      </c>
      <c r="CK15" s="15">
        <f>CH15/$CH$36%</f>
        <v/>
      </c>
      <c r="CL15" s="15" t="n"/>
      <c r="CM15" s="982" t="n">
        <v>57739</v>
      </c>
      <c r="CN15" s="976">
        <f>CM15*$D15</f>
        <v/>
      </c>
      <c r="CO15" s="982" t="n">
        <v>45556</v>
      </c>
      <c r="CP15" s="15">
        <f>CO15*$D15</f>
        <v/>
      </c>
      <c r="CQ15" s="982" t="n">
        <v>63224</v>
      </c>
      <c r="CR15" s="15">
        <f>CQ15*$D15</f>
        <v/>
      </c>
      <c r="CS15" s="982" t="n">
        <v>50397</v>
      </c>
      <c r="CT15" s="15">
        <f>CS15*$D15</f>
        <v/>
      </c>
      <c r="CU15" s="982" t="n">
        <v>50260</v>
      </c>
      <c r="CV15" s="15">
        <f>CU15*$D15</f>
        <v/>
      </c>
      <c r="CW15" s="982" t="n">
        <v>51932</v>
      </c>
      <c r="CX15" s="15">
        <f>CW15*$D15</f>
        <v/>
      </c>
      <c r="CY15" s="982" t="n"/>
      <c r="CZ15" s="15">
        <f>CY15*$D15</f>
        <v/>
      </c>
      <c r="DA15" s="982" t="n"/>
      <c r="DB15" s="15">
        <f>DA15*$D15</f>
        <v/>
      </c>
      <c r="DC15" s="982" t="n"/>
      <c r="DD15" s="15">
        <f>DC15*$D15</f>
        <v/>
      </c>
      <c r="DE15" s="982" t="n"/>
      <c r="DF15" s="15">
        <f>DE15*$D15</f>
        <v/>
      </c>
      <c r="DG15" s="982" t="n"/>
      <c r="DH15" s="15">
        <f>DG15*$D15</f>
        <v/>
      </c>
      <c r="DI15" s="982" t="n"/>
      <c r="DJ15" s="15">
        <f>DI15*$D15</f>
        <v/>
      </c>
      <c r="DK15" s="983">
        <f>SUM(CM15,CO15,CQ15,CS15,CU15,CW15,CY15,DA15,DC15,DE15,DG15,DI15)</f>
        <v/>
      </c>
      <c r="DL15" s="984">
        <f>SUM(CN15,CP15,CR15,CT15,CV15,CX15,CZ15,DB15,DD15,DF15,DH15,DJ15)</f>
        <v/>
      </c>
      <c r="DM15" s="985">
        <f>DK15/6</f>
        <v/>
      </c>
      <c r="DN15" s="985">
        <f>DL15/6</f>
        <v/>
      </c>
      <c r="DO15" s="69">
        <f>DN15/$DN$36%</f>
        <v/>
      </c>
      <c r="DP15" s="70">
        <f>DO15-CK15</f>
        <v/>
      </c>
      <c r="DQ15" s="986">
        <f>DN15/CF15*100-100</f>
        <v/>
      </c>
      <c r="DR15" s="986">
        <f>DN15/CH15*100-100</f>
        <v/>
      </c>
      <c r="DS15" s="986">
        <f>DN15-CH15</f>
        <v/>
      </c>
      <c r="DT15" s="986">
        <f>DN15-CF15</f>
        <v/>
      </c>
      <c r="DU15" s="986">
        <f>DS15/14</f>
        <v/>
      </c>
      <c r="DV15" s="986">
        <f>DT15/14</f>
        <v/>
      </c>
      <c r="DW15" s="986">
        <f>DV15*6</f>
        <v/>
      </c>
    </row>
    <row r="16">
      <c r="A16" s="7" t="n">
        <v>13</v>
      </c>
      <c r="B16" s="8" t="inlineStr">
        <is>
          <t>ဇေယျဝတီ Red (ပု)</t>
        </is>
      </c>
      <c r="C16" s="8" t="inlineStr">
        <is>
          <t>ပုလင်း</t>
        </is>
      </c>
      <c r="D16" s="7" t="n">
        <v>0.64</v>
      </c>
      <c r="E16" s="7" t="inlineStr">
        <is>
          <t>1 * 14</t>
        </is>
      </c>
      <c r="F16" s="7" t="n">
        <v>1500</v>
      </c>
      <c r="G16" s="975" t="n"/>
      <c r="H16" s="976">
        <f>G16*$D16</f>
        <v/>
      </c>
      <c r="I16" s="975" t="n"/>
      <c r="J16" s="976">
        <f>I16*$D16</f>
        <v/>
      </c>
      <c r="K16" s="975" t="n"/>
      <c r="L16" s="976">
        <f>K16*$D16</f>
        <v/>
      </c>
      <c r="M16" s="975" t="n"/>
      <c r="N16" s="976">
        <f>M16*$D16</f>
        <v/>
      </c>
      <c r="O16" s="975" t="n"/>
      <c r="P16" s="976">
        <f>O16*$D16</f>
        <v/>
      </c>
      <c r="Q16" s="975" t="n"/>
      <c r="R16" s="976">
        <f>Q16*$D16</f>
        <v/>
      </c>
      <c r="S16" s="975" t="n"/>
      <c r="T16" s="976">
        <f>S16*$D16</f>
        <v/>
      </c>
      <c r="U16" s="975" t="n"/>
      <c r="V16" s="976">
        <f>U16*$D16</f>
        <v/>
      </c>
      <c r="W16" s="975" t="n"/>
      <c r="X16" s="976">
        <f>W16*$D16</f>
        <v/>
      </c>
      <c r="Y16" s="975" t="n"/>
      <c r="Z16" s="976">
        <f>Y16*$D16</f>
        <v/>
      </c>
      <c r="AA16" s="975" t="n"/>
      <c r="AB16" s="976">
        <f>AA16*$D16</f>
        <v/>
      </c>
      <c r="AC16" s="975" t="n"/>
      <c r="AD16" s="976">
        <f>AC16*$D16</f>
        <v/>
      </c>
      <c r="AE16" s="977">
        <f>(AC16+AA16+Y16+W16+U16+S16+Q16+O16+M16+K16+I16+G16)/12</f>
        <v/>
      </c>
      <c r="AF16" s="978">
        <f>AE16*$D16</f>
        <v/>
      </c>
      <c r="AG16" s="975" t="n"/>
      <c r="AH16" s="976">
        <f>AG16*$D16</f>
        <v/>
      </c>
      <c r="AI16" s="975" t="n"/>
      <c r="AJ16" s="976">
        <f>AI16*$D16</f>
        <v/>
      </c>
      <c r="AK16" s="975" t="n"/>
      <c r="AL16" s="976">
        <f>AK16*$D16</f>
        <v/>
      </c>
      <c r="AM16" s="975" t="n"/>
      <c r="AN16" s="976">
        <f>AM16*$D16</f>
        <v/>
      </c>
      <c r="AO16" s="975" t="n"/>
      <c r="AP16" s="976">
        <f>AO16*$D16</f>
        <v/>
      </c>
      <c r="AQ16" s="975" t="n"/>
      <c r="AR16" s="976">
        <f>AQ16*$D16</f>
        <v/>
      </c>
      <c r="AS16" s="975" t="n"/>
      <c r="AT16" s="976">
        <f>AS16*$D16</f>
        <v/>
      </c>
      <c r="AU16" s="975" t="n"/>
      <c r="AV16" s="976">
        <f>AU16*$D16</f>
        <v/>
      </c>
      <c r="AW16" s="975" t="n"/>
      <c r="AX16" s="976">
        <f>AW16*$D16</f>
        <v/>
      </c>
      <c r="AY16" s="975" t="n"/>
      <c r="AZ16" s="976">
        <f>AY16*$D16</f>
        <v/>
      </c>
      <c r="BA16" s="975" t="n"/>
      <c r="BB16" s="976">
        <f>BA16*$D16</f>
        <v/>
      </c>
      <c r="BC16" s="975" t="n"/>
      <c r="BD16" s="976">
        <f>BC16*$D16</f>
        <v/>
      </c>
      <c r="BE16" s="977">
        <f>(BC16+BA16+AY16+AW16+AU16+AS16+AQ16+AO16+AM16+AK16+AI16+AG16)/12</f>
        <v/>
      </c>
      <c r="BF16" s="978">
        <f>BE16*$D16</f>
        <v/>
      </c>
      <c r="BG16" s="975" t="n"/>
      <c r="BH16" s="976">
        <f>BG16*$D16</f>
        <v/>
      </c>
      <c r="BI16" s="975" t="n"/>
      <c r="BJ16" s="976">
        <f>BI16*$D16</f>
        <v/>
      </c>
      <c r="BK16" s="975" t="n">
        <v>1470</v>
      </c>
      <c r="BL16" s="976">
        <f>BK16*$D16</f>
        <v/>
      </c>
      <c r="BM16" s="975" t="n">
        <v>7000</v>
      </c>
      <c r="BN16" s="976">
        <f>BM16*$D16</f>
        <v/>
      </c>
      <c r="BO16" s="975" t="n">
        <v>1826</v>
      </c>
      <c r="BP16" s="976">
        <f>BO16*$D16</f>
        <v/>
      </c>
      <c r="BQ16" s="975" t="n">
        <v>2906</v>
      </c>
      <c r="BR16" s="976">
        <f>BQ16*$D16</f>
        <v/>
      </c>
      <c r="BS16" s="975" t="n">
        <v>3304</v>
      </c>
      <c r="BT16" s="976">
        <f>BS16*$D16</f>
        <v/>
      </c>
      <c r="BU16" s="975" t="n">
        <v>3584</v>
      </c>
      <c r="BV16" s="976">
        <f>BU16*$D16</f>
        <v/>
      </c>
      <c r="BW16" s="975" t="n">
        <v>1974</v>
      </c>
      <c r="BX16" s="976">
        <f>BW16*$D16</f>
        <v/>
      </c>
      <c r="BY16" s="975" t="n">
        <v>3724</v>
      </c>
      <c r="BZ16" s="976">
        <f>BY16*$D16</f>
        <v/>
      </c>
      <c r="CA16" s="975" t="n">
        <v>2646</v>
      </c>
      <c r="CB16" s="976">
        <f>CA16*$D16</f>
        <v/>
      </c>
      <c r="CC16" s="975" t="n">
        <v>3262</v>
      </c>
      <c r="CD16" s="976">
        <f>CC16*$D16</f>
        <v/>
      </c>
      <c r="CE16" s="979">
        <f>(BG16+BI16+BK16+BM16+BO16+BQ16)/6</f>
        <v/>
      </c>
      <c r="CF16" s="976">
        <f>(BH16+BJ16+BL16+BN16+BP16+BR16)/6</f>
        <v/>
      </c>
      <c r="CG16" s="977">
        <f>(CC16+CA16+BY16+BW16+BU16+BS16+BQ16+BO16+BM16+BK16+BI16+BG16)/12</f>
        <v/>
      </c>
      <c r="CH16" s="978">
        <f>CG16*$D16</f>
        <v/>
      </c>
      <c r="CI16" s="980" t="n">
        <v>2641</v>
      </c>
      <c r="CJ16" s="976">
        <f>CI16*$D16</f>
        <v/>
      </c>
      <c r="CK16" s="15">
        <f>CH16/$CH$36%</f>
        <v/>
      </c>
      <c r="CL16" s="15" t="n">
        <v>6.95</v>
      </c>
      <c r="CM16" s="982" t="n">
        <v>3080</v>
      </c>
      <c r="CN16" s="976">
        <f>CM16*$D16</f>
        <v/>
      </c>
      <c r="CO16" s="982" t="n">
        <v>2198</v>
      </c>
      <c r="CP16" s="15">
        <f>CO16*$D16</f>
        <v/>
      </c>
      <c r="CQ16" s="982" t="n">
        <v>1960</v>
      </c>
      <c r="CR16" s="15">
        <f>CQ16*$D16</f>
        <v/>
      </c>
      <c r="CS16" s="982" t="n">
        <v>504</v>
      </c>
      <c r="CT16" s="15">
        <f>CS16*$D16</f>
        <v/>
      </c>
      <c r="CU16" s="982" t="n">
        <v>3220</v>
      </c>
      <c r="CV16" s="15">
        <f>CU16*$D16</f>
        <v/>
      </c>
      <c r="CW16" s="982" t="n">
        <v>1764</v>
      </c>
      <c r="CX16" s="15">
        <f>CW16*$D16</f>
        <v/>
      </c>
      <c r="CY16" s="982" t="n"/>
      <c r="CZ16" s="15">
        <f>CY16*$D16</f>
        <v/>
      </c>
      <c r="DA16" s="982" t="n"/>
      <c r="DB16" s="15">
        <f>DA16*$D16</f>
        <v/>
      </c>
      <c r="DC16" s="982" t="n"/>
      <c r="DD16" s="15">
        <f>DC16*$D16</f>
        <v/>
      </c>
      <c r="DE16" s="982" t="n"/>
      <c r="DF16" s="15">
        <f>DE16*$D16</f>
        <v/>
      </c>
      <c r="DG16" s="982" t="n"/>
      <c r="DH16" s="15">
        <f>DG16*$D16</f>
        <v/>
      </c>
      <c r="DI16" s="982" t="n"/>
      <c r="DJ16" s="15">
        <f>DI16*$D16</f>
        <v/>
      </c>
      <c r="DK16" s="983">
        <f>SUM(CM16,CO16,CQ16,CS16,CU16,CW16,CY16,DA16,DC16,DE16,DG16,DI16)</f>
        <v/>
      </c>
      <c r="DL16" s="984">
        <f>SUM(CN16,CP16,CR16,CT16,CV16,CX16,CZ16,DB16,DD16,DF16,DH16,DJ16)</f>
        <v/>
      </c>
      <c r="DM16" s="985">
        <f>DK16/6</f>
        <v/>
      </c>
      <c r="DN16" s="985">
        <f>DL16/6</f>
        <v/>
      </c>
      <c r="DO16" s="69">
        <f>DN16/$DN$36%</f>
        <v/>
      </c>
      <c r="DP16" s="70">
        <f>DO16-CK16</f>
        <v/>
      </c>
      <c r="DQ16" s="986">
        <f>DN16/CF16*100-100</f>
        <v/>
      </c>
      <c r="DR16" s="986">
        <f>DN16/CH16*100-100</f>
        <v/>
      </c>
      <c r="DS16" s="986">
        <f>DN16-CH16</f>
        <v/>
      </c>
      <c r="DT16" s="986">
        <f>DN16-CF16</f>
        <v/>
      </c>
      <c r="DU16" s="986">
        <f>DS16/14</f>
        <v/>
      </c>
      <c r="DV16" s="986">
        <f>DT16/14</f>
        <v/>
      </c>
      <c r="DW16" s="986">
        <f>DV16*6</f>
        <v/>
      </c>
    </row>
    <row r="17">
      <c r="A17" s="7" t="n">
        <v>14</v>
      </c>
      <c r="B17" s="8" t="inlineStr">
        <is>
          <t>မြန်မာရှောက်ပျား</t>
        </is>
      </c>
      <c r="C17" s="8" t="inlineStr">
        <is>
          <t>ပုလင်း</t>
        </is>
      </c>
      <c r="D17" s="7" t="n">
        <v>0.64</v>
      </c>
      <c r="E17" s="7" t="inlineStr">
        <is>
          <t>1 * 14</t>
        </is>
      </c>
      <c r="F17" s="7" t="n">
        <v>1270</v>
      </c>
      <c r="G17" s="975" t="n">
        <v>131800</v>
      </c>
      <c r="H17" s="976">
        <f>G17*$D17</f>
        <v/>
      </c>
      <c r="I17" s="975" t="n">
        <v>163296</v>
      </c>
      <c r="J17" s="976">
        <f>I17*$D17</f>
        <v/>
      </c>
      <c r="K17" s="975" t="n">
        <v>161518</v>
      </c>
      <c r="L17" s="976">
        <f>K17*$D17</f>
        <v/>
      </c>
      <c r="M17" s="975" t="n">
        <v>105252</v>
      </c>
      <c r="N17" s="976">
        <f>M17*$D17</f>
        <v/>
      </c>
      <c r="O17" s="975" t="n">
        <v>100870</v>
      </c>
      <c r="P17" s="976">
        <f>O17*$D17</f>
        <v/>
      </c>
      <c r="Q17" s="975" t="n">
        <v>159208</v>
      </c>
      <c r="R17" s="976">
        <f>Q17*$D17</f>
        <v/>
      </c>
      <c r="S17" s="975" t="n">
        <v>146160</v>
      </c>
      <c r="T17" s="976">
        <f>S17*$D17</f>
        <v/>
      </c>
      <c r="U17" s="975" t="n">
        <v>158214</v>
      </c>
      <c r="V17" s="976">
        <f>U17*$D17</f>
        <v/>
      </c>
      <c r="W17" s="975" t="n">
        <v>140784</v>
      </c>
      <c r="X17" s="976">
        <f>W17*$D17</f>
        <v/>
      </c>
      <c r="Y17" s="975" t="n">
        <v>106176</v>
      </c>
      <c r="Z17" s="976">
        <f>Y17*$D17</f>
        <v/>
      </c>
      <c r="AA17" s="975" t="n">
        <v>152852</v>
      </c>
      <c r="AB17" s="976">
        <f>AA17*$D17</f>
        <v/>
      </c>
      <c r="AC17" s="975" t="n">
        <v>156408</v>
      </c>
      <c r="AD17" s="976">
        <f>AC17*$D17</f>
        <v/>
      </c>
      <c r="AE17" s="977">
        <f>(AC17+AA17+Y17+W17+U17+S17+Q17+O17+M17+K17+I17+G17)/12</f>
        <v/>
      </c>
      <c r="AF17" s="978">
        <f>AE17*$D17</f>
        <v/>
      </c>
      <c r="AG17" s="975" t="n">
        <v>167569</v>
      </c>
      <c r="AH17" s="976">
        <f>AG17*$D17</f>
        <v/>
      </c>
      <c r="AI17" s="975" t="n">
        <v>156820</v>
      </c>
      <c r="AJ17" s="976">
        <f>AI17*$D17</f>
        <v/>
      </c>
      <c r="AK17" s="975" t="n">
        <v>114324</v>
      </c>
      <c r="AL17" s="976">
        <f>AK17*$D17</f>
        <v/>
      </c>
      <c r="AM17" s="975" t="n">
        <v>130060</v>
      </c>
      <c r="AN17" s="976">
        <f>AM17*$D17</f>
        <v/>
      </c>
      <c r="AO17" s="975" t="n">
        <v>115192</v>
      </c>
      <c r="AP17" s="976">
        <f>AO17*$D17</f>
        <v/>
      </c>
      <c r="AQ17" s="975" t="n">
        <v>135985</v>
      </c>
      <c r="AR17" s="976">
        <f>AQ17*$D17</f>
        <v/>
      </c>
      <c r="AS17" s="975" t="n">
        <v>151284</v>
      </c>
      <c r="AT17" s="976">
        <f>AS17*$D17</f>
        <v/>
      </c>
      <c r="AU17" s="975" t="n">
        <v>131558</v>
      </c>
      <c r="AV17" s="976">
        <f>AU17*$D17</f>
        <v/>
      </c>
      <c r="AW17" s="975" t="n">
        <v>123746</v>
      </c>
      <c r="AX17" s="976">
        <f>AW17*$D17</f>
        <v/>
      </c>
      <c r="AY17" s="975" t="n">
        <v>134428</v>
      </c>
      <c r="AZ17" s="976">
        <f>AY17*$D17</f>
        <v/>
      </c>
      <c r="BA17" s="975" t="n">
        <v>144902</v>
      </c>
      <c r="BB17" s="976">
        <f>BA17*$D17</f>
        <v/>
      </c>
      <c r="BC17" s="975" t="n">
        <v>207298</v>
      </c>
      <c r="BD17" s="976">
        <f>BC17*$D17</f>
        <v/>
      </c>
      <c r="BE17" s="977">
        <f>(BC17+BA17+AY17+AW17+AU17+AS17+AQ17+AO17+AM17+AK17+AI17+AG17)/12</f>
        <v/>
      </c>
      <c r="BF17" s="978">
        <f>BE17*$D17</f>
        <v/>
      </c>
      <c r="BG17" s="975" t="n">
        <v>204793</v>
      </c>
      <c r="BH17" s="976">
        <f>BG17*$D17</f>
        <v/>
      </c>
      <c r="BI17" s="975" t="n">
        <v>124476</v>
      </c>
      <c r="BJ17" s="976">
        <f>BI17*$D17</f>
        <v/>
      </c>
      <c r="BK17" s="975" t="n">
        <v>119466</v>
      </c>
      <c r="BL17" s="976">
        <f>BK17*$D17</f>
        <v/>
      </c>
      <c r="BM17" s="975" t="n">
        <v>121002</v>
      </c>
      <c r="BN17" s="976">
        <f>BM17*$D17</f>
        <v/>
      </c>
      <c r="BO17" s="975" t="n">
        <v>136738</v>
      </c>
      <c r="BP17" s="976">
        <f>BO17*$D17</f>
        <v/>
      </c>
      <c r="BQ17" s="975" t="n">
        <v>143416</v>
      </c>
      <c r="BR17" s="976">
        <f>BQ17*$D17</f>
        <v/>
      </c>
      <c r="BS17" s="975" t="n">
        <v>140525</v>
      </c>
      <c r="BT17" s="976">
        <f>BS17*$D17</f>
        <v/>
      </c>
      <c r="BU17" s="975" t="n">
        <v>137417</v>
      </c>
      <c r="BV17" s="976">
        <f>BU17*$D17</f>
        <v/>
      </c>
      <c r="BW17" s="975" t="n">
        <v>149520</v>
      </c>
      <c r="BX17" s="976">
        <f>BW17*$D17</f>
        <v/>
      </c>
      <c r="BY17" s="975" t="n">
        <v>136758</v>
      </c>
      <c r="BZ17" s="976">
        <f>BY17*$D17</f>
        <v/>
      </c>
      <c r="CA17" s="975" t="n">
        <v>148316</v>
      </c>
      <c r="CB17" s="976">
        <f>CA17*$D17</f>
        <v/>
      </c>
      <c r="CC17" s="975" t="n">
        <v>159250</v>
      </c>
      <c r="CD17" s="976">
        <f>CC17*$D17</f>
        <v/>
      </c>
      <c r="CE17" s="979">
        <f>(BG17+BI17+BK17+BM17+BO17+BQ17)/6</f>
        <v/>
      </c>
      <c r="CF17" s="976">
        <f>(BH17+BJ17+BL17+BN17+BP17+BR17)/6</f>
        <v/>
      </c>
      <c r="CG17" s="977">
        <f>(CC17+CA17+BY17+BW17+BU17+BS17+BQ17+BO17+BM17+BK17+BI17+BG17)/12</f>
        <v/>
      </c>
      <c r="CH17" s="978">
        <f>CG17*$D17</f>
        <v/>
      </c>
      <c r="CI17" s="980" t="n">
        <v>143473</v>
      </c>
      <c r="CJ17" s="976">
        <f>CI17*$D17</f>
        <v/>
      </c>
      <c r="CK17" s="15">
        <f>CH17/$CH$36%</f>
        <v/>
      </c>
      <c r="CL17" s="15" t="n">
        <v>16.29</v>
      </c>
      <c r="CM17" s="982" t="n">
        <v>154924</v>
      </c>
      <c r="CN17" s="976">
        <f>CM17*$D17</f>
        <v/>
      </c>
      <c r="CO17" s="982" t="n">
        <v>128100</v>
      </c>
      <c r="CP17" s="15">
        <f>CO17*$D17</f>
        <v/>
      </c>
      <c r="CQ17" s="982" t="n">
        <v>168241</v>
      </c>
      <c r="CR17" s="15">
        <f>CQ17*$D17</f>
        <v/>
      </c>
      <c r="CS17" s="982" t="n">
        <v>113416</v>
      </c>
      <c r="CT17" s="15">
        <f>CS17*$D17</f>
        <v/>
      </c>
      <c r="CU17" s="982" t="n">
        <v>125095</v>
      </c>
      <c r="CV17" s="15">
        <f>CU17*$D17</f>
        <v/>
      </c>
      <c r="CW17" s="982" t="n">
        <v>129262</v>
      </c>
      <c r="CX17" s="15">
        <f>CW17*$D17</f>
        <v/>
      </c>
      <c r="CY17" s="982" t="n"/>
      <c r="CZ17" s="15">
        <f>CY17*$D17</f>
        <v/>
      </c>
      <c r="DA17" s="982" t="n"/>
      <c r="DB17" s="15">
        <f>DA17*$D17</f>
        <v/>
      </c>
      <c r="DC17" s="982" t="n"/>
      <c r="DD17" s="15">
        <f>DC17*$D17</f>
        <v/>
      </c>
      <c r="DE17" s="982" t="n"/>
      <c r="DF17" s="15">
        <f>DE17*$D17</f>
        <v/>
      </c>
      <c r="DG17" s="982" t="n"/>
      <c r="DH17" s="15">
        <f>DG17*$D17</f>
        <v/>
      </c>
      <c r="DI17" s="982" t="n"/>
      <c r="DJ17" s="15">
        <f>DI17*$D17</f>
        <v/>
      </c>
      <c r="DK17" s="983">
        <f>SUM(CM17,CO17,CQ17,CS17,CU17,CW17,CY17,DA17,DC17,DE17,DG17,DI17)</f>
        <v/>
      </c>
      <c r="DL17" s="984">
        <f>SUM(CN17,CP17,CR17,CT17,CV17,CX17,CZ17,DB17,DD17,DF17,DH17,DJ17)</f>
        <v/>
      </c>
      <c r="DM17" s="985">
        <f>DK17/6</f>
        <v/>
      </c>
      <c r="DN17" s="985">
        <f>DL17/6</f>
        <v/>
      </c>
      <c r="DO17" s="69">
        <f>DN17/$DN$36%</f>
        <v/>
      </c>
      <c r="DP17" s="70">
        <f>DO17-CK17</f>
        <v/>
      </c>
      <c r="DQ17" s="986">
        <f>DN17/CF17*100-100</f>
        <v/>
      </c>
      <c r="DR17" s="986">
        <f>DN17/CH17*100-100</f>
        <v/>
      </c>
      <c r="DS17" s="986">
        <f>DN17-CH17</f>
        <v/>
      </c>
      <c r="DT17" s="986">
        <f>DN17-CF17</f>
        <v/>
      </c>
      <c r="DU17" s="986">
        <f>DS17/14</f>
        <v/>
      </c>
      <c r="DV17" s="986">
        <f>DT17/14</f>
        <v/>
      </c>
      <c r="DW17" s="986">
        <f>DV17*6</f>
        <v/>
      </c>
    </row>
    <row r="18">
      <c r="A18" s="7" t="n">
        <v>15</v>
      </c>
      <c r="B18" s="8" t="inlineStr">
        <is>
          <t>သံပုရာအရက်</t>
        </is>
      </c>
      <c r="C18" s="8" t="inlineStr">
        <is>
          <t>ပုလင်း</t>
        </is>
      </c>
      <c r="D18" s="7" t="n">
        <v>0.64</v>
      </c>
      <c r="E18" s="7" t="inlineStr">
        <is>
          <t>1 * 14</t>
        </is>
      </c>
      <c r="F18" s="7" t="n">
        <v>1230</v>
      </c>
      <c r="G18" s="975" t="n">
        <v>74970</v>
      </c>
      <c r="H18" s="976">
        <f>G18*$D18</f>
        <v/>
      </c>
      <c r="I18" s="975" t="n">
        <v>68278</v>
      </c>
      <c r="J18" s="976">
        <f>I18*$D18</f>
        <v/>
      </c>
      <c r="K18" s="975" t="n">
        <v>73962</v>
      </c>
      <c r="L18" s="976">
        <f>K18*$D18</f>
        <v/>
      </c>
      <c r="M18" s="975" t="n">
        <v>48118</v>
      </c>
      <c r="N18" s="976">
        <f>M18*$D18</f>
        <v/>
      </c>
      <c r="O18" s="975" t="n">
        <v>58968</v>
      </c>
      <c r="P18" s="976">
        <f>O18*$D18</f>
        <v/>
      </c>
      <c r="Q18" s="975" t="n">
        <v>63574</v>
      </c>
      <c r="R18" s="976">
        <f>Q18*$D18</f>
        <v/>
      </c>
      <c r="S18" s="975" t="n">
        <v>57927</v>
      </c>
      <c r="T18" s="976">
        <f>S18*$D18</f>
        <v/>
      </c>
      <c r="U18" s="975" t="n">
        <v>66318</v>
      </c>
      <c r="V18" s="976">
        <f>U18*$D18</f>
        <v/>
      </c>
      <c r="W18" s="975" t="n">
        <v>60858</v>
      </c>
      <c r="X18" s="976">
        <f>W18*$D18</f>
        <v/>
      </c>
      <c r="Y18" s="975" t="n">
        <v>64358</v>
      </c>
      <c r="Z18" s="976">
        <f>Y18*$D18</f>
        <v/>
      </c>
      <c r="AA18" s="975" t="n">
        <v>66906</v>
      </c>
      <c r="AB18" s="976">
        <f>AA18*$D18</f>
        <v/>
      </c>
      <c r="AC18" s="975" t="n">
        <v>73374</v>
      </c>
      <c r="AD18" s="976">
        <f>AC18*$D18</f>
        <v/>
      </c>
      <c r="AE18" s="977">
        <f>(AC18+AA18+Y18+W18+U18+S18+Q18+O18+M18+K18+I18+G18)/12</f>
        <v/>
      </c>
      <c r="AF18" s="978">
        <f>AE18*$D18</f>
        <v/>
      </c>
      <c r="AG18" s="975" t="n">
        <v>80892</v>
      </c>
      <c r="AH18" s="976">
        <f>AG18*$D18</f>
        <v/>
      </c>
      <c r="AI18" s="975" t="n">
        <v>53830</v>
      </c>
      <c r="AJ18" s="976">
        <f>AI18*$D18</f>
        <v/>
      </c>
      <c r="AK18" s="975" t="n">
        <v>55370</v>
      </c>
      <c r="AL18" s="976">
        <f>AK18*$D18</f>
        <v/>
      </c>
      <c r="AM18" s="975" t="n">
        <v>52542</v>
      </c>
      <c r="AN18" s="976">
        <f>AM18*$D18</f>
        <v/>
      </c>
      <c r="AO18" s="975" t="n">
        <v>50932</v>
      </c>
      <c r="AP18" s="976">
        <f>AO18*$D18</f>
        <v/>
      </c>
      <c r="AQ18" s="975" t="n">
        <v>57764</v>
      </c>
      <c r="AR18" s="976">
        <f>AQ18*$D18</f>
        <v/>
      </c>
      <c r="AS18" s="975" t="n">
        <v>57736</v>
      </c>
      <c r="AT18" s="976">
        <f>AS18*$D18</f>
        <v/>
      </c>
      <c r="AU18" s="975" t="n">
        <v>56924</v>
      </c>
      <c r="AV18" s="976">
        <f>AU18*$D18</f>
        <v/>
      </c>
      <c r="AW18" s="975" t="n">
        <v>57470</v>
      </c>
      <c r="AX18" s="976">
        <f>AW18*$D18</f>
        <v/>
      </c>
      <c r="AY18" s="975" t="n">
        <v>61329</v>
      </c>
      <c r="AZ18" s="976">
        <f>AY18*$D18</f>
        <v/>
      </c>
      <c r="BA18" s="975" t="n">
        <v>62412</v>
      </c>
      <c r="BB18" s="976">
        <f>BA18*$D18</f>
        <v/>
      </c>
      <c r="BC18" s="975" t="n">
        <v>74214</v>
      </c>
      <c r="BD18" s="976">
        <f>BC18*$D18</f>
        <v/>
      </c>
      <c r="BE18" s="977">
        <f>(BC18+BA18+AY18+AW18+AU18+AS18+AQ18+AO18+AM18+AK18+AI18+AG18)/12</f>
        <v/>
      </c>
      <c r="BF18" s="978">
        <f>BE18*$D18</f>
        <v/>
      </c>
      <c r="BG18" s="975" t="n">
        <v>67704</v>
      </c>
      <c r="BH18" s="976">
        <f>BG18*$D18</f>
        <v/>
      </c>
      <c r="BI18" s="975" t="n">
        <v>60746</v>
      </c>
      <c r="BJ18" s="976">
        <f>BI18*$D18</f>
        <v/>
      </c>
      <c r="BK18" s="975" t="n">
        <v>59836</v>
      </c>
      <c r="BL18" s="976">
        <f>BK18*$D18</f>
        <v/>
      </c>
      <c r="BM18" s="975" t="n">
        <v>50484</v>
      </c>
      <c r="BN18" s="976">
        <f>BM18*$D18</f>
        <v/>
      </c>
      <c r="BO18" s="975" t="n">
        <v>59738</v>
      </c>
      <c r="BP18" s="976">
        <f>BO18*$D18</f>
        <v/>
      </c>
      <c r="BQ18" s="975" t="n">
        <v>58751</v>
      </c>
      <c r="BR18" s="976">
        <f>BQ18*$D18</f>
        <v/>
      </c>
      <c r="BS18" s="975" t="n">
        <v>60256</v>
      </c>
      <c r="BT18" s="976">
        <f>BS18*$D18</f>
        <v/>
      </c>
      <c r="BU18" s="975" t="n">
        <v>54824</v>
      </c>
      <c r="BV18" s="976">
        <f>BU18*$D18</f>
        <v/>
      </c>
      <c r="BW18" s="975" t="n">
        <v>60466</v>
      </c>
      <c r="BX18" s="976">
        <f>BW18*$D18</f>
        <v/>
      </c>
      <c r="BY18" s="975" t="n">
        <v>67844</v>
      </c>
      <c r="BZ18" s="976">
        <f>BY18*$D18</f>
        <v/>
      </c>
      <c r="CA18" s="975" t="n">
        <v>63854</v>
      </c>
      <c r="CB18" s="976">
        <f>CA18*$D18</f>
        <v/>
      </c>
      <c r="CC18" s="975" t="n">
        <v>77781</v>
      </c>
      <c r="CD18" s="976">
        <f>CC18*$D18</f>
        <v/>
      </c>
      <c r="CE18" s="979">
        <f>(BG18+BI18+BK18+BM18+BO18+BQ18)/6</f>
        <v/>
      </c>
      <c r="CF18" s="976">
        <f>(BH18+BJ18+BL18+BN18+BP18+BR18)/6</f>
        <v/>
      </c>
      <c r="CG18" s="977">
        <f>(CC18+CA18+BY18+BW18+BU18+BS18+BQ18+BO18+BM18+BK18+BI18+BG18)/12</f>
        <v/>
      </c>
      <c r="CH18" s="978">
        <f>CG18*$D18</f>
        <v/>
      </c>
      <c r="CI18" s="980" t="n">
        <v>61857</v>
      </c>
      <c r="CJ18" s="976">
        <f>CI18*$D18</f>
        <v/>
      </c>
      <c r="CK18" s="15">
        <f>CH18/$CH$36%</f>
        <v/>
      </c>
      <c r="CL18" s="15" t="n">
        <v>7.02</v>
      </c>
      <c r="CM18" s="982" t="n">
        <v>68715</v>
      </c>
      <c r="CN18" s="976">
        <f>CM18*$D18</f>
        <v/>
      </c>
      <c r="CO18" s="982" t="n">
        <v>60634</v>
      </c>
      <c r="CP18" s="15">
        <f>CO18*$D18</f>
        <v/>
      </c>
      <c r="CQ18" s="982" t="n">
        <v>70656</v>
      </c>
      <c r="CR18" s="15">
        <f>CQ18*$D18</f>
        <v/>
      </c>
      <c r="CS18" s="982" t="n">
        <v>50554</v>
      </c>
      <c r="CT18" s="15">
        <f>CS18*$D18</f>
        <v/>
      </c>
      <c r="CU18" s="982" t="n">
        <v>59329</v>
      </c>
      <c r="CV18" s="15">
        <f>CU18*$D18</f>
        <v/>
      </c>
      <c r="CW18" s="982" t="n">
        <v>56182</v>
      </c>
      <c r="CX18" s="15">
        <f>CW18*$D18</f>
        <v/>
      </c>
      <c r="CY18" s="982" t="n"/>
      <c r="CZ18" s="15">
        <f>CY18*$D18</f>
        <v/>
      </c>
      <c r="DA18" s="982" t="n"/>
      <c r="DB18" s="15">
        <f>DA18*$D18</f>
        <v/>
      </c>
      <c r="DC18" s="982" t="n"/>
      <c r="DD18" s="15">
        <f>DC18*$D18</f>
        <v/>
      </c>
      <c r="DE18" s="982" t="n"/>
      <c r="DF18" s="15">
        <f>DE18*$D18</f>
        <v/>
      </c>
      <c r="DG18" s="982" t="n"/>
      <c r="DH18" s="15">
        <f>DG18*$D18</f>
        <v/>
      </c>
      <c r="DI18" s="982" t="n"/>
      <c r="DJ18" s="15">
        <f>DI18*$D18</f>
        <v/>
      </c>
      <c r="DK18" s="983">
        <f>SUM(CM18,CO18,CQ18,CS18,CU18,CW18,CY18,DA18,DC18,DE18,DG18,DI18)</f>
        <v/>
      </c>
      <c r="DL18" s="984">
        <f>SUM(CN18,CP18,CR18,CT18,CV18,CX18,CZ18,DB18,DD18,DF18,DH18,DJ18)</f>
        <v/>
      </c>
      <c r="DM18" s="985">
        <f>DK18/6</f>
        <v/>
      </c>
      <c r="DN18" s="985">
        <f>DL18/6</f>
        <v/>
      </c>
      <c r="DO18" s="69">
        <f>DN18/$DN$36%</f>
        <v/>
      </c>
      <c r="DP18" s="70">
        <f>DO18-CK18</f>
        <v/>
      </c>
      <c r="DQ18" s="986">
        <f>DN18/CF18*100-100</f>
        <v/>
      </c>
      <c r="DR18" s="986">
        <f>DN18/CH18*100-100</f>
        <v/>
      </c>
      <c r="DS18" s="986">
        <f>DN18-CH18</f>
        <v/>
      </c>
      <c r="DT18" s="986">
        <f>DN18-CF18</f>
        <v/>
      </c>
      <c r="DU18" s="986">
        <f>DS18/14</f>
        <v/>
      </c>
      <c r="DV18" s="986">
        <f>DT18/14</f>
        <v/>
      </c>
      <c r="DW18" s="986">
        <f>DV18*6</f>
        <v/>
      </c>
    </row>
    <row r="19">
      <c r="A19" s="7" t="n">
        <v>16</v>
      </c>
      <c r="B19" s="8" t="inlineStr">
        <is>
          <t>2 in 1 မန်ကျည်း</t>
        </is>
      </c>
      <c r="C19" s="8" t="inlineStr">
        <is>
          <t>ပုလင်း</t>
        </is>
      </c>
      <c r="D19" s="7" t="n">
        <v>0.64</v>
      </c>
      <c r="E19" s="7" t="inlineStr">
        <is>
          <t>1 * 14</t>
        </is>
      </c>
      <c r="F19" s="7" t="n">
        <v>1250</v>
      </c>
      <c r="G19" s="975" t="n">
        <v>9128</v>
      </c>
      <c r="H19" s="976">
        <f>G19*$D19</f>
        <v/>
      </c>
      <c r="I19" s="975" t="n">
        <v>6594</v>
      </c>
      <c r="J19" s="976">
        <f>I19*$D19</f>
        <v/>
      </c>
      <c r="K19" s="975" t="n">
        <v>10458</v>
      </c>
      <c r="L19" s="976">
        <f>K19*$D19</f>
        <v/>
      </c>
      <c r="M19" s="975" t="n">
        <v>7602</v>
      </c>
      <c r="N19" s="976">
        <f>M19*$D19</f>
        <v/>
      </c>
      <c r="O19" s="975" t="n">
        <v>7350</v>
      </c>
      <c r="P19" s="976">
        <f>O19*$D19</f>
        <v/>
      </c>
      <c r="Q19" s="975" t="n">
        <v>9688</v>
      </c>
      <c r="R19" s="976">
        <f>Q19*$D19</f>
        <v/>
      </c>
      <c r="S19" s="975" t="n">
        <v>7000</v>
      </c>
      <c r="T19" s="976">
        <f>S19*$D19</f>
        <v/>
      </c>
      <c r="U19" s="975" t="n">
        <v>8358</v>
      </c>
      <c r="V19" s="976">
        <f>U19*$D19</f>
        <v/>
      </c>
      <c r="W19" s="975" t="n">
        <v>6860</v>
      </c>
      <c r="X19" s="976">
        <f>W19*$D19</f>
        <v/>
      </c>
      <c r="Y19" s="975" t="n">
        <v>7700</v>
      </c>
      <c r="Z19" s="976">
        <f>Y19*$D19</f>
        <v/>
      </c>
      <c r="AA19" s="975" t="n">
        <v>8568</v>
      </c>
      <c r="AB19" s="976">
        <f>AA19*$D19</f>
        <v/>
      </c>
      <c r="AC19" s="975" t="n">
        <v>10920</v>
      </c>
      <c r="AD19" s="976">
        <f>AC19*$D19</f>
        <v/>
      </c>
      <c r="AE19" s="977">
        <f>(AC19+AA19+Y19+W19+U19+S19+Q19+O19+M19+K19+I19+G19)/12</f>
        <v/>
      </c>
      <c r="AF19" s="978">
        <f>AE19*$D19</f>
        <v/>
      </c>
      <c r="AG19" s="975" t="n">
        <v>12866</v>
      </c>
      <c r="AH19" s="976">
        <f>AG19*$D19</f>
        <v/>
      </c>
      <c r="AI19" s="975" t="n">
        <v>7532</v>
      </c>
      <c r="AJ19" s="976">
        <f>AI19*$D19</f>
        <v/>
      </c>
      <c r="AK19" s="975" t="n">
        <v>7742</v>
      </c>
      <c r="AL19" s="976">
        <f>AK19*$D19</f>
        <v/>
      </c>
      <c r="AM19" s="975" t="n">
        <v>7000</v>
      </c>
      <c r="AN19" s="976">
        <f>AM19*$D19</f>
        <v/>
      </c>
      <c r="AO19" s="975" t="n">
        <v>3780</v>
      </c>
      <c r="AP19" s="976">
        <f>AO19*$D19</f>
        <v/>
      </c>
      <c r="AQ19" s="975" t="n">
        <v>4760</v>
      </c>
      <c r="AR19" s="976">
        <f>AQ19*$D19</f>
        <v/>
      </c>
      <c r="AS19" s="975" t="n">
        <v>8540</v>
      </c>
      <c r="AT19" s="976">
        <f>AS19*$D19</f>
        <v/>
      </c>
      <c r="AU19" s="975" t="n">
        <v>7546</v>
      </c>
      <c r="AV19" s="976">
        <f>AU19*$D19</f>
        <v/>
      </c>
      <c r="AW19" s="975" t="n">
        <v>7070</v>
      </c>
      <c r="AX19" s="976">
        <f>AW19*$D19</f>
        <v/>
      </c>
      <c r="AY19" s="975" t="n">
        <v>3780</v>
      </c>
      <c r="AZ19" s="976">
        <f>AY19*$D19</f>
        <v/>
      </c>
      <c r="BA19" s="975" t="n">
        <v>5586</v>
      </c>
      <c r="BB19" s="976">
        <f>BA19*$D19</f>
        <v/>
      </c>
      <c r="BC19" s="975" t="n">
        <v>8070</v>
      </c>
      <c r="BD19" s="976">
        <f>BC19*$D19</f>
        <v/>
      </c>
      <c r="BE19" s="977">
        <f>(BC19+BA19+AY19+AW19+AU19+AS19+AQ19+AO19+AM19+AK19+AI19+AG19)/12</f>
        <v/>
      </c>
      <c r="BF19" s="978">
        <f>BE19*$D19</f>
        <v/>
      </c>
      <c r="BG19" s="975" t="n">
        <v>6426</v>
      </c>
      <c r="BH19" s="976">
        <f>BG19*$D19</f>
        <v/>
      </c>
      <c r="BI19" s="975" t="n">
        <v>5473</v>
      </c>
      <c r="BJ19" s="976">
        <f>BI19*$D19</f>
        <v/>
      </c>
      <c r="BK19" s="975" t="n">
        <v>6440</v>
      </c>
      <c r="BL19" s="976">
        <f>BK19*$D19</f>
        <v/>
      </c>
      <c r="BM19" s="975" t="n">
        <v>3542</v>
      </c>
      <c r="BN19" s="976">
        <f>BM19*$D19</f>
        <v/>
      </c>
      <c r="BO19" s="975" t="n">
        <v>5124</v>
      </c>
      <c r="BP19" s="976">
        <f>BO19*$D19</f>
        <v/>
      </c>
      <c r="BQ19" s="975" t="n">
        <v>6335</v>
      </c>
      <c r="BR19" s="976">
        <f>BQ19*$D19</f>
        <v/>
      </c>
      <c r="BS19" s="975" t="n">
        <v>5614</v>
      </c>
      <c r="BT19" s="976">
        <f>BS19*$D19</f>
        <v/>
      </c>
      <c r="BU19" s="975" t="n">
        <v>8190</v>
      </c>
      <c r="BV19" s="976">
        <f>BU19*$D19</f>
        <v/>
      </c>
      <c r="BW19" s="975" t="n">
        <v>8190</v>
      </c>
      <c r="BX19" s="976">
        <f>BW19*$D19</f>
        <v/>
      </c>
      <c r="BY19" s="975" t="n">
        <v>5670</v>
      </c>
      <c r="BZ19" s="976">
        <f>BY19*$D19</f>
        <v/>
      </c>
      <c r="CA19" s="975" t="n">
        <v>5670</v>
      </c>
      <c r="CB19" s="976">
        <f>CA19*$D19</f>
        <v/>
      </c>
      <c r="CC19" s="975" t="n">
        <v>6510</v>
      </c>
      <c r="CD19" s="976">
        <f>CC19*$D19</f>
        <v/>
      </c>
      <c r="CE19" s="979">
        <f>(BG19+BI19+BK19+BM19+BO19+BQ19)/6</f>
        <v/>
      </c>
      <c r="CF19" s="976">
        <f>(BH19+BJ19+BL19+BN19+BP19+BR19)/6</f>
        <v/>
      </c>
      <c r="CG19" s="977">
        <f>(CC19+CA19+BY19+BW19+BU19+BS19+BQ19+BO19+BM19+BK19+BI19+BG19)/12</f>
        <v/>
      </c>
      <c r="CH19" s="978">
        <f>CG19*$D19</f>
        <v/>
      </c>
      <c r="CI19" s="980" t="n">
        <v>6099</v>
      </c>
      <c r="CJ19" s="976">
        <f>CI19*$D19</f>
        <v/>
      </c>
      <c r="CK19" s="15">
        <f>CH19/$CH$36%</f>
        <v/>
      </c>
      <c r="CL19" s="15" t="n">
        <v>0.6899999999999999</v>
      </c>
      <c r="CM19" s="982" t="n">
        <v>6650</v>
      </c>
      <c r="CN19" s="976">
        <f>CM19*$D19</f>
        <v/>
      </c>
      <c r="CO19" s="982" t="n">
        <v>3500</v>
      </c>
      <c r="CP19" s="15">
        <f>CO19*$D19</f>
        <v/>
      </c>
      <c r="CQ19" s="982" t="n">
        <v>6762</v>
      </c>
      <c r="CR19" s="15">
        <f>CQ19*$D19</f>
        <v/>
      </c>
      <c r="CS19" s="982" t="n">
        <v>3514</v>
      </c>
      <c r="CT19" s="15">
        <f>CS19*$D19</f>
        <v/>
      </c>
      <c r="CU19" s="982" t="n">
        <v>4410</v>
      </c>
      <c r="CV19" s="15">
        <f>CU19*$D19</f>
        <v/>
      </c>
      <c r="CW19" s="982" t="n">
        <v>6356</v>
      </c>
      <c r="CX19" s="15">
        <f>CW19*$D19</f>
        <v/>
      </c>
      <c r="CY19" s="982" t="n"/>
      <c r="CZ19" s="15">
        <f>CY19*$D19</f>
        <v/>
      </c>
      <c r="DA19" s="982" t="n"/>
      <c r="DB19" s="15">
        <f>DA19*$D19</f>
        <v/>
      </c>
      <c r="DC19" s="982" t="n"/>
      <c r="DD19" s="15">
        <f>DC19*$D19</f>
        <v/>
      </c>
      <c r="DE19" s="982" t="n"/>
      <c r="DF19" s="15">
        <f>DE19*$D19</f>
        <v/>
      </c>
      <c r="DG19" s="982" t="n"/>
      <c r="DH19" s="15">
        <f>DG19*$D19</f>
        <v/>
      </c>
      <c r="DI19" s="982" t="n"/>
      <c r="DJ19" s="15">
        <f>DI19*$D19</f>
        <v/>
      </c>
      <c r="DK19" s="983">
        <f>SUM(CM19,CO19,CQ19,CS19,CU19,CW19,CY19,DA19,DC19,DE19,DG19,DI19)</f>
        <v/>
      </c>
      <c r="DL19" s="984">
        <f>SUM(CN19,CP19,CR19,CT19,CV19,CX19,CZ19,DB19,DD19,DF19,DH19,DJ19)</f>
        <v/>
      </c>
      <c r="DM19" s="985">
        <f>DK19/6</f>
        <v/>
      </c>
      <c r="DN19" s="985">
        <f>DL19/6</f>
        <v/>
      </c>
      <c r="DO19" s="69">
        <f>DN19/$DN$36%</f>
        <v/>
      </c>
      <c r="DP19" s="70">
        <f>DO19-CK19</f>
        <v/>
      </c>
      <c r="DQ19" s="986">
        <f>DN19/CF19*100-100</f>
        <v/>
      </c>
      <c r="DR19" s="986">
        <f>DN19/CH19*100-100</f>
        <v/>
      </c>
      <c r="DS19" s="986">
        <f>DN19-CH19</f>
        <v/>
      </c>
      <c r="DT19" s="986">
        <f>DN19-CF19</f>
        <v/>
      </c>
      <c r="DU19" s="986">
        <f>DS19/14</f>
        <v/>
      </c>
      <c r="DV19" s="986">
        <f>DT19/14</f>
        <v/>
      </c>
      <c r="DW19" s="986">
        <f>DV19*6</f>
        <v/>
      </c>
    </row>
    <row r="20">
      <c r="A20" s="7" t="n">
        <v>17</v>
      </c>
      <c r="B20" s="8" t="inlineStr">
        <is>
          <t xml:space="preserve">Dagon Tamarind </t>
        </is>
      </c>
      <c r="C20" s="8" t="inlineStr">
        <is>
          <t>ပုလင်း</t>
        </is>
      </c>
      <c r="D20" s="7" t="n">
        <v>0.64</v>
      </c>
      <c r="E20" s="7" t="inlineStr">
        <is>
          <t>1 * 14</t>
        </is>
      </c>
      <c r="F20" s="7" t="n">
        <v>1180</v>
      </c>
      <c r="G20" s="975" t="n"/>
      <c r="H20" s="976">
        <f>G20*$D20</f>
        <v/>
      </c>
      <c r="I20" s="975" t="n"/>
      <c r="J20" s="976">
        <f>I20*$D20</f>
        <v/>
      </c>
      <c r="K20" s="975" t="n"/>
      <c r="L20" s="976">
        <f>K20*$D20</f>
        <v/>
      </c>
      <c r="M20" s="975" t="n"/>
      <c r="N20" s="976">
        <f>M20*$D20</f>
        <v/>
      </c>
      <c r="O20" s="975" t="n"/>
      <c r="P20" s="976">
        <f>O20*$D20</f>
        <v/>
      </c>
      <c r="Q20" s="975" t="n"/>
      <c r="R20" s="976">
        <f>Q20*$D20</f>
        <v/>
      </c>
      <c r="S20" s="975" t="n"/>
      <c r="T20" s="976">
        <f>S20*$D20</f>
        <v/>
      </c>
      <c r="U20" s="975" t="n"/>
      <c r="V20" s="976">
        <f>U20*$D20</f>
        <v/>
      </c>
      <c r="W20" s="975" t="n"/>
      <c r="X20" s="976">
        <f>W20*$D20</f>
        <v/>
      </c>
      <c r="Y20" s="975" t="n"/>
      <c r="Z20" s="976">
        <f>Y20*$D20</f>
        <v/>
      </c>
      <c r="AA20" s="975" t="n"/>
      <c r="AB20" s="976">
        <f>AA20*$D20</f>
        <v/>
      </c>
      <c r="AC20" s="975" t="n"/>
      <c r="AD20" s="976">
        <f>AC20*$D20</f>
        <v/>
      </c>
      <c r="AE20" s="977">
        <f>(AC20+AA20+Y20+W20+U20+S20+Q20+O20+M20+K20+I20+G20)/12</f>
        <v/>
      </c>
      <c r="AF20" s="978">
        <f>AE20*$D20</f>
        <v/>
      </c>
      <c r="AG20" s="975" t="n"/>
      <c r="AH20" s="976">
        <f>AG20*$D20</f>
        <v/>
      </c>
      <c r="AI20" s="975" t="n"/>
      <c r="AJ20" s="976">
        <f>AI20*$D20</f>
        <v/>
      </c>
      <c r="AK20" s="975" t="n"/>
      <c r="AL20" s="976">
        <f>AK20*$D20</f>
        <v/>
      </c>
      <c r="AM20" s="975" t="n"/>
      <c r="AN20" s="976">
        <f>AM20*$D20</f>
        <v/>
      </c>
      <c r="AO20" s="975" t="n"/>
      <c r="AP20" s="976">
        <f>AO20*$D20</f>
        <v/>
      </c>
      <c r="AQ20" s="975" t="n"/>
      <c r="AR20" s="976">
        <f>AQ20*$D20</f>
        <v/>
      </c>
      <c r="AS20" s="975" t="n"/>
      <c r="AT20" s="976">
        <f>AS20*$D20</f>
        <v/>
      </c>
      <c r="AU20" s="975" t="n"/>
      <c r="AV20" s="976">
        <f>AU20*$D20</f>
        <v/>
      </c>
      <c r="AW20" s="975" t="n"/>
      <c r="AX20" s="976">
        <f>AW20*$D20</f>
        <v/>
      </c>
      <c r="AY20" s="975" t="n"/>
      <c r="AZ20" s="976">
        <f>AY20*$D20</f>
        <v/>
      </c>
      <c r="BA20" s="975" t="n"/>
      <c r="BB20" s="976">
        <f>BA20*$D20</f>
        <v/>
      </c>
      <c r="BC20" s="975" t="n"/>
      <c r="BD20" s="976">
        <f>BC20*$D20</f>
        <v/>
      </c>
      <c r="BE20" s="977">
        <f>(BC20+BA20+AY20+AW20+AU20+AS20+AQ20+AO20+AM20+AK20+AI20+AG20)/12</f>
        <v/>
      </c>
      <c r="BF20" s="978">
        <f>BE20*$D20</f>
        <v/>
      </c>
      <c r="BG20" s="975" t="n"/>
      <c r="BH20" s="976">
        <f>BG20*$D20</f>
        <v/>
      </c>
      <c r="BI20" s="975" t="n"/>
      <c r="BJ20" s="976">
        <f>BI20*$D20</f>
        <v/>
      </c>
      <c r="BK20" s="975" t="n">
        <v>2942</v>
      </c>
      <c r="BL20" s="976">
        <f>BK20*$D20</f>
        <v/>
      </c>
      <c r="BM20" s="975" t="n">
        <v>651</v>
      </c>
      <c r="BN20" s="976">
        <f>BM20*$D20</f>
        <v/>
      </c>
      <c r="BO20" s="975" t="n">
        <v>2143</v>
      </c>
      <c r="BP20" s="976">
        <f>BO20*$D20</f>
        <v/>
      </c>
      <c r="BQ20" s="975" t="n">
        <v>1267</v>
      </c>
      <c r="BR20" s="976">
        <f>BQ20*$D20</f>
        <v/>
      </c>
      <c r="BS20" s="975" t="n">
        <v>371</v>
      </c>
      <c r="BT20" s="976">
        <f>BS20*$D20</f>
        <v/>
      </c>
      <c r="BU20" s="975" t="n">
        <v>336</v>
      </c>
      <c r="BV20" s="976">
        <f>BU20*$D20</f>
        <v/>
      </c>
      <c r="BW20" s="975" t="n">
        <v>770</v>
      </c>
      <c r="BX20" s="976">
        <f>BW20*$D20</f>
        <v/>
      </c>
      <c r="BY20" s="975" t="n">
        <v>3164</v>
      </c>
      <c r="BZ20" s="976">
        <f>BY20*$D20</f>
        <v/>
      </c>
      <c r="CA20" s="975" t="n">
        <v>196</v>
      </c>
      <c r="CB20" s="976">
        <f>CA20*$D20</f>
        <v/>
      </c>
      <c r="CC20" s="975" t="n">
        <v>280</v>
      </c>
      <c r="CD20" s="976">
        <f>CC20*$D20</f>
        <v/>
      </c>
      <c r="CE20" s="979">
        <f>(BG20+BI20+BK20+BM20+BO20+BQ20)/6</f>
        <v/>
      </c>
      <c r="CF20" s="976">
        <f>(BH20+BJ20+BL20+BN20+BP20+BR20)/6</f>
        <v/>
      </c>
      <c r="CG20" s="977">
        <f>(CC20+CA20+BY20+BW20+BU20+BS20+BQ20+BO20+BM20+BK20+BI20+BG20)/12</f>
        <v/>
      </c>
      <c r="CH20" s="978">
        <f>CG20*$D20</f>
        <v/>
      </c>
      <c r="CI20" s="980" t="n">
        <v>1010</v>
      </c>
      <c r="CJ20" s="976">
        <f>CI20*$D20</f>
        <v/>
      </c>
      <c r="CK20" s="15">
        <f>CH20/$CH$36%</f>
        <v/>
      </c>
      <c r="CL20" s="15" t="n">
        <v>0.11</v>
      </c>
      <c r="CM20" s="982" t="n">
        <v>210</v>
      </c>
      <c r="CN20" s="976">
        <f>CM20*$D20</f>
        <v/>
      </c>
      <c r="CO20" s="982" t="n">
        <v>168</v>
      </c>
      <c r="CP20" s="15">
        <f>CO20*$D20</f>
        <v/>
      </c>
      <c r="CQ20" s="982" t="n">
        <v>686</v>
      </c>
      <c r="CR20" s="15">
        <f>CQ20*$D20</f>
        <v/>
      </c>
      <c r="CS20" s="982" t="n">
        <v>112</v>
      </c>
      <c r="CT20" s="15">
        <f>CS20*$D20</f>
        <v/>
      </c>
      <c r="CU20" s="982" t="n">
        <v>294</v>
      </c>
      <c r="CV20" s="15">
        <f>CU20*$D20</f>
        <v/>
      </c>
      <c r="CW20" s="982" t="n">
        <v>126</v>
      </c>
      <c r="CX20" s="15">
        <f>CW20*$D20</f>
        <v/>
      </c>
      <c r="CY20" s="982" t="n"/>
      <c r="CZ20" s="15">
        <f>CY20*$D20</f>
        <v/>
      </c>
      <c r="DA20" s="982" t="n"/>
      <c r="DB20" s="15">
        <f>DA20*$D20</f>
        <v/>
      </c>
      <c r="DC20" s="982" t="n"/>
      <c r="DD20" s="15">
        <f>DC20*$D20</f>
        <v/>
      </c>
      <c r="DE20" s="982" t="n"/>
      <c r="DF20" s="15">
        <f>DE20*$D20</f>
        <v/>
      </c>
      <c r="DG20" s="982" t="n"/>
      <c r="DH20" s="15">
        <f>DG20*$D20</f>
        <v/>
      </c>
      <c r="DI20" s="982" t="n"/>
      <c r="DJ20" s="15">
        <f>DI20*$D20</f>
        <v/>
      </c>
      <c r="DK20" s="983">
        <f>SUM(CM20,CO20,CQ20,CS20,CU20,CW20,CY20,DA20,DC20,DE20,DG20,DI20)</f>
        <v/>
      </c>
      <c r="DL20" s="984">
        <f>SUM(CN20,CP20,CR20,CT20,CV20,CX20,CZ20,DB20,DD20,DF20,DH20,DJ20)</f>
        <v/>
      </c>
      <c r="DM20" s="985">
        <f>DK20/6</f>
        <v/>
      </c>
      <c r="DN20" s="985">
        <f>DL20/6</f>
        <v/>
      </c>
      <c r="DO20" s="69">
        <f>DN20/$DN$36%</f>
        <v/>
      </c>
      <c r="DP20" s="70">
        <f>DO20-CK20</f>
        <v/>
      </c>
      <c r="DQ20" s="986">
        <f>DN20/CF20*100-100</f>
        <v/>
      </c>
      <c r="DR20" s="986">
        <f>DN20/CH20*100-100</f>
        <v/>
      </c>
      <c r="DS20" s="986">
        <f>DN20-CH20</f>
        <v/>
      </c>
      <c r="DT20" s="986">
        <f>DN20-CF20</f>
        <v/>
      </c>
      <c r="DU20" s="986">
        <f>DS20/14</f>
        <v/>
      </c>
      <c r="DV20" s="986">
        <f>DT20/14</f>
        <v/>
      </c>
      <c r="DW20" s="986">
        <f>DV20*6</f>
        <v/>
      </c>
    </row>
    <row r="21">
      <c r="A21" s="7" t="n">
        <v>18</v>
      </c>
      <c r="B21" s="8" t="inlineStr">
        <is>
          <t xml:space="preserve">Dagon Pineapple </t>
        </is>
      </c>
      <c r="C21" s="8" t="inlineStr">
        <is>
          <t>ပုလင်း</t>
        </is>
      </c>
      <c r="D21" s="7" t="n">
        <v>0.64</v>
      </c>
      <c r="E21" s="7" t="inlineStr">
        <is>
          <t>1 * 24</t>
        </is>
      </c>
      <c r="F21" s="7" t="n">
        <v>1230</v>
      </c>
      <c r="G21" s="975" t="n">
        <v>12312</v>
      </c>
      <c r="H21" s="976">
        <f>G21*$D21</f>
        <v/>
      </c>
      <c r="I21" s="975" t="n">
        <v>9552</v>
      </c>
      <c r="J21" s="976">
        <f>I21*$D21</f>
        <v/>
      </c>
      <c r="K21" s="975" t="n">
        <v>17280</v>
      </c>
      <c r="L21" s="976">
        <f>K21*$D21</f>
        <v/>
      </c>
      <c r="M21" s="975" t="n">
        <v>8328</v>
      </c>
      <c r="N21" s="976">
        <f>M21*$D21</f>
        <v/>
      </c>
      <c r="O21" s="975" t="n">
        <v>8640</v>
      </c>
      <c r="P21" s="976">
        <f>O21*$D21</f>
        <v/>
      </c>
      <c r="Q21" s="975" t="n">
        <v>15312</v>
      </c>
      <c r="R21" s="976">
        <f>Q21*$D21</f>
        <v/>
      </c>
      <c r="S21" s="975" t="n">
        <v>10944</v>
      </c>
      <c r="T21" s="976">
        <f>S21*$D21</f>
        <v/>
      </c>
      <c r="U21" s="975" t="n">
        <v>12888</v>
      </c>
      <c r="V21" s="976">
        <f>U21*$D21</f>
        <v/>
      </c>
      <c r="W21" s="975" t="n">
        <v>11496</v>
      </c>
      <c r="X21" s="976">
        <f>W21*$D21</f>
        <v/>
      </c>
      <c r="Y21" s="975" t="n">
        <v>8736</v>
      </c>
      <c r="Z21" s="976">
        <f>Y21*$D21</f>
        <v/>
      </c>
      <c r="AA21" s="975" t="n">
        <v>5760</v>
      </c>
      <c r="AB21" s="976">
        <f>AA21*$D21</f>
        <v/>
      </c>
      <c r="AC21" s="975" t="n">
        <v>13536</v>
      </c>
      <c r="AD21" s="976">
        <f>AC21*$D21</f>
        <v/>
      </c>
      <c r="AE21" s="977">
        <f>(AC21+AA21+Y21+W21+U21+S21+Q21+O21+M21+K21+I21+G21)/12</f>
        <v/>
      </c>
      <c r="AF21" s="978">
        <f>AE21*$D21</f>
        <v/>
      </c>
      <c r="AG21" s="975" t="n">
        <v>15072</v>
      </c>
      <c r="AH21" s="976">
        <f>AG21*$D21</f>
        <v/>
      </c>
      <c r="AI21" s="975" t="n">
        <v>5352</v>
      </c>
      <c r="AJ21" s="976">
        <f>AI21*$D21</f>
        <v/>
      </c>
      <c r="AK21" s="975" t="n">
        <v>11496</v>
      </c>
      <c r="AL21" s="976">
        <f>AK21*$D21</f>
        <v/>
      </c>
      <c r="AM21" s="975" t="n">
        <v>10296</v>
      </c>
      <c r="AN21" s="976">
        <f>AM21*$D21</f>
        <v/>
      </c>
      <c r="AO21" s="975" t="n">
        <v>9336</v>
      </c>
      <c r="AP21" s="976">
        <f>AO21*$D21</f>
        <v/>
      </c>
      <c r="AQ21" s="975" t="n">
        <v>11016</v>
      </c>
      <c r="AR21" s="976">
        <f>AQ21*$D21</f>
        <v/>
      </c>
      <c r="AS21" s="975" t="n">
        <v>13056</v>
      </c>
      <c r="AT21" s="976">
        <f>AS21*$D21</f>
        <v/>
      </c>
      <c r="AU21" s="975" t="n">
        <v>14400</v>
      </c>
      <c r="AV21" s="976">
        <f>AU21*$D21</f>
        <v/>
      </c>
      <c r="AW21" s="975" t="n">
        <v>12576</v>
      </c>
      <c r="AX21" s="976">
        <f>AW21*$D21</f>
        <v/>
      </c>
      <c r="AY21" s="975" t="n">
        <v>10680</v>
      </c>
      <c r="AZ21" s="976">
        <f>AY21*$D21</f>
        <v/>
      </c>
      <c r="BA21" s="975" t="n">
        <v>6942</v>
      </c>
      <c r="BB21" s="976">
        <f>BA21*$D21</f>
        <v/>
      </c>
      <c r="BC21" s="975" t="n">
        <v>17568</v>
      </c>
      <c r="BD21" s="976">
        <f>BC21*$D21</f>
        <v/>
      </c>
      <c r="BE21" s="977">
        <f>(BC21+BA21+AY21+AW21+AU21+AS21+AQ21+AO21+AM21+AK21+AI21+AG21)/12</f>
        <v/>
      </c>
      <c r="BF21" s="978">
        <f>BE21*$D21</f>
        <v/>
      </c>
      <c r="BG21" s="975" t="n">
        <v>5832</v>
      </c>
      <c r="BH21" s="976">
        <f>BG21*$D21</f>
        <v/>
      </c>
      <c r="BI21" s="975" t="n">
        <v>7320</v>
      </c>
      <c r="BJ21" s="976">
        <f>BI21*$D21</f>
        <v/>
      </c>
      <c r="BK21" s="975" t="n">
        <v>12024</v>
      </c>
      <c r="BL21" s="976">
        <f>BK21*$D21</f>
        <v/>
      </c>
      <c r="BM21" s="975" t="n">
        <v>6528</v>
      </c>
      <c r="BN21" s="976">
        <f>BM21*$D21</f>
        <v/>
      </c>
      <c r="BO21" s="975" t="n">
        <v>7944</v>
      </c>
      <c r="BP21" s="976">
        <f>BO21*$D21</f>
        <v/>
      </c>
      <c r="BQ21" s="975" t="n">
        <v>9492</v>
      </c>
      <c r="BR21" s="976">
        <f>BQ21*$D21</f>
        <v/>
      </c>
      <c r="BS21" s="975" t="n">
        <v>11832</v>
      </c>
      <c r="BT21" s="976">
        <f>BS21*$D21</f>
        <v/>
      </c>
      <c r="BU21" s="975" t="n">
        <v>12852</v>
      </c>
      <c r="BV21" s="976">
        <f>BU21*$D21</f>
        <v/>
      </c>
      <c r="BW21" s="975" t="n">
        <v>10104</v>
      </c>
      <c r="BX21" s="976">
        <f>BW21*$D21</f>
        <v/>
      </c>
      <c r="BY21" s="975" t="n">
        <v>12240</v>
      </c>
      <c r="BZ21" s="976">
        <f>BY21*$D21</f>
        <v/>
      </c>
      <c r="CA21" s="975" t="n">
        <v>8880</v>
      </c>
      <c r="CB21" s="976">
        <f>CA21*$D21</f>
        <v/>
      </c>
      <c r="CC21" s="975" t="n">
        <v>12951</v>
      </c>
      <c r="CD21" s="976">
        <f>CC21*$D21</f>
        <v/>
      </c>
      <c r="CE21" s="979">
        <f>(BG21+BI21+BK21+BM21+BO21+BQ21)/6</f>
        <v/>
      </c>
      <c r="CF21" s="976">
        <f>(BH21+BJ21+BL21+BN21+BP21+BR21)/6</f>
        <v/>
      </c>
      <c r="CG21" s="977">
        <f>(CC21+CA21+BY21+BW21+BU21+BS21+BQ21+BO21+BM21+BK21+BI21+BG21)/12</f>
        <v/>
      </c>
      <c r="CH21" s="978">
        <f>CG21*$D21</f>
        <v/>
      </c>
      <c r="CI21" s="980" t="n">
        <v>9833</v>
      </c>
      <c r="CJ21" s="976">
        <f>CI21*$D21</f>
        <v/>
      </c>
      <c r="CK21" s="15">
        <f>CH21/$CH$36%</f>
        <v/>
      </c>
      <c r="CL21" s="15" t="n">
        <v>1.12</v>
      </c>
      <c r="CM21" s="982" t="n">
        <v>10968</v>
      </c>
      <c r="CN21" s="976">
        <f>CM21*$D21</f>
        <v/>
      </c>
      <c r="CO21" s="982" t="n">
        <v>10200</v>
      </c>
      <c r="CP21" s="15">
        <f>CO21*$D21</f>
        <v/>
      </c>
      <c r="CQ21" s="982" t="n">
        <v>14808</v>
      </c>
      <c r="CR21" s="15">
        <f>CQ21*$D21</f>
        <v/>
      </c>
      <c r="CS21" s="982" t="n">
        <v>8928</v>
      </c>
      <c r="CT21" s="15">
        <f>CS21*$D21</f>
        <v/>
      </c>
      <c r="CU21" s="982" t="n">
        <v>13152</v>
      </c>
      <c r="CV21" s="15">
        <f>CU21*$D21</f>
        <v/>
      </c>
      <c r="CW21" s="982" t="n">
        <v>13198</v>
      </c>
      <c r="CX21" s="15">
        <f>CW21*$D21</f>
        <v/>
      </c>
      <c r="CY21" s="982" t="n"/>
      <c r="CZ21" s="15">
        <f>CY21*$D21</f>
        <v/>
      </c>
      <c r="DA21" s="982" t="n"/>
      <c r="DB21" s="15">
        <f>DA21*$D21</f>
        <v/>
      </c>
      <c r="DC21" s="982" t="n"/>
      <c r="DD21" s="15">
        <f>DC21*$D21</f>
        <v/>
      </c>
      <c r="DE21" s="982" t="n"/>
      <c r="DF21" s="15">
        <f>DE21*$D21</f>
        <v/>
      </c>
      <c r="DG21" s="982" t="n"/>
      <c r="DH21" s="15">
        <f>DG21*$D21</f>
        <v/>
      </c>
      <c r="DI21" s="982" t="n"/>
      <c r="DJ21" s="15">
        <f>DI21*$D21</f>
        <v/>
      </c>
      <c r="DK21" s="983">
        <f>SUM(CM21,CO21,CQ21,CS21,CU21,CW21,CY21,DA21,DC21,DE21,DG21,DI21)</f>
        <v/>
      </c>
      <c r="DL21" s="984">
        <f>SUM(CN21,CP21,CR21,CT21,CV21,CX21,CZ21,DB21,DD21,DF21,DH21,DJ21)</f>
        <v/>
      </c>
      <c r="DM21" s="985">
        <f>DK21/6</f>
        <v/>
      </c>
      <c r="DN21" s="985">
        <f>DL21/6</f>
        <v/>
      </c>
      <c r="DO21" s="69">
        <f>DN21/$DN$36%</f>
        <v/>
      </c>
      <c r="DP21" s="70">
        <f>DO21-CK21</f>
        <v/>
      </c>
      <c r="DQ21" s="986">
        <f>DN21/CF21*100-100</f>
        <v/>
      </c>
      <c r="DR21" s="986">
        <f>DN21/CH21*100-100</f>
        <v/>
      </c>
      <c r="DS21" s="986">
        <f>DN21-CH21</f>
        <v/>
      </c>
      <c r="DT21" s="986">
        <f>DN21-CF21</f>
        <v/>
      </c>
      <c r="DU21" s="986">
        <f>DS21/14</f>
        <v/>
      </c>
      <c r="DV21" s="986">
        <f>DT21/14</f>
        <v/>
      </c>
      <c r="DW21" s="986">
        <f>DV21*6</f>
        <v/>
      </c>
    </row>
    <row r="22">
      <c r="A22" s="7" t="n">
        <v>19</v>
      </c>
      <c r="B22" s="8" t="inlineStr">
        <is>
          <t>ချယ်ရီကော်ဘူး(0.6 Liter)</t>
        </is>
      </c>
      <c r="C22" s="8" t="inlineStr">
        <is>
          <t>‌ကော်ဘူး</t>
        </is>
      </c>
      <c r="D22" s="7" t="n">
        <v>0.6</v>
      </c>
      <c r="E22" s="7" t="inlineStr">
        <is>
          <t>1 * 24</t>
        </is>
      </c>
      <c r="F22" s="7" t="n">
        <v>900</v>
      </c>
      <c r="G22" s="975" t="n"/>
      <c r="H22" s="976">
        <f>G22*$D22</f>
        <v/>
      </c>
      <c r="I22" s="975" t="n"/>
      <c r="J22" s="976">
        <f>I22*$D22</f>
        <v/>
      </c>
      <c r="K22" s="975" t="n"/>
      <c r="L22" s="976">
        <f>K22*$D22</f>
        <v/>
      </c>
      <c r="M22" s="975" t="n"/>
      <c r="N22" s="976">
        <f>M22*$D22</f>
        <v/>
      </c>
      <c r="O22" s="975" t="n"/>
      <c r="P22" s="976">
        <f>O22*$D22</f>
        <v/>
      </c>
      <c r="Q22" s="975" t="n"/>
      <c r="R22" s="976">
        <f>Q22*$D22</f>
        <v/>
      </c>
      <c r="S22" s="975" t="n"/>
      <c r="T22" s="976">
        <f>S22*$D22</f>
        <v/>
      </c>
      <c r="U22" s="975" t="n"/>
      <c r="V22" s="976">
        <f>U22*$D22</f>
        <v/>
      </c>
      <c r="W22" s="975" t="n"/>
      <c r="X22" s="976">
        <f>W22*$D22</f>
        <v/>
      </c>
      <c r="Y22" s="975" t="n"/>
      <c r="Z22" s="976">
        <f>Y22*$D22</f>
        <v/>
      </c>
      <c r="AA22" s="975" t="n"/>
      <c r="AB22" s="976">
        <f>AA22*$D22</f>
        <v/>
      </c>
      <c r="AC22" s="975" t="n"/>
      <c r="AD22" s="976">
        <f>AC22*$D22</f>
        <v/>
      </c>
      <c r="AE22" s="977">
        <f>(AC22+AA22+Y22+W22+U22+S22+Q22+O22+M22+K22+I22+G22)/12</f>
        <v/>
      </c>
      <c r="AF22" s="978">
        <f>AE22*$D22</f>
        <v/>
      </c>
      <c r="AG22" s="975" t="n"/>
      <c r="AH22" s="976">
        <f>AG22*$D22</f>
        <v/>
      </c>
      <c r="AI22" s="975" t="n"/>
      <c r="AJ22" s="976">
        <f>AI22*$D22</f>
        <v/>
      </c>
      <c r="AK22" s="975" t="n"/>
      <c r="AL22" s="976">
        <f>AK22*$D22</f>
        <v/>
      </c>
      <c r="AM22" s="975" t="n"/>
      <c r="AN22" s="976">
        <f>AM22*$D22</f>
        <v/>
      </c>
      <c r="AO22" s="975" t="n"/>
      <c r="AP22" s="976">
        <f>AO22*$D22</f>
        <v/>
      </c>
      <c r="AQ22" s="975" t="n"/>
      <c r="AR22" s="976">
        <f>AQ22*$D22</f>
        <v/>
      </c>
      <c r="AS22" s="975" t="n"/>
      <c r="AT22" s="976">
        <f>AS22*$D22</f>
        <v/>
      </c>
      <c r="AU22" s="975" t="n"/>
      <c r="AV22" s="976">
        <f>AU22*$D22</f>
        <v/>
      </c>
      <c r="AW22" s="975" t="n"/>
      <c r="AX22" s="976">
        <f>AW22*$D22</f>
        <v/>
      </c>
      <c r="AY22" s="975" t="n"/>
      <c r="AZ22" s="976">
        <f>AY22*$D22</f>
        <v/>
      </c>
      <c r="BA22" s="975" t="n"/>
      <c r="BB22" s="976">
        <f>BA22*$D22</f>
        <v/>
      </c>
      <c r="BC22" s="975" t="n"/>
      <c r="BD22" s="976">
        <f>BC22*$D22</f>
        <v/>
      </c>
      <c r="BE22" s="977">
        <f>(BC22+BA22+AY22+AW22+AU22+AS22+AQ22+AO22+AM22+AK22+AI22+AG22)/12</f>
        <v/>
      </c>
      <c r="BF22" s="978">
        <f>BE22*$D22</f>
        <v/>
      </c>
      <c r="BG22" s="975" t="n"/>
      <c r="BH22" s="976">
        <f>BG22*$D22</f>
        <v/>
      </c>
      <c r="BI22" s="975" t="n"/>
      <c r="BJ22" s="976">
        <f>BI22*$D22</f>
        <v/>
      </c>
      <c r="BK22" s="975" t="n"/>
      <c r="BL22" s="976">
        <f>BK22*$D22</f>
        <v/>
      </c>
      <c r="BM22" s="975" t="n"/>
      <c r="BN22" s="976">
        <f>BM22*$D22</f>
        <v/>
      </c>
      <c r="BO22" s="975" t="n">
        <v>12608</v>
      </c>
      <c r="BP22" s="976">
        <f>BO22*$D22</f>
        <v/>
      </c>
      <c r="BQ22" s="975" t="n">
        <v>6380</v>
      </c>
      <c r="BR22" s="976">
        <f>BQ22*$D22</f>
        <v/>
      </c>
      <c r="BS22" s="975" t="n">
        <v>18960</v>
      </c>
      <c r="BT22" s="976">
        <f>BS22*$D22</f>
        <v/>
      </c>
      <c r="BU22" s="975" t="n">
        <v>12922</v>
      </c>
      <c r="BV22" s="976">
        <f>BU22*$D22</f>
        <v/>
      </c>
      <c r="BW22" s="975" t="n">
        <v>27118</v>
      </c>
      <c r="BX22" s="976">
        <f>BW22*$D22</f>
        <v/>
      </c>
      <c r="BY22" s="975" t="n">
        <v>29069</v>
      </c>
      <c r="BZ22" s="976">
        <f>BY22*$D22</f>
        <v/>
      </c>
      <c r="CA22" s="975" t="n">
        <v>28498</v>
      </c>
      <c r="CB22" s="976">
        <f>CA22*$D22</f>
        <v/>
      </c>
      <c r="CC22" s="975" t="n">
        <v>30810</v>
      </c>
      <c r="CD22" s="976">
        <f>CC22*$D22</f>
        <v/>
      </c>
      <c r="CE22" s="979">
        <f>(BG22+BI22+BK22+BM22+BO22+BQ22)/6</f>
        <v/>
      </c>
      <c r="CF22" s="976">
        <f>(BH22+BJ22+BL22+BN22+BP22+BR22)/6</f>
        <v/>
      </c>
      <c r="CG22" s="977">
        <f>(CC22+CA22+BY22+BW22+BU22+BS22+BQ22+BO22+BM22+BK22+BI22+BG22)/12</f>
        <v/>
      </c>
      <c r="CH22" s="978">
        <f>CG22*$D22</f>
        <v/>
      </c>
      <c r="CI22" s="980" t="n">
        <v>20795</v>
      </c>
      <c r="CJ22" s="976">
        <f>CI22*$D22</f>
        <v/>
      </c>
      <c r="CK22" s="15">
        <f>CH22/$CH$36%</f>
        <v/>
      </c>
      <c r="CL22" s="15" t="n"/>
      <c r="CM22" s="987" t="n">
        <v>42798</v>
      </c>
      <c r="CN22" s="976">
        <f>CM22*$D22</f>
        <v/>
      </c>
      <c r="CO22" s="982" t="n">
        <v>32991</v>
      </c>
      <c r="CP22" s="15">
        <f>CO22*$D22</f>
        <v/>
      </c>
      <c r="CQ22" s="982" t="n">
        <v>26400</v>
      </c>
      <c r="CR22" s="15">
        <f>CQ22*$D22</f>
        <v/>
      </c>
      <c r="CS22" s="982" t="n">
        <v>39264</v>
      </c>
      <c r="CT22" s="15">
        <f>CS22*$D22</f>
        <v/>
      </c>
      <c r="CU22" s="982" t="n">
        <v>37848</v>
      </c>
      <c r="CV22" s="15">
        <f>CU22*$D22</f>
        <v/>
      </c>
      <c r="CW22" s="982" t="n">
        <v>38424</v>
      </c>
      <c r="CX22" s="15">
        <f>CW22*$D22</f>
        <v/>
      </c>
      <c r="CY22" s="982" t="n"/>
      <c r="CZ22" s="15">
        <f>CY22*$D22</f>
        <v/>
      </c>
      <c r="DA22" s="982" t="n"/>
      <c r="DB22" s="15">
        <f>DA22*$D22</f>
        <v/>
      </c>
      <c r="DC22" s="982" t="n"/>
      <c r="DD22" s="15">
        <f>DC22*$D22</f>
        <v/>
      </c>
      <c r="DE22" s="982" t="n"/>
      <c r="DF22" s="15">
        <f>DE22*$D22</f>
        <v/>
      </c>
      <c r="DG22" s="982" t="n"/>
      <c r="DH22" s="15">
        <f>DG22*$D22</f>
        <v/>
      </c>
      <c r="DI22" s="982" t="n"/>
      <c r="DJ22" s="15">
        <f>DI22*$D22</f>
        <v/>
      </c>
      <c r="DK22" s="983">
        <f>SUM(CM22,CO22,CQ22,CS22,CU22,CW22,CY22,DA22,DC22,DE22,DG22,DI22)</f>
        <v/>
      </c>
      <c r="DL22" s="984">
        <f>SUM(CN22,CP22,CR22,CT22,CV22,CX22,CZ22,DB22,DD22,DF22,DH22,DJ22)</f>
        <v/>
      </c>
      <c r="DM22" s="985">
        <f>DK22/6</f>
        <v/>
      </c>
      <c r="DN22" s="985">
        <f>DL22/6</f>
        <v/>
      </c>
      <c r="DO22" s="69">
        <f>DN22/$DN$36%</f>
        <v/>
      </c>
      <c r="DP22" s="70">
        <f>DO22-CK22</f>
        <v/>
      </c>
      <c r="DQ22" s="986">
        <f>DN22/CF22*100-100</f>
        <v/>
      </c>
      <c r="DR22" s="986">
        <f>DN22/CH22*100-100</f>
        <v/>
      </c>
      <c r="DS22" s="986">
        <f>DN22-CH22</f>
        <v/>
      </c>
      <c r="DT22" s="986">
        <f>DN22-CF22</f>
        <v/>
      </c>
      <c r="DU22" s="986">
        <f>DS22/14</f>
        <v/>
      </c>
      <c r="DV22" s="986">
        <f>DT22/14</f>
        <v/>
      </c>
      <c r="DW22" s="986">
        <f>DV22*6</f>
        <v/>
      </c>
    </row>
    <row r="23">
      <c r="A23" s="7" t="n">
        <v>20</v>
      </c>
      <c r="B23" s="8" t="inlineStr">
        <is>
          <t>ချယ်ရီအရက်သန့်</t>
        </is>
      </c>
      <c r="C23" s="8" t="inlineStr">
        <is>
          <t>ပုလင်း</t>
        </is>
      </c>
      <c r="D23" s="7" t="n">
        <v>0.64</v>
      </c>
      <c r="E23" s="7" t="inlineStr">
        <is>
          <t>1 * 14</t>
        </is>
      </c>
      <c r="F23" s="7" t="n">
        <v>1230</v>
      </c>
      <c r="G23" s="975" t="n"/>
      <c r="H23" s="976">
        <f>G23*$D23</f>
        <v/>
      </c>
      <c r="I23" s="975" t="n"/>
      <c r="J23" s="976">
        <f>I23*$D23</f>
        <v/>
      </c>
      <c r="K23" s="975" t="n"/>
      <c r="L23" s="976">
        <f>K23*$D23</f>
        <v/>
      </c>
      <c r="M23" s="975" t="n"/>
      <c r="N23" s="976">
        <f>M23*$D23</f>
        <v/>
      </c>
      <c r="O23" s="975" t="n"/>
      <c r="P23" s="976">
        <f>O23*$D23</f>
        <v/>
      </c>
      <c r="Q23" s="975" t="n"/>
      <c r="R23" s="976">
        <f>Q23*$D23</f>
        <v/>
      </c>
      <c r="S23" s="975" t="n"/>
      <c r="T23" s="976">
        <f>S23*$D23</f>
        <v/>
      </c>
      <c r="U23" s="975" t="n"/>
      <c r="V23" s="976">
        <f>U23*$D23</f>
        <v/>
      </c>
      <c r="W23" s="975" t="n"/>
      <c r="X23" s="976">
        <f>W23*$D23</f>
        <v/>
      </c>
      <c r="Y23" s="975" t="n"/>
      <c r="Z23" s="976">
        <f>Y23*$D23</f>
        <v/>
      </c>
      <c r="AA23" s="975" t="n"/>
      <c r="AB23" s="976">
        <f>AA23*$D23</f>
        <v/>
      </c>
      <c r="AC23" s="975" t="n"/>
      <c r="AD23" s="976">
        <f>AC23*$D23</f>
        <v/>
      </c>
      <c r="AE23" s="977">
        <f>(AC23+AA23+Y23+W23+U23+S23+Q23+O23+M23+K23+I23+G23)/12</f>
        <v/>
      </c>
      <c r="AF23" s="978">
        <f>AE23*$D23</f>
        <v/>
      </c>
      <c r="AG23" s="975" t="n"/>
      <c r="AH23" s="976">
        <f>AG23*$D23</f>
        <v/>
      </c>
      <c r="AI23" s="975" t="n"/>
      <c r="AJ23" s="976">
        <f>AI23*$D23</f>
        <v/>
      </c>
      <c r="AK23" s="975" t="n"/>
      <c r="AL23" s="976">
        <f>AK23*$D23</f>
        <v/>
      </c>
      <c r="AM23" s="975" t="n"/>
      <c r="AN23" s="976">
        <f>AM23*$D23</f>
        <v/>
      </c>
      <c r="AO23" s="975" t="n"/>
      <c r="AP23" s="976">
        <f>AO23*$D23</f>
        <v/>
      </c>
      <c r="AQ23" s="975" t="n"/>
      <c r="AR23" s="976">
        <f>AQ23*$D23</f>
        <v/>
      </c>
      <c r="AS23" s="975" t="n"/>
      <c r="AT23" s="976">
        <f>AS23*$D23</f>
        <v/>
      </c>
      <c r="AU23" s="975" t="n"/>
      <c r="AV23" s="976">
        <f>AU23*$D23</f>
        <v/>
      </c>
      <c r="AW23" s="975" t="n"/>
      <c r="AX23" s="976">
        <f>AW23*$D23</f>
        <v/>
      </c>
      <c r="AY23" s="975" t="n"/>
      <c r="AZ23" s="976">
        <f>AY23*$D23</f>
        <v/>
      </c>
      <c r="BA23" s="975" t="n"/>
      <c r="BB23" s="976">
        <f>BA23*$D23</f>
        <v/>
      </c>
      <c r="BC23" s="975" t="n"/>
      <c r="BD23" s="976">
        <f>BC23*$D23</f>
        <v/>
      </c>
      <c r="BE23" s="977">
        <f>(BC23+BA23+AY23+AW23+AU23+AS23+AQ23+AO23+AM23+AK23+AI23+AG23)/12</f>
        <v/>
      </c>
      <c r="BF23" s="978">
        <f>BE23*$D23</f>
        <v/>
      </c>
      <c r="BG23" s="975" t="n"/>
      <c r="BH23" s="976">
        <f>BG23*$D23</f>
        <v/>
      </c>
      <c r="BI23" s="975" t="n"/>
      <c r="BJ23" s="976">
        <f>BI23*$D23</f>
        <v/>
      </c>
      <c r="BK23" s="975" t="n">
        <v>5419</v>
      </c>
      <c r="BL23" s="976">
        <f>BK23*$D23</f>
        <v/>
      </c>
      <c r="BM23" s="975" t="n">
        <v>840</v>
      </c>
      <c r="BN23" s="976">
        <f>BM23*$D23</f>
        <v/>
      </c>
      <c r="BO23" s="975" t="n">
        <v>2533</v>
      </c>
      <c r="BP23" s="976">
        <f>BO23*$D23</f>
        <v/>
      </c>
      <c r="BQ23" s="975" t="n">
        <v>2394</v>
      </c>
      <c r="BR23" s="976">
        <f>BQ23*$D23</f>
        <v/>
      </c>
      <c r="BS23" s="975" t="n">
        <v>623</v>
      </c>
      <c r="BT23" s="976">
        <f>BS23*$D23</f>
        <v/>
      </c>
      <c r="BU23" s="975" t="n">
        <v>504</v>
      </c>
      <c r="BV23" s="976">
        <f>BU23*$D23</f>
        <v/>
      </c>
      <c r="BW23" s="975" t="n">
        <v>322</v>
      </c>
      <c r="BX23" s="976">
        <f>BW23*$D23</f>
        <v/>
      </c>
      <c r="BY23" s="975" t="n">
        <v>373</v>
      </c>
      <c r="BZ23" s="976">
        <f>BY23*$D23</f>
        <v/>
      </c>
      <c r="CA23" s="975" t="n">
        <v>1512</v>
      </c>
      <c r="CB23" s="976">
        <f>CA23*$D23</f>
        <v/>
      </c>
      <c r="CC23" s="975" t="n">
        <v>168</v>
      </c>
      <c r="CD23" s="976">
        <f>CC23*$D23</f>
        <v/>
      </c>
      <c r="CE23" s="979">
        <f>(BG23+BI23+BK23+BM23+BO23+BQ23)/6</f>
        <v/>
      </c>
      <c r="CF23" s="976">
        <f>(BH23+BJ23+BL23+BN23+BP23+BR23)/6</f>
        <v/>
      </c>
      <c r="CG23" s="977">
        <f>(CC23+CA23+BY23+BW23+BU23+BS23+BQ23+BO23+BM23+BK23+BI23+BG23)/12</f>
        <v/>
      </c>
      <c r="CH23" s="978">
        <f>CG23*$D23</f>
        <v/>
      </c>
      <c r="CI23" s="980" t="n">
        <v>1224</v>
      </c>
      <c r="CJ23" s="976">
        <f>CI23*$D23</f>
        <v/>
      </c>
      <c r="CK23" s="15">
        <f>CH23/$CH$36%</f>
        <v/>
      </c>
      <c r="CL23" s="15" t="n"/>
      <c r="CM23" s="987" t="n">
        <v>98</v>
      </c>
      <c r="CN23" s="976">
        <f>CM23*$D23</f>
        <v/>
      </c>
      <c r="CO23" s="982" t="n">
        <v>2380</v>
      </c>
      <c r="CP23" s="15">
        <f>CO23*$D23</f>
        <v/>
      </c>
      <c r="CQ23" s="982" t="n"/>
      <c r="CR23" s="15">
        <f>CQ23*$D23</f>
        <v/>
      </c>
      <c r="CS23" s="982" t="n"/>
      <c r="CT23" s="15">
        <f>CS23*$D23</f>
        <v/>
      </c>
      <c r="CU23" s="982" t="n"/>
      <c r="CV23" s="15">
        <f>CU23*$D23</f>
        <v/>
      </c>
      <c r="CW23" s="982" t="n"/>
      <c r="CX23" s="15">
        <f>CW23*$D23</f>
        <v/>
      </c>
      <c r="CY23" s="982" t="n"/>
      <c r="CZ23" s="15">
        <f>CY23*$D23</f>
        <v/>
      </c>
      <c r="DA23" s="982" t="n"/>
      <c r="DB23" s="15">
        <f>DA23*$D23</f>
        <v/>
      </c>
      <c r="DC23" s="982" t="n"/>
      <c r="DD23" s="15">
        <f>DC23*$D23</f>
        <v/>
      </c>
      <c r="DE23" s="982" t="n"/>
      <c r="DF23" s="15">
        <f>DE23*$D23</f>
        <v/>
      </c>
      <c r="DG23" s="982" t="n"/>
      <c r="DH23" s="15">
        <f>DG23*$D23</f>
        <v/>
      </c>
      <c r="DI23" s="982" t="n"/>
      <c r="DJ23" s="15">
        <f>DI23*$D23</f>
        <v/>
      </c>
      <c r="DK23" s="983">
        <f>SUM(CM23,CO23,CQ23,CS23,CU23,CW23,CY23,DA23,DC23,DE23,DG23,DI23)</f>
        <v/>
      </c>
      <c r="DL23" s="984">
        <f>SUM(CN23,CP23,CR23,CT23,CV23,CX23,CZ23,DB23,DD23,DF23,DH23,DJ23)</f>
        <v/>
      </c>
      <c r="DM23" s="985">
        <f>DK23/6</f>
        <v/>
      </c>
      <c r="DN23" s="985">
        <f>DL23/6</f>
        <v/>
      </c>
      <c r="DO23" s="69">
        <f>DN23/$DN$36%</f>
        <v/>
      </c>
      <c r="DP23" s="70">
        <f>DO23-CK23</f>
        <v/>
      </c>
      <c r="DQ23" s="986">
        <f>DN23/CF23*100-100</f>
        <v/>
      </c>
      <c r="DR23" s="986">
        <f>DN23/CH23*100-100</f>
        <v/>
      </c>
      <c r="DS23" s="986">
        <f>DN23-CH23</f>
        <v/>
      </c>
      <c r="DT23" s="986">
        <f>DN23-CF23</f>
        <v/>
      </c>
      <c r="DU23" s="986">
        <f>DS23/14</f>
        <v/>
      </c>
      <c r="DV23" s="986">
        <f>DT23/14</f>
        <v/>
      </c>
      <c r="DW23" s="986">
        <f>DV23*6</f>
        <v/>
      </c>
    </row>
    <row r="24">
      <c r="A24" s="7" t="n">
        <v>21</v>
      </c>
      <c r="B24" s="8" t="inlineStr">
        <is>
          <t>ချယ်ရီသံပုရာ (1 Liter )</t>
        </is>
      </c>
      <c r="C24" s="8" t="inlineStr">
        <is>
          <t>‌ကော်ဘူး</t>
        </is>
      </c>
      <c r="D24" s="7" t="n">
        <v>1</v>
      </c>
      <c r="E24" s="7" t="inlineStr">
        <is>
          <t>1 * 12</t>
        </is>
      </c>
      <c r="F24" s="7" t="n">
        <v>1220</v>
      </c>
      <c r="G24" s="975" t="n"/>
      <c r="H24" s="976">
        <f>G24*$D24</f>
        <v/>
      </c>
      <c r="I24" s="975" t="n"/>
      <c r="J24" s="976">
        <f>I24*$D24</f>
        <v/>
      </c>
      <c r="K24" s="975" t="n"/>
      <c r="L24" s="976">
        <f>K24*$D24</f>
        <v/>
      </c>
      <c r="M24" s="975" t="n"/>
      <c r="N24" s="976">
        <f>M24*$D24</f>
        <v/>
      </c>
      <c r="O24" s="975" t="n"/>
      <c r="P24" s="976">
        <f>O24*$D24</f>
        <v/>
      </c>
      <c r="Q24" s="975" t="n"/>
      <c r="R24" s="976">
        <f>Q24*$D24</f>
        <v/>
      </c>
      <c r="S24" s="975" t="n"/>
      <c r="T24" s="976">
        <f>S24*$D24</f>
        <v/>
      </c>
      <c r="U24" s="975" t="n"/>
      <c r="V24" s="976">
        <f>U24*$D24</f>
        <v/>
      </c>
      <c r="W24" s="975" t="n"/>
      <c r="X24" s="976">
        <f>W24*$D24</f>
        <v/>
      </c>
      <c r="Y24" s="975" t="n"/>
      <c r="Z24" s="976">
        <f>Y24*$D24</f>
        <v/>
      </c>
      <c r="AA24" s="975" t="n"/>
      <c r="AB24" s="976">
        <f>AA24*$D24</f>
        <v/>
      </c>
      <c r="AC24" s="975" t="n"/>
      <c r="AD24" s="976">
        <f>AC24*$D24</f>
        <v/>
      </c>
      <c r="AE24" s="977">
        <f>(AC24+AA24+Y24+W24+U24+S24+Q24+O24+M24+K24+I24+G24)/12</f>
        <v/>
      </c>
      <c r="AF24" s="978">
        <f>AE24*$D24</f>
        <v/>
      </c>
      <c r="AG24" s="975" t="n"/>
      <c r="AH24" s="976">
        <f>AG24*$D24</f>
        <v/>
      </c>
      <c r="AI24" s="975" t="n"/>
      <c r="AJ24" s="976">
        <f>AI24*$D24</f>
        <v/>
      </c>
      <c r="AK24" s="975" t="n"/>
      <c r="AL24" s="976">
        <f>AK24*$D24</f>
        <v/>
      </c>
      <c r="AM24" s="975" t="n"/>
      <c r="AN24" s="976">
        <f>AM24*$D24</f>
        <v/>
      </c>
      <c r="AO24" s="975" t="n"/>
      <c r="AP24" s="976">
        <f>AO24*$D24</f>
        <v/>
      </c>
      <c r="AQ24" s="975" t="n"/>
      <c r="AR24" s="976">
        <f>AQ24*$D24</f>
        <v/>
      </c>
      <c r="AS24" s="975" t="n"/>
      <c r="AT24" s="976">
        <f>AS24*$D24</f>
        <v/>
      </c>
      <c r="AU24" s="975" t="n"/>
      <c r="AV24" s="976">
        <f>AU24*$D24</f>
        <v/>
      </c>
      <c r="AW24" s="975" t="n"/>
      <c r="AX24" s="976">
        <f>AW24*$D24</f>
        <v/>
      </c>
      <c r="AY24" s="975" t="n"/>
      <c r="AZ24" s="976">
        <f>AY24*$D24</f>
        <v/>
      </c>
      <c r="BA24" s="975" t="n"/>
      <c r="BB24" s="976">
        <f>BA24*$D24</f>
        <v/>
      </c>
      <c r="BC24" s="975" t="n"/>
      <c r="BD24" s="976">
        <f>BC24*$D24</f>
        <v/>
      </c>
      <c r="BE24" s="977">
        <f>(BC24+BA24+AY24+AW24+AU24+AS24+AQ24+AO24+AM24+AK24+AI24+AG24)/12</f>
        <v/>
      </c>
      <c r="BF24" s="978">
        <f>BE24*$D24</f>
        <v/>
      </c>
      <c r="BG24" s="975" t="n"/>
      <c r="BH24" s="976">
        <f>BG24*$D24</f>
        <v/>
      </c>
      <c r="BI24" s="975" t="n"/>
      <c r="BJ24" s="976">
        <f>BI24*$D24</f>
        <v/>
      </c>
      <c r="BK24" s="975" t="n"/>
      <c r="BL24" s="976">
        <f>BK24*$D24</f>
        <v/>
      </c>
      <c r="BM24" s="975" t="n"/>
      <c r="BN24" s="976">
        <f>BM24*$D24</f>
        <v/>
      </c>
      <c r="BO24" s="975" t="n"/>
      <c r="BP24" s="976">
        <f>BO24*$D24</f>
        <v/>
      </c>
      <c r="BQ24" s="975" t="n"/>
      <c r="BR24" s="976">
        <f>BQ24*$D24</f>
        <v/>
      </c>
      <c r="BS24" s="975" t="n"/>
      <c r="BT24" s="976">
        <f>BS24*$D24</f>
        <v/>
      </c>
      <c r="BU24" s="975" t="n"/>
      <c r="BV24" s="976">
        <f>BU24*$D24</f>
        <v/>
      </c>
      <c r="BW24" s="975" t="n">
        <v>1800</v>
      </c>
      <c r="BX24" s="976">
        <f>BW24*$D24</f>
        <v/>
      </c>
      <c r="BY24" s="975" t="n">
        <v>1225</v>
      </c>
      <c r="BZ24" s="976">
        <f>BY24*$D24</f>
        <v/>
      </c>
      <c r="CA24" s="975" t="n">
        <v>2352</v>
      </c>
      <c r="CB24" s="976">
        <f>CA24*$D24</f>
        <v/>
      </c>
      <c r="CC24" s="975" t="n">
        <v>3829</v>
      </c>
      <c r="CD24" s="976">
        <f>CC24*$D24</f>
        <v/>
      </c>
      <c r="CE24" s="979">
        <f>(BG24+BI24+BK24+BM24+BO24+BQ24)/6</f>
        <v/>
      </c>
      <c r="CF24" s="976">
        <f>(BH24+BJ24+BL24+BN24+BP24+BR24)/6</f>
        <v/>
      </c>
      <c r="CG24" s="977">
        <f>(CC24+CA24+BY24+BW24+BU24+BS24+BQ24+BO24+BM24+BK24+BI24+BG24)/12</f>
        <v/>
      </c>
      <c r="CH24" s="978">
        <f>CG24*$D24</f>
        <v/>
      </c>
      <c r="CI24" s="980" t="n">
        <v>767</v>
      </c>
      <c r="CJ24" s="976">
        <f>CI24*$D24</f>
        <v/>
      </c>
      <c r="CK24" s="15">
        <f>CH24/$CH$36%</f>
        <v/>
      </c>
      <c r="CL24" s="15" t="n"/>
      <c r="CM24" s="987" t="n">
        <v>8591</v>
      </c>
      <c r="CN24" s="976">
        <f>CM24*$D24</f>
        <v/>
      </c>
      <c r="CO24" s="982" t="n">
        <v>7187</v>
      </c>
      <c r="CP24" s="15">
        <f>CO24*$D24</f>
        <v/>
      </c>
      <c r="CQ24" s="982" t="n">
        <v>4257</v>
      </c>
      <c r="CR24" s="15">
        <f>CQ24*$D24</f>
        <v/>
      </c>
      <c r="CS24" s="982" t="n">
        <v>4920</v>
      </c>
      <c r="CT24" s="15">
        <f>CS24*$D24</f>
        <v/>
      </c>
      <c r="CU24" s="982" t="n">
        <v>7955</v>
      </c>
      <c r="CV24" s="15">
        <f>CU24*$D24</f>
        <v/>
      </c>
      <c r="CW24" s="982" t="n">
        <v>4860</v>
      </c>
      <c r="CX24" s="15">
        <f>CW24*$D24</f>
        <v/>
      </c>
      <c r="CY24" s="982" t="n"/>
      <c r="CZ24" s="15">
        <f>CY24*$D24</f>
        <v/>
      </c>
      <c r="DA24" s="982" t="n"/>
      <c r="DB24" s="15">
        <f>DA24*$D24</f>
        <v/>
      </c>
      <c r="DC24" s="982" t="n"/>
      <c r="DD24" s="15">
        <f>DC24*$D24</f>
        <v/>
      </c>
      <c r="DE24" s="982" t="n"/>
      <c r="DF24" s="15">
        <f>DE24*$D24</f>
        <v/>
      </c>
      <c r="DG24" s="982" t="n"/>
      <c r="DH24" s="15">
        <f>DG24*$D24</f>
        <v/>
      </c>
      <c r="DI24" s="982" t="n"/>
      <c r="DJ24" s="15">
        <f>DI24*$D24</f>
        <v/>
      </c>
      <c r="DK24" s="983">
        <f>SUM(CM24,CO24,CQ24,CS24,CU24,CW24,CY24,DA24,DC24,DE24,DG24,DI24)</f>
        <v/>
      </c>
      <c r="DL24" s="984">
        <f>SUM(CN24,CP24,CR24,CT24,CV24,CX24,CZ24,DB24,DD24,DF24,DH24,DJ24)</f>
        <v/>
      </c>
      <c r="DM24" s="985">
        <f>DK24/6</f>
        <v/>
      </c>
      <c r="DN24" s="985">
        <f>DL24/6</f>
        <v/>
      </c>
      <c r="DO24" s="69">
        <f>DN24/$DN$36%</f>
        <v/>
      </c>
      <c r="DP24" s="70">
        <f>DO24-CK24</f>
        <v/>
      </c>
      <c r="DQ24" s="986">
        <f>DN24/CF24*100-100</f>
        <v/>
      </c>
      <c r="DR24" s="986">
        <f>DN24/CH24*100-100</f>
        <v/>
      </c>
      <c r="DS24" s="986">
        <f>DN24-CH24</f>
        <v/>
      </c>
      <c r="DT24" s="986">
        <f>DN24-CF24</f>
        <v/>
      </c>
      <c r="DU24" s="986">
        <f>DS24/14</f>
        <v/>
      </c>
      <c r="DV24" s="986">
        <f>DT24/14</f>
        <v/>
      </c>
      <c r="DW24" s="986">
        <f>DV24*6</f>
        <v/>
      </c>
    </row>
    <row r="25">
      <c r="A25" s="7" t="n">
        <v>22</v>
      </c>
      <c r="B25" s="8" t="inlineStr">
        <is>
          <t>ချယ်ရီသံပုရာ (0.6 Liter )</t>
        </is>
      </c>
      <c r="C25" s="8" t="inlineStr">
        <is>
          <t>‌ကော်ဘူး</t>
        </is>
      </c>
      <c r="D25" s="7" t="n">
        <v>0.6</v>
      </c>
      <c r="E25" s="7" t="inlineStr">
        <is>
          <t>1 * 24</t>
        </is>
      </c>
      <c r="F25" s="7" t="n">
        <v>915</v>
      </c>
      <c r="G25" s="975" t="n"/>
      <c r="H25" s="976">
        <f>G25*$D25</f>
        <v/>
      </c>
      <c r="I25" s="975" t="n"/>
      <c r="J25" s="976">
        <f>I25*$D25</f>
        <v/>
      </c>
      <c r="K25" s="975" t="n"/>
      <c r="L25" s="976">
        <f>K25*$D25</f>
        <v/>
      </c>
      <c r="M25" s="975" t="n"/>
      <c r="N25" s="976">
        <f>M25*$D25</f>
        <v/>
      </c>
      <c r="O25" s="975" t="n"/>
      <c r="P25" s="976">
        <f>O25*$D25</f>
        <v/>
      </c>
      <c r="Q25" s="975" t="n"/>
      <c r="R25" s="976">
        <f>Q25*$D25</f>
        <v/>
      </c>
      <c r="S25" s="975" t="n"/>
      <c r="T25" s="976">
        <f>S25*$D25</f>
        <v/>
      </c>
      <c r="U25" s="975" t="n"/>
      <c r="V25" s="976">
        <f>U25*$D25</f>
        <v/>
      </c>
      <c r="W25" s="975" t="n"/>
      <c r="X25" s="976">
        <f>W25*$D25</f>
        <v/>
      </c>
      <c r="Y25" s="975" t="n"/>
      <c r="Z25" s="976">
        <f>Y25*$D25</f>
        <v/>
      </c>
      <c r="AA25" s="975" t="n"/>
      <c r="AB25" s="976">
        <f>AA25*$D25</f>
        <v/>
      </c>
      <c r="AC25" s="975" t="n"/>
      <c r="AD25" s="976">
        <f>AC25*$D25</f>
        <v/>
      </c>
      <c r="AE25" s="977">
        <f>(AC25+AA25+Y25+W25+U25+S25+Q25+O25+M25+K25+I25+G25)/12</f>
        <v/>
      </c>
      <c r="AF25" s="978">
        <f>AE25*$D25</f>
        <v/>
      </c>
      <c r="AG25" s="975" t="n"/>
      <c r="AH25" s="976">
        <f>AG25*$D25</f>
        <v/>
      </c>
      <c r="AI25" s="975" t="n"/>
      <c r="AJ25" s="976">
        <f>AI25*$D25</f>
        <v/>
      </c>
      <c r="AK25" s="975" t="n"/>
      <c r="AL25" s="976">
        <f>AK25*$D25</f>
        <v/>
      </c>
      <c r="AM25" s="975" t="n"/>
      <c r="AN25" s="976">
        <f>AM25*$D25</f>
        <v/>
      </c>
      <c r="AO25" s="975" t="n"/>
      <c r="AP25" s="976">
        <f>AO25*$D25</f>
        <v/>
      </c>
      <c r="AQ25" s="975" t="n"/>
      <c r="AR25" s="976">
        <f>AQ25*$D25</f>
        <v/>
      </c>
      <c r="AS25" s="975" t="n"/>
      <c r="AT25" s="976">
        <f>AS25*$D25</f>
        <v/>
      </c>
      <c r="AU25" s="975" t="n"/>
      <c r="AV25" s="976">
        <f>AU25*$D25</f>
        <v/>
      </c>
      <c r="AW25" s="975" t="n"/>
      <c r="AX25" s="976">
        <f>AW25*$D25</f>
        <v/>
      </c>
      <c r="AY25" s="975" t="n"/>
      <c r="AZ25" s="976">
        <f>AY25*$D25</f>
        <v/>
      </c>
      <c r="BA25" s="975" t="n"/>
      <c r="BB25" s="976">
        <f>BA25*$D25</f>
        <v/>
      </c>
      <c r="BC25" s="975" t="n"/>
      <c r="BD25" s="976">
        <f>BC25*$D25</f>
        <v/>
      </c>
      <c r="BE25" s="977">
        <f>(BC25+BA25+AY25+AW25+AU25+AS25+AQ25+AO25+AM25+AK25+AI25+AG25)/12</f>
        <v/>
      </c>
      <c r="BF25" s="978">
        <f>BE25*$D25</f>
        <v/>
      </c>
      <c r="BG25" s="975" t="n"/>
      <c r="BH25" s="976">
        <f>BG25*$D25</f>
        <v/>
      </c>
      <c r="BI25" s="975" t="n"/>
      <c r="BJ25" s="976">
        <f>BI25*$D25</f>
        <v/>
      </c>
      <c r="BK25" s="975" t="n"/>
      <c r="BL25" s="976">
        <f>BK25*$D25</f>
        <v/>
      </c>
      <c r="BM25" s="975" t="n"/>
      <c r="BN25" s="976">
        <f>BM25*$D25</f>
        <v/>
      </c>
      <c r="BO25" s="975" t="n"/>
      <c r="BP25" s="976">
        <f>BO25*$D25</f>
        <v/>
      </c>
      <c r="BQ25" s="975" t="n"/>
      <c r="BR25" s="976">
        <f>BQ25*$D25</f>
        <v/>
      </c>
      <c r="BS25" s="975" t="n"/>
      <c r="BT25" s="976">
        <f>BS25*$D25</f>
        <v/>
      </c>
      <c r="BU25" s="975" t="n"/>
      <c r="BV25" s="976">
        <f>BU25*$D25</f>
        <v/>
      </c>
      <c r="BW25" s="975" t="n">
        <v>3192</v>
      </c>
      <c r="BX25" s="976">
        <f>BW25*$D25</f>
        <v/>
      </c>
      <c r="BY25" s="975" t="n">
        <v>3095</v>
      </c>
      <c r="BZ25" s="976">
        <f>BY25*$D25</f>
        <v/>
      </c>
      <c r="CA25" s="975" t="n">
        <v>2112</v>
      </c>
      <c r="CB25" s="976">
        <f>CA25*$D25</f>
        <v/>
      </c>
      <c r="CC25" s="975" t="n">
        <v>3870</v>
      </c>
      <c r="CD25" s="976">
        <f>CC25*$D25</f>
        <v/>
      </c>
      <c r="CE25" s="979">
        <f>(BG25+BI25+BK25+BM25+BO25+BQ25)/6</f>
        <v/>
      </c>
      <c r="CF25" s="976">
        <f>(BH25+BJ25+BL25+BN25+BP25+BR25)/6</f>
        <v/>
      </c>
      <c r="CG25" s="977">
        <f>(CC25+CA25+BY25+BW25+BU25+BS25+BQ25+BO25+BM25+BK25+BI25+BG25)/12</f>
        <v/>
      </c>
      <c r="CH25" s="978">
        <f>CG25*$D25</f>
        <v/>
      </c>
      <c r="CI25" s="980" t="n">
        <v>1022</v>
      </c>
      <c r="CJ25" s="976">
        <f>CI25*$D25</f>
        <v/>
      </c>
      <c r="CK25" s="15">
        <f>CH25/$CH$36%</f>
        <v/>
      </c>
      <c r="CL25" s="15" t="n">
        <v>1.86</v>
      </c>
      <c r="CM25" s="987" t="n">
        <v>3756</v>
      </c>
      <c r="CN25" s="976">
        <f>CM25*$D25</f>
        <v/>
      </c>
      <c r="CO25" s="982" t="n">
        <v>2577</v>
      </c>
      <c r="CP25" s="15">
        <f>CO25*$D25</f>
        <v/>
      </c>
      <c r="CQ25" s="982" t="n">
        <v>2112</v>
      </c>
      <c r="CR25" s="15">
        <f>CQ25*$D25</f>
        <v/>
      </c>
      <c r="CS25" s="982" t="n">
        <v>1992</v>
      </c>
      <c r="CT25" s="15">
        <f>CS25*$D25</f>
        <v/>
      </c>
      <c r="CU25" s="982" t="n">
        <v>1296</v>
      </c>
      <c r="CV25" s="15">
        <f>CU25*$D25</f>
        <v/>
      </c>
      <c r="CW25" s="982" t="n">
        <v>1536</v>
      </c>
      <c r="CX25" s="15">
        <f>CW25*$D25</f>
        <v/>
      </c>
      <c r="CY25" s="982" t="n"/>
      <c r="CZ25" s="15">
        <f>CY25*$D25</f>
        <v/>
      </c>
      <c r="DA25" s="982" t="n"/>
      <c r="DB25" s="15">
        <f>DA25*$D25</f>
        <v/>
      </c>
      <c r="DC25" s="982" t="n"/>
      <c r="DD25" s="15">
        <f>DC25*$D25</f>
        <v/>
      </c>
      <c r="DE25" s="982" t="n"/>
      <c r="DF25" s="15">
        <f>DE25*$D25</f>
        <v/>
      </c>
      <c r="DG25" s="982" t="n"/>
      <c r="DH25" s="15">
        <f>DG25*$D25</f>
        <v/>
      </c>
      <c r="DI25" s="982" t="n"/>
      <c r="DJ25" s="15">
        <f>DI25*$D25</f>
        <v/>
      </c>
      <c r="DK25" s="983">
        <f>SUM(CM25,CO25,CQ25,CS25,CU25,CW25,CY25,DA25,DC25,DE25,DG25,DI25)</f>
        <v/>
      </c>
      <c r="DL25" s="984">
        <f>SUM(CN25,CP25,CR25,CT25,CV25,CX25,CZ25,DB25,DD25,DF25,DH25,DJ25)</f>
        <v/>
      </c>
      <c r="DM25" s="985">
        <f>DK25/6</f>
        <v/>
      </c>
      <c r="DN25" s="985">
        <f>DL25/6</f>
        <v/>
      </c>
      <c r="DO25" s="69">
        <f>DN25/$DN$36%</f>
        <v/>
      </c>
      <c r="DP25" s="70">
        <f>DO25-CK25</f>
        <v/>
      </c>
      <c r="DQ25" s="986">
        <f>DN25/CF25*100-100</f>
        <v/>
      </c>
      <c r="DR25" s="986">
        <f>DN25/CH25*100-100</f>
        <v/>
      </c>
      <c r="DS25" s="986">
        <f>DN25-CH25</f>
        <v/>
      </c>
      <c r="DT25" s="986">
        <f>DN25-CF25</f>
        <v/>
      </c>
      <c r="DU25" s="986">
        <f>DS25/14</f>
        <v/>
      </c>
      <c r="DV25" s="986">
        <f>DT25/14</f>
        <v/>
      </c>
      <c r="DW25" s="986">
        <f>DV25*6</f>
        <v/>
      </c>
    </row>
    <row r="26">
      <c r="A26" s="7" t="n"/>
      <c r="B26" s="8" t="inlineStr">
        <is>
          <t>ရွှေမင်းသားမန်ကျည်းခေါင်ရည်</t>
        </is>
      </c>
      <c r="C26" s="8" t="inlineStr">
        <is>
          <t>ကော်ဘူး</t>
        </is>
      </c>
      <c r="D26" s="7" t="n">
        <v>0.6</v>
      </c>
      <c r="E26" s="7" t="inlineStr">
        <is>
          <t>1 * 12</t>
        </is>
      </c>
      <c r="F26" s="7" t="n">
        <v>800</v>
      </c>
      <c r="G26" s="975" t="n"/>
      <c r="H26" s="976" t="n"/>
      <c r="I26" s="975" t="n"/>
      <c r="J26" s="976" t="n"/>
      <c r="K26" s="975" t="n"/>
      <c r="L26" s="976" t="n"/>
      <c r="M26" s="975" t="n"/>
      <c r="N26" s="976" t="n"/>
      <c r="O26" s="975" t="n"/>
      <c r="P26" s="976" t="n"/>
      <c r="Q26" s="975" t="n"/>
      <c r="R26" s="976" t="n"/>
      <c r="S26" s="975" t="n"/>
      <c r="T26" s="976" t="n"/>
      <c r="U26" s="975" t="n"/>
      <c r="V26" s="976" t="n"/>
      <c r="W26" s="975" t="n"/>
      <c r="X26" s="976" t="n"/>
      <c r="Y26" s="975" t="n"/>
      <c r="Z26" s="976" t="n"/>
      <c r="AA26" s="975" t="n"/>
      <c r="AB26" s="976" t="n"/>
      <c r="AC26" s="975" t="n"/>
      <c r="AD26" s="976" t="n"/>
      <c r="AE26" s="977" t="n"/>
      <c r="AF26" s="978" t="n"/>
      <c r="AG26" s="975" t="n"/>
      <c r="AH26" s="976" t="n"/>
      <c r="AI26" s="975" t="n"/>
      <c r="AJ26" s="976" t="n"/>
      <c r="AK26" s="975" t="n"/>
      <c r="AL26" s="976" t="n"/>
      <c r="AM26" s="975" t="n"/>
      <c r="AN26" s="976" t="n"/>
      <c r="AO26" s="975" t="n"/>
      <c r="AP26" s="976" t="n"/>
      <c r="AQ26" s="975" t="n"/>
      <c r="AR26" s="976" t="n"/>
      <c r="AS26" s="975" t="n"/>
      <c r="AT26" s="976" t="n"/>
      <c r="AU26" s="975" t="n"/>
      <c r="AV26" s="976" t="n"/>
      <c r="AW26" s="975" t="n"/>
      <c r="AX26" s="976" t="n"/>
      <c r="AY26" s="975" t="n"/>
      <c r="AZ26" s="976" t="n"/>
      <c r="BA26" s="975" t="n"/>
      <c r="BB26" s="976" t="n"/>
      <c r="BC26" s="975" t="n"/>
      <c r="BD26" s="976" t="n"/>
      <c r="BE26" s="977" t="n"/>
      <c r="BF26" s="978" t="n"/>
      <c r="BG26" s="975" t="n"/>
      <c r="BH26" s="976" t="n"/>
      <c r="BI26" s="975" t="n"/>
      <c r="BJ26" s="976" t="n"/>
      <c r="BK26" s="975" t="n"/>
      <c r="BL26" s="976" t="n"/>
      <c r="BM26" s="975" t="n"/>
      <c r="BN26" s="976" t="n"/>
      <c r="BO26" s="975" t="n"/>
      <c r="BP26" s="976" t="n"/>
      <c r="BQ26" s="975" t="n"/>
      <c r="BR26" s="976" t="n"/>
      <c r="BS26" s="975" t="n"/>
      <c r="BT26" s="976" t="n"/>
      <c r="BU26" s="975" t="n"/>
      <c r="BV26" s="976" t="n"/>
      <c r="BW26" s="975" t="n"/>
      <c r="BX26" s="976" t="n"/>
      <c r="BY26" s="975" t="n"/>
      <c r="BZ26" s="976" t="n"/>
      <c r="CA26" s="975" t="n"/>
      <c r="CB26" s="976" t="n"/>
      <c r="CC26" s="975" t="n"/>
      <c r="CD26" s="976" t="n"/>
      <c r="CE26" s="979">
        <f>(BG26+BI26+BK26+BM26+BO26+BQ26)/6</f>
        <v/>
      </c>
      <c r="CF26" s="976">
        <f>(BH26+BJ26+BL26+BN26+BP26+BR26)/6</f>
        <v/>
      </c>
      <c r="CG26" s="977">
        <f>(CC26+CA26+BY26+BW26+BU26+BS26+BQ26+BO26+BM26+BK26+BI26+BG26)/12</f>
        <v/>
      </c>
      <c r="CH26" s="978">
        <f>CG26*$D26</f>
        <v/>
      </c>
      <c r="CI26" s="980" t="n"/>
      <c r="CJ26" s="976" t="n"/>
      <c r="CK26" s="15">
        <f>CH26/$CH$36%</f>
        <v/>
      </c>
      <c r="CL26" s="15" t="n"/>
      <c r="CM26" s="987" t="n"/>
      <c r="CN26" s="976" t="n"/>
      <c r="CO26" s="982" t="n"/>
      <c r="CP26" s="15" t="n"/>
      <c r="CQ26" s="982" t="n"/>
      <c r="CR26" s="15" t="n"/>
      <c r="CS26" s="982" t="n"/>
      <c r="CT26" s="15" t="n"/>
      <c r="CU26" s="982" t="n"/>
      <c r="CV26" s="15" t="n"/>
      <c r="CW26" s="982" t="n">
        <v>6144</v>
      </c>
      <c r="CX26" s="15">
        <f>CW26*$D26</f>
        <v/>
      </c>
      <c r="CY26" s="982" t="n"/>
      <c r="CZ26" s="15">
        <f>CY26*$D26</f>
        <v/>
      </c>
      <c r="DA26" s="982" t="n"/>
      <c r="DB26" s="15">
        <f>DA26*$D26</f>
        <v/>
      </c>
      <c r="DC26" s="982" t="n"/>
      <c r="DD26" s="15">
        <f>DC26*$D26</f>
        <v/>
      </c>
      <c r="DE26" s="982" t="n"/>
      <c r="DF26" s="15">
        <f>DE26*$D26</f>
        <v/>
      </c>
      <c r="DG26" s="982" t="n"/>
      <c r="DH26" s="15">
        <f>DG26*$D26</f>
        <v/>
      </c>
      <c r="DI26" s="982" t="n"/>
      <c r="DJ26" s="15">
        <f>DI26*$D26</f>
        <v/>
      </c>
      <c r="DK26" s="983">
        <f>SUM(CM26,CO26,CQ26,CS26,CU26,CW26,CY26,DA26,DC26,DE26,DG26,DI26)</f>
        <v/>
      </c>
      <c r="DL26" s="984">
        <f>SUM(CN26,CP26,CR26,CT26,CV26,CX26,CZ26,DB26,DD26,DF26,DH26,DJ26)</f>
        <v/>
      </c>
      <c r="DM26" s="985">
        <f>DK26/6</f>
        <v/>
      </c>
      <c r="DN26" s="985">
        <f>DL26/6</f>
        <v/>
      </c>
      <c r="DO26" s="69">
        <f>DN26/$DN$36%</f>
        <v/>
      </c>
      <c r="DP26" s="70">
        <f>DO26-CK26</f>
        <v/>
      </c>
      <c r="DQ26" s="986">
        <f>DN26/CF26*100-100</f>
        <v/>
      </c>
      <c r="DR26" s="986">
        <f>DN26/CH26*100-100</f>
        <v/>
      </c>
      <c r="DS26" s="986">
        <f>DN26-CH26</f>
        <v/>
      </c>
      <c r="DT26" s="986">
        <f>DN26-CF26</f>
        <v/>
      </c>
      <c r="DU26" s="986">
        <f>DS26/14</f>
        <v/>
      </c>
      <c r="DV26" s="986">
        <f>DT26/14</f>
        <v/>
      </c>
      <c r="DW26" s="986">
        <f>DV26*6</f>
        <v/>
      </c>
    </row>
    <row r="27">
      <c r="A27" s="7" t="n"/>
      <c r="B27" s="8" t="inlineStr">
        <is>
          <t>ရွှေမင်းသားခေါင်ရည်</t>
        </is>
      </c>
      <c r="C27" s="8" t="inlineStr">
        <is>
          <t>ကော်ဘူး</t>
        </is>
      </c>
      <c r="D27" s="7" t="n">
        <v>0.6</v>
      </c>
      <c r="E27" s="7" t="inlineStr">
        <is>
          <t>1 * 12</t>
        </is>
      </c>
      <c r="F27" s="7" t="n">
        <v>800</v>
      </c>
      <c r="G27" s="975" t="n"/>
      <c r="H27" s="976" t="n"/>
      <c r="I27" s="975" t="n"/>
      <c r="J27" s="976" t="n"/>
      <c r="K27" s="975" t="n"/>
      <c r="L27" s="976" t="n"/>
      <c r="M27" s="975" t="n"/>
      <c r="N27" s="976" t="n"/>
      <c r="O27" s="975" t="n"/>
      <c r="P27" s="976" t="n"/>
      <c r="Q27" s="975" t="n"/>
      <c r="R27" s="976" t="n"/>
      <c r="S27" s="975" t="n"/>
      <c r="T27" s="976" t="n"/>
      <c r="U27" s="975" t="n"/>
      <c r="V27" s="976" t="n"/>
      <c r="W27" s="975" t="n"/>
      <c r="X27" s="976" t="n"/>
      <c r="Y27" s="975" t="n"/>
      <c r="Z27" s="976" t="n"/>
      <c r="AA27" s="975" t="n"/>
      <c r="AB27" s="976" t="n"/>
      <c r="AC27" s="975" t="n"/>
      <c r="AD27" s="976" t="n"/>
      <c r="AE27" s="977" t="n"/>
      <c r="AF27" s="978" t="n"/>
      <c r="AG27" s="975" t="n"/>
      <c r="AH27" s="976" t="n"/>
      <c r="AI27" s="975" t="n"/>
      <c r="AJ27" s="976" t="n"/>
      <c r="AK27" s="975" t="n"/>
      <c r="AL27" s="976" t="n"/>
      <c r="AM27" s="975" t="n"/>
      <c r="AN27" s="976" t="n"/>
      <c r="AO27" s="975" t="n"/>
      <c r="AP27" s="976" t="n"/>
      <c r="AQ27" s="975" t="n"/>
      <c r="AR27" s="976" t="n"/>
      <c r="AS27" s="975" t="n"/>
      <c r="AT27" s="976" t="n"/>
      <c r="AU27" s="975" t="n"/>
      <c r="AV27" s="976" t="n"/>
      <c r="AW27" s="975" t="n"/>
      <c r="AX27" s="976" t="n"/>
      <c r="AY27" s="975" t="n"/>
      <c r="AZ27" s="976" t="n"/>
      <c r="BA27" s="975" t="n"/>
      <c r="BB27" s="976" t="n"/>
      <c r="BC27" s="975" t="n"/>
      <c r="BD27" s="976" t="n"/>
      <c r="BE27" s="977" t="n"/>
      <c r="BF27" s="978" t="n"/>
      <c r="BG27" s="975" t="n"/>
      <c r="BH27" s="976" t="n"/>
      <c r="BI27" s="975" t="n"/>
      <c r="BJ27" s="976" t="n"/>
      <c r="BK27" s="975" t="n"/>
      <c r="BL27" s="976" t="n"/>
      <c r="BM27" s="975" t="n"/>
      <c r="BN27" s="976" t="n"/>
      <c r="BO27" s="975" t="n"/>
      <c r="BP27" s="976" t="n"/>
      <c r="BQ27" s="975" t="n"/>
      <c r="BR27" s="976" t="n"/>
      <c r="BS27" s="975" t="n"/>
      <c r="BT27" s="976" t="n"/>
      <c r="BU27" s="975" t="n"/>
      <c r="BV27" s="976" t="n"/>
      <c r="BW27" s="975" t="n"/>
      <c r="BX27" s="976" t="n"/>
      <c r="BY27" s="975" t="n"/>
      <c r="BZ27" s="976" t="n"/>
      <c r="CA27" s="975" t="n"/>
      <c r="CB27" s="976" t="n"/>
      <c r="CC27" s="975" t="n"/>
      <c r="CD27" s="976" t="n"/>
      <c r="CE27" s="979">
        <f>(BG27+BI27+BK27+BM27+BO27+BQ27)/6</f>
        <v/>
      </c>
      <c r="CF27" s="976">
        <f>(BH27+BJ27+BL27+BN27+BP27+BR27)/6</f>
        <v/>
      </c>
      <c r="CG27" s="977">
        <f>(CC27+CA27+BY27+BW27+BU27+BS27+BQ27+BO27+BM27+BK27+BI27+BG27)/12</f>
        <v/>
      </c>
      <c r="CH27" s="978">
        <f>CG27*$D27</f>
        <v/>
      </c>
      <c r="CI27" s="980" t="n"/>
      <c r="CJ27" s="976" t="n"/>
      <c r="CK27" s="15">
        <f>CH27/$CH$36%</f>
        <v/>
      </c>
      <c r="CL27" s="15" t="n"/>
      <c r="CM27" s="987" t="n"/>
      <c r="CN27" s="976" t="n"/>
      <c r="CO27" s="982" t="n"/>
      <c r="CP27" s="15" t="n"/>
      <c r="CQ27" s="982" t="n"/>
      <c r="CR27" s="15" t="n"/>
      <c r="CS27" s="982" t="n"/>
      <c r="CT27" s="15" t="n"/>
      <c r="CU27" s="982" t="n"/>
      <c r="CV27" s="15" t="n"/>
      <c r="CW27" s="982" t="n">
        <v>6432</v>
      </c>
      <c r="CX27" s="15">
        <f>CW27*$D27</f>
        <v/>
      </c>
      <c r="CY27" s="982" t="n"/>
      <c r="CZ27" s="15">
        <f>CY27*$D27</f>
        <v/>
      </c>
      <c r="DA27" s="982" t="n"/>
      <c r="DB27" s="15">
        <f>DA27*$D27</f>
        <v/>
      </c>
      <c r="DC27" s="982" t="n"/>
      <c r="DD27" s="15">
        <f>DC27*$D27</f>
        <v/>
      </c>
      <c r="DE27" s="982" t="n"/>
      <c r="DF27" s="15">
        <f>DE27*$D27</f>
        <v/>
      </c>
      <c r="DG27" s="982" t="n"/>
      <c r="DH27" s="15">
        <f>DG27*$D27</f>
        <v/>
      </c>
      <c r="DI27" s="982" t="n"/>
      <c r="DJ27" s="15">
        <f>DI27*$D27</f>
        <v/>
      </c>
      <c r="DK27" s="983">
        <f>SUM(CM27,CO27,CQ27,CS27,CU27,CW27,CY27,DA27,DC27,DE27,DG27,DI27)</f>
        <v/>
      </c>
      <c r="DL27" s="984">
        <f>SUM(CN27,CP27,CR27,CT27,CV27,CX27,CZ27,DB27,DD27,DF27,DH27,DJ27)</f>
        <v/>
      </c>
      <c r="DM27" s="985">
        <f>DK27/6</f>
        <v/>
      </c>
      <c r="DN27" s="985">
        <f>DL27/6</f>
        <v/>
      </c>
      <c r="DO27" s="69">
        <f>DN27/$DN$36%</f>
        <v/>
      </c>
      <c r="DP27" s="70">
        <f>DO27-CK27</f>
        <v/>
      </c>
      <c r="DQ27" s="986">
        <f>DN27/CF27*100-100</f>
        <v/>
      </c>
      <c r="DR27" s="986">
        <f>DN27/CH27*100-100</f>
        <v/>
      </c>
      <c r="DS27" s="986">
        <f>DN27-CH27</f>
        <v/>
      </c>
      <c r="DT27" s="986">
        <f>DN27-CF27</f>
        <v/>
      </c>
      <c r="DU27" s="986">
        <f>DS27/14</f>
        <v/>
      </c>
      <c r="DV27" s="986">
        <f>DT27/14</f>
        <v/>
      </c>
      <c r="DW27" s="986">
        <f>DV27*6</f>
        <v/>
      </c>
    </row>
    <row r="28">
      <c r="A28" s="7" t="n">
        <v>23</v>
      </c>
      <c r="B28" s="8" t="inlineStr">
        <is>
          <t>ရွှေမင်းသားခေါင်ရည်</t>
        </is>
      </c>
      <c r="C28" s="8" t="inlineStr">
        <is>
          <t>ပုလင်း</t>
        </is>
      </c>
      <c r="D28" s="7" t="n">
        <v>0.64</v>
      </c>
      <c r="E28" s="7" t="inlineStr">
        <is>
          <t>1 * 24</t>
        </is>
      </c>
      <c r="F28" s="7" t="n">
        <v>800</v>
      </c>
      <c r="G28" s="975" t="n"/>
      <c r="H28" s="976" t="n">
        <v>0</v>
      </c>
      <c r="I28" s="975" t="n"/>
      <c r="J28" s="976" t="n">
        <v>0</v>
      </c>
      <c r="K28" s="975" t="n"/>
      <c r="L28" s="976" t="n">
        <v>0</v>
      </c>
      <c r="M28" s="975" t="n"/>
      <c r="N28" s="976" t="n">
        <v>0</v>
      </c>
      <c r="O28" s="975" t="n"/>
      <c r="P28" s="976" t="n">
        <v>0</v>
      </c>
      <c r="Q28" s="975" t="n"/>
      <c r="R28" s="976" t="n">
        <v>0</v>
      </c>
      <c r="S28" s="975" t="n"/>
      <c r="T28" s="976" t="n">
        <v>0</v>
      </c>
      <c r="U28" s="975" t="n"/>
      <c r="V28" s="976" t="n">
        <v>0</v>
      </c>
      <c r="W28" s="975" t="n"/>
      <c r="X28" s="976" t="n">
        <v>0</v>
      </c>
      <c r="Y28" s="975" t="n"/>
      <c r="Z28" s="976" t="n">
        <v>0</v>
      </c>
      <c r="AA28" s="975" t="n"/>
      <c r="AB28" s="976" t="n">
        <v>0</v>
      </c>
      <c r="AC28" s="975" t="n"/>
      <c r="AD28" s="976" t="n">
        <v>0</v>
      </c>
      <c r="AE28" s="977" t="n">
        <v>0</v>
      </c>
      <c r="AF28" s="978" t="n">
        <v>0</v>
      </c>
      <c r="AG28" s="975" t="n"/>
      <c r="AH28" s="976" t="n">
        <v>0</v>
      </c>
      <c r="AI28" s="975" t="n"/>
      <c r="AJ28" s="976" t="n">
        <v>0</v>
      </c>
      <c r="AK28" s="975" t="n"/>
      <c r="AL28" s="976" t="n">
        <v>0</v>
      </c>
      <c r="AM28" s="975" t="n">
        <v>5029</v>
      </c>
      <c r="AN28" s="976" t="n">
        <v>3218.56</v>
      </c>
      <c r="AO28" s="975" t="n">
        <v>520</v>
      </c>
      <c r="AP28" s="976" t="n">
        <v>332.8</v>
      </c>
      <c r="AQ28" s="975" t="n">
        <v>192</v>
      </c>
      <c r="AR28" s="976" t="n">
        <v>122.88</v>
      </c>
      <c r="AS28" s="975" t="n">
        <v>192</v>
      </c>
      <c r="AT28" s="976" t="n">
        <v>122.88</v>
      </c>
      <c r="AU28" s="975" t="n">
        <v>72</v>
      </c>
      <c r="AV28" s="976" t="n">
        <v>46.08</v>
      </c>
      <c r="AW28" s="975" t="n">
        <v>576</v>
      </c>
      <c r="AX28" s="976" t="n">
        <v>368.64</v>
      </c>
      <c r="AY28" s="975" t="n">
        <v>24</v>
      </c>
      <c r="AZ28" s="976" t="n">
        <v>15.36</v>
      </c>
      <c r="BA28" s="975" t="n">
        <v>264</v>
      </c>
      <c r="BB28" s="976" t="n">
        <v>168.96</v>
      </c>
      <c r="BC28" s="975" t="n">
        <v>120</v>
      </c>
      <c r="BD28" s="976" t="n">
        <v>76.8</v>
      </c>
      <c r="BE28" s="977" t="n">
        <v>582.4166666666666</v>
      </c>
      <c r="BF28" s="978" t="n">
        <v>372.7466666666667</v>
      </c>
      <c r="BG28" s="975" t="n"/>
      <c r="BH28" s="976" t="n">
        <v>0</v>
      </c>
      <c r="BI28" s="975" t="n">
        <v>144</v>
      </c>
      <c r="BJ28" s="976" t="n">
        <v>92.16</v>
      </c>
      <c r="BK28" s="975" t="n">
        <v>4149</v>
      </c>
      <c r="BL28" s="976" t="n">
        <v>2655.36</v>
      </c>
      <c r="BM28" s="975" t="n">
        <v>18550</v>
      </c>
      <c r="BN28" s="976" t="n">
        <v>11872</v>
      </c>
      <c r="BO28" s="975" t="n">
        <v>20986</v>
      </c>
      <c r="BP28" s="976" t="n">
        <v>13431.04</v>
      </c>
      <c r="BQ28" s="975" t="n">
        <v>17002</v>
      </c>
      <c r="BR28" s="976" t="n">
        <v>10881.28</v>
      </c>
      <c r="BS28" s="975" t="n">
        <v>21224</v>
      </c>
      <c r="BT28" s="976" t="n">
        <v>13583.36</v>
      </c>
      <c r="BU28" s="975" t="n">
        <v>18204</v>
      </c>
      <c r="BV28" s="976" t="n">
        <v>11650.56</v>
      </c>
      <c r="BW28" s="975" t="n">
        <v>17136</v>
      </c>
      <c r="BX28" s="976" t="n">
        <v>10967.04</v>
      </c>
      <c r="BY28" s="975" t="n">
        <v>20256</v>
      </c>
      <c r="BZ28" s="976" t="n">
        <v>12963.84</v>
      </c>
      <c r="CA28" s="975" t="n">
        <v>18185</v>
      </c>
      <c r="CB28" s="976" t="n">
        <v>11638.4</v>
      </c>
      <c r="CC28" s="975" t="n">
        <v>11232</v>
      </c>
      <c r="CD28" s="976" t="n">
        <v>7188.48</v>
      </c>
      <c r="CE28" s="979">
        <f>(BG28+BI28+BK28+BM28+BO28+BQ28)/6</f>
        <v/>
      </c>
      <c r="CF28" s="976">
        <f>(BH28+BJ28+BL28+BN28+BP28+BR28)/6</f>
        <v/>
      </c>
      <c r="CG28" s="977">
        <f>(CC28+CA28+BY28+BW28+BU28+BS28+BQ28+BO28+BM28+BK28+BI28+BG28)/12</f>
        <v/>
      </c>
      <c r="CH28" s="978">
        <f>CG28*$D28</f>
        <v/>
      </c>
      <c r="CI28" s="980" t="n">
        <v>13922</v>
      </c>
      <c r="CJ28" s="976" t="n">
        <v>8910.08</v>
      </c>
      <c r="CK28" s="15">
        <f>CH28/$CH$36%</f>
        <v/>
      </c>
      <c r="CL28" s="15" t="n"/>
      <c r="CM28" s="982" t="n">
        <v>14112</v>
      </c>
      <c r="CN28" s="976" t="n">
        <v>9031.68</v>
      </c>
      <c r="CO28" s="982" t="n">
        <v>17376</v>
      </c>
      <c r="CP28" s="15" t="n">
        <v>11120.64</v>
      </c>
      <c r="CQ28" s="982" t="n">
        <v>20266</v>
      </c>
      <c r="CR28" s="15">
        <f>CQ28*$D28</f>
        <v/>
      </c>
      <c r="CS28" s="982" t="n">
        <v>21648</v>
      </c>
      <c r="CT28" s="15">
        <f>CS28*$D28</f>
        <v/>
      </c>
      <c r="CU28" s="982" t="n">
        <v>31114</v>
      </c>
      <c r="CV28" s="15">
        <f>CU28*$D28</f>
        <v/>
      </c>
      <c r="CW28" s="982" t="n">
        <v>13233</v>
      </c>
      <c r="CX28" s="15">
        <f>CW28*$D28</f>
        <v/>
      </c>
      <c r="CY28" s="982" t="n"/>
      <c r="CZ28" s="15">
        <f>CY28*$D28</f>
        <v/>
      </c>
      <c r="DA28" s="982" t="n"/>
      <c r="DB28" s="15">
        <f>DA28*$D28</f>
        <v/>
      </c>
      <c r="DC28" s="982" t="n"/>
      <c r="DD28" s="15">
        <f>DC28*$D28</f>
        <v/>
      </c>
      <c r="DE28" s="982" t="n"/>
      <c r="DF28" s="15">
        <f>DE28*$D28</f>
        <v/>
      </c>
      <c r="DG28" s="982" t="n"/>
      <c r="DH28" s="15">
        <f>DG28*$D28</f>
        <v/>
      </c>
      <c r="DI28" s="982" t="n"/>
      <c r="DJ28" s="15">
        <f>DI28*$D28</f>
        <v/>
      </c>
      <c r="DK28" s="983">
        <f>SUM(CM28,CO28,CQ28,CS28,CU28,CW28,CY28,DA28,DC28,DE28,DG28,DI28)</f>
        <v/>
      </c>
      <c r="DL28" s="984">
        <f>SUM(CN28,CP28,CR28,CT28,CV28,CX28,CZ28,DB28,DD28,DF28,DH28,DJ28)</f>
        <v/>
      </c>
      <c r="DM28" s="985">
        <f>DK28/6</f>
        <v/>
      </c>
      <c r="DN28" s="985">
        <f>DL28/6</f>
        <v/>
      </c>
      <c r="DO28" s="69">
        <f>DN28/$DN$36%</f>
        <v/>
      </c>
      <c r="DP28" s="70">
        <f>DO28-CK28</f>
        <v/>
      </c>
      <c r="DQ28" s="986">
        <f>DN28/CF28*100-100</f>
        <v/>
      </c>
      <c r="DR28" s="986">
        <f>DN28/CH28*100-100</f>
        <v/>
      </c>
      <c r="DS28" s="986">
        <f>DN28-CH28</f>
        <v/>
      </c>
      <c r="DT28" s="986">
        <f>DN28-CF28</f>
        <v/>
      </c>
      <c r="DU28" s="986">
        <f>DS28/14</f>
        <v/>
      </c>
      <c r="DV28" s="986">
        <f>DT28/14</f>
        <v/>
      </c>
      <c r="DW28" s="986">
        <f>DV28*6</f>
        <v/>
      </c>
    </row>
    <row r="29">
      <c r="A29" s="7" t="n">
        <v>24</v>
      </c>
      <c r="B29" s="8" t="inlineStr">
        <is>
          <t>ရွှေမင်းသားမန်ကျည်းခေါင်ရည်</t>
        </is>
      </c>
      <c r="C29" s="8" t="inlineStr">
        <is>
          <t>ပုလင်း</t>
        </is>
      </c>
      <c r="D29" s="7" t="n">
        <v>0.64</v>
      </c>
      <c r="E29" s="7" t="inlineStr">
        <is>
          <t>1 x 14</t>
        </is>
      </c>
      <c r="F29" s="7" t="n">
        <v>830</v>
      </c>
      <c r="G29" s="975" t="n"/>
      <c r="H29" s="976" t="n"/>
      <c r="I29" s="975" t="n"/>
      <c r="J29" s="976" t="n"/>
      <c r="K29" s="975" t="n"/>
      <c r="L29" s="976" t="n"/>
      <c r="M29" s="975" t="n"/>
      <c r="N29" s="976" t="n"/>
      <c r="O29" s="975" t="n"/>
      <c r="P29" s="976" t="n"/>
      <c r="Q29" s="975" t="n"/>
      <c r="R29" s="976" t="n"/>
      <c r="S29" s="975" t="n"/>
      <c r="T29" s="976" t="n"/>
      <c r="U29" s="975" t="n"/>
      <c r="V29" s="976" t="n"/>
      <c r="W29" s="975" t="n"/>
      <c r="X29" s="976" t="n"/>
      <c r="Y29" s="975" t="n"/>
      <c r="Z29" s="976" t="n"/>
      <c r="AA29" s="975" t="n"/>
      <c r="AB29" s="976" t="n"/>
      <c r="AC29" s="975" t="n"/>
      <c r="AD29" s="976" t="n"/>
      <c r="AE29" s="977" t="n"/>
      <c r="AF29" s="978" t="n"/>
      <c r="AG29" s="975" t="n"/>
      <c r="AH29" s="976" t="n"/>
      <c r="AI29" s="975" t="n"/>
      <c r="AJ29" s="976" t="n"/>
      <c r="AK29" s="975" t="n"/>
      <c r="AL29" s="976" t="n"/>
      <c r="AM29" s="975" t="n"/>
      <c r="AN29" s="976" t="n"/>
      <c r="AO29" s="975" t="n"/>
      <c r="AP29" s="976" t="n"/>
      <c r="AQ29" s="975" t="n"/>
      <c r="AR29" s="976" t="n"/>
      <c r="AS29" s="975" t="n"/>
      <c r="AT29" s="976" t="n"/>
      <c r="AU29" s="975" t="n"/>
      <c r="AV29" s="976" t="n"/>
      <c r="AW29" s="975" t="n"/>
      <c r="AX29" s="976" t="n"/>
      <c r="AY29" s="975" t="n"/>
      <c r="AZ29" s="976" t="n"/>
      <c r="BA29" s="975" t="n"/>
      <c r="BB29" s="976" t="n"/>
      <c r="BC29" s="975" t="n"/>
      <c r="BD29" s="976" t="n"/>
      <c r="BE29" s="977" t="n"/>
      <c r="BF29" s="978" t="n"/>
      <c r="BG29" s="975" t="n"/>
      <c r="BH29" s="976" t="n"/>
      <c r="BI29" s="975" t="n"/>
      <c r="BJ29" s="976" t="n"/>
      <c r="BK29" s="975" t="n"/>
      <c r="BL29" s="976" t="n"/>
      <c r="BM29" s="975" t="n"/>
      <c r="BN29" s="976" t="n"/>
      <c r="BO29" s="975" t="n"/>
      <c r="BP29" s="976" t="n"/>
      <c r="BQ29" s="975" t="n"/>
      <c r="BR29" s="976" t="n"/>
      <c r="BS29" s="975" t="n"/>
      <c r="BT29" s="976" t="n"/>
      <c r="BU29" s="975" t="n"/>
      <c r="BV29" s="976" t="n"/>
      <c r="BW29" s="975" t="n"/>
      <c r="BX29" s="976" t="n"/>
      <c r="BY29" s="975" t="n"/>
      <c r="BZ29" s="976" t="n"/>
      <c r="CA29" s="975" t="n"/>
      <c r="CB29" s="976" t="n"/>
      <c r="CC29" s="975" t="n"/>
      <c r="CD29" s="976" t="n"/>
      <c r="CE29" s="979">
        <f>(BG29+BI29+BK29+BM29+BO29+BQ29)/6</f>
        <v/>
      </c>
      <c r="CF29" s="976">
        <f>(BH29+BJ29+BL29+BN29+BP29+BR29)/6</f>
        <v/>
      </c>
      <c r="CG29" s="977">
        <f>(CC29+CA29+BY29+BW29+BU29+BS29+BQ29+BO29+BM29+BK29+BI29+BG29)/12</f>
        <v/>
      </c>
      <c r="CH29" s="978">
        <f>CG29*$D29</f>
        <v/>
      </c>
      <c r="CI29" s="980" t="n"/>
      <c r="CJ29" s="976" t="n"/>
      <c r="CK29" s="15">
        <f>CH29/$CH$36%</f>
        <v/>
      </c>
      <c r="CL29" s="15" t="n">
        <v>1.58</v>
      </c>
      <c r="CM29" s="982" t="n"/>
      <c r="CN29" s="976" t="n"/>
      <c r="CO29" s="982" t="n"/>
      <c r="CP29" s="15" t="n"/>
      <c r="CQ29" s="982" t="n"/>
      <c r="CR29" s="15" t="n"/>
      <c r="CS29" s="982" t="n">
        <v>4158</v>
      </c>
      <c r="CT29" s="15">
        <f>CS29*$D29</f>
        <v/>
      </c>
      <c r="CU29" s="982" t="n">
        <v>10876</v>
      </c>
      <c r="CV29" s="15">
        <f>CU29*$D29</f>
        <v/>
      </c>
      <c r="CW29" s="982" t="n">
        <v>10206</v>
      </c>
      <c r="CX29" s="15">
        <f>CW29*$D29</f>
        <v/>
      </c>
      <c r="CY29" s="982" t="n"/>
      <c r="CZ29" s="15">
        <f>CY29*$D29</f>
        <v/>
      </c>
      <c r="DA29" s="982" t="n"/>
      <c r="DB29" s="15">
        <f>DA29*$D29</f>
        <v/>
      </c>
      <c r="DC29" s="982" t="n"/>
      <c r="DD29" s="15">
        <f>DC29*$D29</f>
        <v/>
      </c>
      <c r="DE29" s="982" t="n"/>
      <c r="DF29" s="15">
        <f>DE29*$D29</f>
        <v/>
      </c>
      <c r="DG29" s="982" t="n"/>
      <c r="DH29" s="15">
        <f>DG29*$D29</f>
        <v/>
      </c>
      <c r="DI29" s="982" t="n"/>
      <c r="DJ29" s="15">
        <f>DI29*$D29</f>
        <v/>
      </c>
      <c r="DK29" s="983">
        <f>SUM(CM29,CO29,CQ29,CS29,CU29,CW29,CY29,DA29,DC29,DE29,DG29,DI29)</f>
        <v/>
      </c>
      <c r="DL29" s="984">
        <f>SUM(CN29,CP29,CR29,CT29,CV29,CX29,CZ29,DB29,DD29,DF29,DH29,DJ29)</f>
        <v/>
      </c>
      <c r="DM29" s="985">
        <f>DK29/6</f>
        <v/>
      </c>
      <c r="DN29" s="985">
        <f>DL29/6</f>
        <v/>
      </c>
      <c r="DO29" s="69">
        <f>DN29/$DN$36%</f>
        <v/>
      </c>
      <c r="DP29" s="70">
        <f>DO29-CK29</f>
        <v/>
      </c>
      <c r="DQ29" s="986">
        <f>DN29/CF29*100-100</f>
        <v/>
      </c>
      <c r="DR29" s="986">
        <f>DN29/CH29*100-100</f>
        <v/>
      </c>
      <c r="DS29" s="986">
        <f>DN29-CH29</f>
        <v/>
      </c>
      <c r="DT29" s="986">
        <f>DN29-CF29</f>
        <v/>
      </c>
      <c r="DU29" s="986">
        <f>DS29/14</f>
        <v/>
      </c>
      <c r="DV29" s="986">
        <f>DT29/14</f>
        <v/>
      </c>
      <c r="DW29" s="986">
        <f>DV29*6</f>
        <v/>
      </c>
    </row>
    <row r="30">
      <c r="A30" s="7" t="n">
        <v>25</v>
      </c>
      <c r="B30" s="8" t="inlineStr">
        <is>
          <t>Formula Rum 700ml</t>
        </is>
      </c>
      <c r="C30" s="8" t="inlineStr">
        <is>
          <t>ပုလင်း</t>
        </is>
      </c>
      <c r="D30" s="7" t="n">
        <v>0.7</v>
      </c>
      <c r="E30" s="7" t="inlineStr">
        <is>
          <t>1 * 12</t>
        </is>
      </c>
      <c r="F30" s="7" t="n">
        <v>3600</v>
      </c>
      <c r="G30" s="975" t="n">
        <v>404</v>
      </c>
      <c r="H30" s="976">
        <f>G30*$D30</f>
        <v/>
      </c>
      <c r="I30" s="975" t="n">
        <v>592</v>
      </c>
      <c r="J30" s="976">
        <f>I30*$D30</f>
        <v/>
      </c>
      <c r="K30" s="975" t="n">
        <v>866</v>
      </c>
      <c r="L30" s="976">
        <f>K30*$D30</f>
        <v/>
      </c>
      <c r="M30" s="975" t="n">
        <v>636</v>
      </c>
      <c r="N30" s="976">
        <f>M30*$D30</f>
        <v/>
      </c>
      <c r="O30" s="975" t="n">
        <v>977</v>
      </c>
      <c r="P30" s="976">
        <f>O30*$D30</f>
        <v/>
      </c>
      <c r="Q30" s="975" t="n">
        <v>468</v>
      </c>
      <c r="R30" s="976">
        <f>Q30*$D30</f>
        <v/>
      </c>
      <c r="S30" s="975" t="n">
        <v>96</v>
      </c>
      <c r="T30" s="976">
        <f>S30*$D30</f>
        <v/>
      </c>
      <c r="U30" s="975" t="n">
        <v>396</v>
      </c>
      <c r="V30" s="976">
        <f>U30*$D30</f>
        <v/>
      </c>
      <c r="W30" s="975" t="n">
        <v>24</v>
      </c>
      <c r="X30" s="976">
        <f>W30*$D30</f>
        <v/>
      </c>
      <c r="Y30" s="975" t="n">
        <v>845</v>
      </c>
      <c r="Z30" s="976">
        <f>Y30*$D30</f>
        <v/>
      </c>
      <c r="AA30" s="975" t="n">
        <v>1146</v>
      </c>
      <c r="AB30" s="976">
        <f>AA30*$D30</f>
        <v/>
      </c>
      <c r="AC30" s="975" t="n">
        <v>759</v>
      </c>
      <c r="AD30" s="976">
        <f>AC30*$D30</f>
        <v/>
      </c>
      <c r="AE30" s="977">
        <f>(AC30+AA30+Y30+W30+U30+S30+Q30+O30+M30+K30+I30+G30)/12</f>
        <v/>
      </c>
      <c r="AF30" s="978">
        <f>AE30*$D30</f>
        <v/>
      </c>
      <c r="AG30" s="975" t="n">
        <v>910</v>
      </c>
      <c r="AH30" s="976">
        <f>AG30*$D30</f>
        <v/>
      </c>
      <c r="AI30" s="975" t="n">
        <v>517</v>
      </c>
      <c r="AJ30" s="976">
        <f>AI30*$D30</f>
        <v/>
      </c>
      <c r="AK30" s="975" t="n">
        <v>250</v>
      </c>
      <c r="AL30" s="976">
        <f>AK30*$D30</f>
        <v/>
      </c>
      <c r="AM30" s="975" t="n">
        <v>515</v>
      </c>
      <c r="AN30" s="976">
        <f>AM30*$D30</f>
        <v/>
      </c>
      <c r="AO30" s="975" t="n">
        <v>738</v>
      </c>
      <c r="AP30" s="976">
        <f>AO30*$D30</f>
        <v/>
      </c>
      <c r="AQ30" s="975" t="n">
        <v>352</v>
      </c>
      <c r="AR30" s="976">
        <f>AQ30*$D30</f>
        <v/>
      </c>
      <c r="AS30" s="975" t="n">
        <v>415</v>
      </c>
      <c r="AT30" s="976">
        <f>AS30*$D30</f>
        <v/>
      </c>
      <c r="AU30" s="975" t="n">
        <v>305</v>
      </c>
      <c r="AV30" s="976">
        <f>AU30*$D30</f>
        <v/>
      </c>
      <c r="AW30" s="975" t="n">
        <v>840</v>
      </c>
      <c r="AX30" s="976">
        <f>AW30*$D30</f>
        <v/>
      </c>
      <c r="AY30" s="975" t="n">
        <v>446</v>
      </c>
      <c r="AZ30" s="976">
        <f>AY30*$D30</f>
        <v/>
      </c>
      <c r="BA30" s="975" t="n">
        <v>180</v>
      </c>
      <c r="BB30" s="976">
        <f>BA30*$D30</f>
        <v/>
      </c>
      <c r="BC30" s="975" t="n">
        <v>1272</v>
      </c>
      <c r="BD30" s="976">
        <f>BC30*$D30</f>
        <v/>
      </c>
      <c r="BE30" s="977">
        <f>(BC30+BA30+AY30+AW30+AU30+AS30+AQ30+AO30+AM30+AK30+AI30+AG30)/12</f>
        <v/>
      </c>
      <c r="BF30" s="978">
        <f>BE30*$D30</f>
        <v/>
      </c>
      <c r="BG30" s="975" t="n">
        <v>372</v>
      </c>
      <c r="BH30" s="976">
        <f>BG30*$D30</f>
        <v/>
      </c>
      <c r="BI30" s="975" t="n">
        <v>1045</v>
      </c>
      <c r="BJ30" s="976">
        <f>BI30*$D30</f>
        <v/>
      </c>
      <c r="BK30" s="975" t="n">
        <v>2335</v>
      </c>
      <c r="BL30" s="976">
        <f>BK30*$D30</f>
        <v/>
      </c>
      <c r="BM30" s="975" t="n">
        <v>252</v>
      </c>
      <c r="BN30" s="976">
        <f>BM30*$D30</f>
        <v/>
      </c>
      <c r="BO30" s="975" t="n">
        <v>870</v>
      </c>
      <c r="BP30" s="976">
        <f>BO30*$D30</f>
        <v/>
      </c>
      <c r="BQ30" s="975" t="n">
        <v>448</v>
      </c>
      <c r="BR30" s="976">
        <f>BQ30*$D30</f>
        <v/>
      </c>
      <c r="BS30" s="975" t="n">
        <v>2144</v>
      </c>
      <c r="BT30" s="976">
        <f>BS30*$D30</f>
        <v/>
      </c>
      <c r="BU30" s="975" t="n">
        <v>1209</v>
      </c>
      <c r="BV30" s="976">
        <f>BU30*$D30</f>
        <v/>
      </c>
      <c r="BW30" s="975" t="n">
        <v>324</v>
      </c>
      <c r="BX30" s="976">
        <f>BW30*$D30</f>
        <v/>
      </c>
      <c r="BY30" s="975" t="n">
        <v>772</v>
      </c>
      <c r="BZ30" s="976">
        <f>BY30*$D30</f>
        <v/>
      </c>
      <c r="CA30" s="975" t="n">
        <v>948</v>
      </c>
      <c r="CB30" s="976">
        <f>CA30*$D30</f>
        <v/>
      </c>
      <c r="CC30" s="975" t="n">
        <v>12</v>
      </c>
      <c r="CD30" s="976">
        <f>CC30*$D30</f>
        <v/>
      </c>
      <c r="CE30" s="979">
        <f>(BG30+BI30+BK30+BM30+BO30+BQ30)/6</f>
        <v/>
      </c>
      <c r="CF30" s="976">
        <f>(BH30+BJ30+BL30+BN30+BP30+BR30)/6</f>
        <v/>
      </c>
      <c r="CG30" s="977">
        <f>(CC30+CA30+BY30+BW30+BU30+BS30+BQ30+BO30+BM30+BK30+BI30+BG30)/12</f>
        <v/>
      </c>
      <c r="CH30" s="978">
        <f>CG30*$D30</f>
        <v/>
      </c>
      <c r="CI30" s="980" t="n">
        <v>894</v>
      </c>
      <c r="CJ30" s="976">
        <f>CI30*$D30</f>
        <v/>
      </c>
      <c r="CK30" s="15">
        <f>CH30/$CH$36%</f>
        <v/>
      </c>
      <c r="CL30" s="15" t="n"/>
      <c r="CM30" s="987" t="n">
        <v>121</v>
      </c>
      <c r="CN30" s="976">
        <f>CM30*$D30</f>
        <v/>
      </c>
      <c r="CO30" s="982" t="n">
        <v>141</v>
      </c>
      <c r="CP30" s="15">
        <f>CO30*$D30</f>
        <v/>
      </c>
      <c r="CQ30" s="982" t="n">
        <v>234</v>
      </c>
      <c r="CR30" s="15">
        <f>CQ30*$D30</f>
        <v/>
      </c>
      <c r="CS30" s="982" t="n">
        <v>51</v>
      </c>
      <c r="CT30" s="15">
        <f>CS30*$D30</f>
        <v/>
      </c>
      <c r="CU30" s="982" t="n">
        <v>540</v>
      </c>
      <c r="CV30" s="15">
        <f>CU30*$D30</f>
        <v/>
      </c>
      <c r="CW30" s="982" t="n">
        <v>314</v>
      </c>
      <c r="CX30" s="15">
        <f>CW30*$D30</f>
        <v/>
      </c>
      <c r="CY30" s="982" t="n"/>
      <c r="CZ30" s="15">
        <f>CY30*$D30</f>
        <v/>
      </c>
      <c r="DA30" s="982" t="n"/>
      <c r="DB30" s="15">
        <f>DA30*$D30</f>
        <v/>
      </c>
      <c r="DC30" s="982" t="n"/>
      <c r="DD30" s="15">
        <f>DC30*$D30</f>
        <v/>
      </c>
      <c r="DE30" s="982" t="n"/>
      <c r="DF30" s="15">
        <f>DE30*$D30</f>
        <v/>
      </c>
      <c r="DG30" s="982" t="n"/>
      <c r="DH30" s="15">
        <f>DG30*$D30</f>
        <v/>
      </c>
      <c r="DI30" s="982" t="n"/>
      <c r="DJ30" s="15">
        <f>DI30*$D30</f>
        <v/>
      </c>
      <c r="DK30" s="983">
        <f>SUM(CM30,CO30,CQ30,CS30,CU30,CW30,CY30,DA30,DC30,DE30,DG30,DI30)</f>
        <v/>
      </c>
      <c r="DL30" s="984">
        <f>SUM(CN30,CP30,CR30,CT30,CV30,CX30,CZ30,DB30,DD30,DF30,DH30,DJ30)</f>
        <v/>
      </c>
      <c r="DM30" s="985">
        <f>DK30/6</f>
        <v/>
      </c>
      <c r="DN30" s="985">
        <f>DL30/6</f>
        <v/>
      </c>
      <c r="DO30" s="69">
        <f>DN30/$DN$36%</f>
        <v/>
      </c>
      <c r="DP30" s="70">
        <f>DO30-CK30</f>
        <v/>
      </c>
      <c r="DQ30" s="986">
        <f>DN30/CF30*100-100</f>
        <v/>
      </c>
      <c r="DR30" s="986">
        <f>DN30/CH30*100-100</f>
        <v/>
      </c>
      <c r="DS30" s="986">
        <f>DN30-CH30</f>
        <v/>
      </c>
      <c r="DT30" s="986">
        <f>DN30-CF30</f>
        <v/>
      </c>
      <c r="DU30" s="986">
        <f>DS30/14</f>
        <v/>
      </c>
      <c r="DV30" s="986">
        <f>DT30/14</f>
        <v/>
      </c>
      <c r="DW30" s="986">
        <f>DV30*6</f>
        <v/>
      </c>
    </row>
    <row r="31">
      <c r="A31" s="7" t="n">
        <v>26</v>
      </c>
      <c r="B31" s="8" t="inlineStr">
        <is>
          <t>Formula Rum 350ml</t>
        </is>
      </c>
      <c r="C31" s="8" t="inlineStr">
        <is>
          <t>ပုလင်း</t>
        </is>
      </c>
      <c r="D31" s="7" t="n">
        <v>0.35</v>
      </c>
      <c r="E31" s="7" t="inlineStr">
        <is>
          <t>1 * 24</t>
        </is>
      </c>
      <c r="F31" s="7" t="n">
        <v>2100</v>
      </c>
      <c r="G31" s="975" t="n"/>
      <c r="H31" s="976">
        <f>G31*$D31</f>
        <v/>
      </c>
      <c r="I31" s="975" t="n"/>
      <c r="J31" s="976">
        <f>I31*$D31</f>
        <v/>
      </c>
      <c r="K31" s="975" t="n"/>
      <c r="L31" s="976">
        <f>K31*$D31</f>
        <v/>
      </c>
      <c r="M31" s="975" t="n"/>
      <c r="N31" s="976">
        <f>M31*$D31</f>
        <v/>
      </c>
      <c r="O31" s="975" t="n"/>
      <c r="P31" s="976">
        <f>O31*$D31</f>
        <v/>
      </c>
      <c r="Q31" s="975" t="n"/>
      <c r="R31" s="976">
        <f>Q31*$D31</f>
        <v/>
      </c>
      <c r="S31" s="975" t="n"/>
      <c r="T31" s="976">
        <f>S31*$D31</f>
        <v/>
      </c>
      <c r="U31" s="975" t="n">
        <v>372</v>
      </c>
      <c r="V31" s="976">
        <f>U31*$D31</f>
        <v/>
      </c>
      <c r="W31" s="975" t="n"/>
      <c r="X31" s="976">
        <f>W31*$D31</f>
        <v/>
      </c>
      <c r="Y31" s="975" t="n">
        <v>1379</v>
      </c>
      <c r="Z31" s="976">
        <f>Y31*$D31</f>
        <v/>
      </c>
      <c r="AA31" s="975" t="n">
        <v>476</v>
      </c>
      <c r="AB31" s="976">
        <f>AA31*$D31</f>
        <v/>
      </c>
      <c r="AC31" s="975" t="n">
        <v>427</v>
      </c>
      <c r="AD31" s="976">
        <f>AC31*$D31</f>
        <v/>
      </c>
      <c r="AE31" s="977">
        <f>(AC31+AA31+Y31+W31+U31+S31+Q31+O31+M31+K31+I31+G31)/12</f>
        <v/>
      </c>
      <c r="AF31" s="978">
        <f>AE31*$D31</f>
        <v/>
      </c>
      <c r="AG31" s="975" t="n">
        <v>339</v>
      </c>
      <c r="AH31" s="976">
        <f>AG31*$D31</f>
        <v/>
      </c>
      <c r="AI31" s="975" t="n">
        <v>98</v>
      </c>
      <c r="AJ31" s="976">
        <f>AI31*$D31</f>
        <v/>
      </c>
      <c r="AK31" s="975" t="n">
        <v>185</v>
      </c>
      <c r="AL31" s="976">
        <f>AK31*$D31</f>
        <v/>
      </c>
      <c r="AM31" s="975" t="n">
        <v>65</v>
      </c>
      <c r="AN31" s="976">
        <f>AM31*$D31</f>
        <v/>
      </c>
      <c r="AO31" s="975" t="n">
        <v>67</v>
      </c>
      <c r="AP31" s="976">
        <f>AO31*$D31</f>
        <v/>
      </c>
      <c r="AQ31" s="975" t="n">
        <v>34</v>
      </c>
      <c r="AR31" s="976">
        <f>AQ31*$D31</f>
        <v/>
      </c>
      <c r="AS31" s="975" t="n">
        <v>39</v>
      </c>
      <c r="AT31" s="976">
        <f>AS31*$D31</f>
        <v/>
      </c>
      <c r="AU31" s="975" t="n">
        <v>30</v>
      </c>
      <c r="AV31" s="976">
        <f>AU31*$D31</f>
        <v/>
      </c>
      <c r="AW31" s="975" t="n">
        <v>195</v>
      </c>
      <c r="AX31" s="976">
        <f>AW31*$D31</f>
        <v/>
      </c>
      <c r="AY31" s="975" t="n">
        <v>30</v>
      </c>
      <c r="AZ31" s="976">
        <f>AY31*$D31</f>
        <v/>
      </c>
      <c r="BA31" s="975" t="n">
        <v>60</v>
      </c>
      <c r="BB31" s="976">
        <f>BA31*$D31</f>
        <v/>
      </c>
      <c r="BC31" s="975" t="n">
        <v>342</v>
      </c>
      <c r="BD31" s="976">
        <f>BC31*$D31</f>
        <v/>
      </c>
      <c r="BE31" s="977">
        <f>(BC31+BA31+AY31+AW31+AU31+AS31+AQ31+AO31+AM31+AK31+AI31+AG31)/12</f>
        <v/>
      </c>
      <c r="BF31" s="978">
        <f>BE31*$D31</f>
        <v/>
      </c>
      <c r="BG31" s="975" t="n">
        <v>24</v>
      </c>
      <c r="BH31" s="976">
        <f>BG31*$D31</f>
        <v/>
      </c>
      <c r="BI31" s="975" t="n">
        <v>234</v>
      </c>
      <c r="BJ31" s="976">
        <f>BI31*$D31</f>
        <v/>
      </c>
      <c r="BK31" s="975" t="n">
        <v>474</v>
      </c>
      <c r="BL31" s="976">
        <f>BK31*$D31</f>
        <v/>
      </c>
      <c r="BM31" s="975" t="n">
        <v>412</v>
      </c>
      <c r="BN31" s="976">
        <f>BM31*$D31</f>
        <v/>
      </c>
      <c r="BO31" s="975" t="n">
        <v>510</v>
      </c>
      <c r="BP31" s="976">
        <f>BO31*$D31</f>
        <v/>
      </c>
      <c r="BQ31" s="975" t="n">
        <v>399</v>
      </c>
      <c r="BR31" s="976">
        <f>BQ31*$D31</f>
        <v/>
      </c>
      <c r="BS31" s="975" t="n">
        <v>1270</v>
      </c>
      <c r="BT31" s="976">
        <f>BS31*$D31</f>
        <v/>
      </c>
      <c r="BU31" s="975" t="n">
        <v>966</v>
      </c>
      <c r="BV31" s="976">
        <f>BU31*$D31</f>
        <v/>
      </c>
      <c r="BW31" s="975" t="n">
        <v>330</v>
      </c>
      <c r="BX31" s="976">
        <f>BW31*$D31</f>
        <v/>
      </c>
      <c r="BY31" s="975" t="n">
        <v>899</v>
      </c>
      <c r="BZ31" s="976">
        <f>BY31*$D31</f>
        <v/>
      </c>
      <c r="CA31" s="975" t="n">
        <v>810</v>
      </c>
      <c r="CB31" s="976">
        <f>CA31*$D31</f>
        <v/>
      </c>
      <c r="CC31" s="975" t="n">
        <v>12</v>
      </c>
      <c r="CD31" s="976">
        <f>CC31*$D31</f>
        <v/>
      </c>
      <c r="CE31" s="979">
        <f>(BG31+BI31+BK31+BM31+BO31+BQ31)/6</f>
        <v/>
      </c>
      <c r="CF31" s="976">
        <f>(BH31+BJ31+BL31+BN31+BP31+BR31)/6</f>
        <v/>
      </c>
      <c r="CG31" s="977">
        <f>(CC31+CA31+BY31+BW31+BU31+BS31+BQ31+BO31+BM31+BK31+BI31+BG31)/12</f>
        <v/>
      </c>
      <c r="CH31" s="978">
        <f>CG31*$D31</f>
        <v/>
      </c>
      <c r="CI31" s="980" t="n">
        <v>528</v>
      </c>
      <c r="CJ31" s="976">
        <f>CI31*$D31</f>
        <v/>
      </c>
      <c r="CK31" s="15">
        <f>CH31/$CH$36%</f>
        <v/>
      </c>
      <c r="CL31" s="15" t="n">
        <v>0.14</v>
      </c>
      <c r="CM31" s="987" t="n">
        <v>26</v>
      </c>
      <c r="CN31" s="976">
        <f>CM31*$D31</f>
        <v/>
      </c>
      <c r="CO31" s="982" t="n">
        <v>90</v>
      </c>
      <c r="CP31" s="15">
        <f>CO31*$D31</f>
        <v/>
      </c>
      <c r="CQ31" s="982" t="n">
        <v>264</v>
      </c>
      <c r="CR31" s="15">
        <f>CQ31*$D31</f>
        <v/>
      </c>
      <c r="CS31" s="982" t="n">
        <v>481</v>
      </c>
      <c r="CT31" s="15">
        <f>CS31*$D31</f>
        <v/>
      </c>
      <c r="CU31" s="982" t="n">
        <v>331</v>
      </c>
      <c r="CV31" s="15">
        <f>CU31*$D31</f>
        <v/>
      </c>
      <c r="CW31" s="982" t="n">
        <v>1260</v>
      </c>
      <c r="CX31" s="15">
        <f>CW31*$D31</f>
        <v/>
      </c>
      <c r="CY31" s="982" t="n"/>
      <c r="CZ31" s="15">
        <f>CY31*$D31</f>
        <v/>
      </c>
      <c r="DA31" s="982" t="n"/>
      <c r="DB31" s="15">
        <f>DA31*$D31</f>
        <v/>
      </c>
      <c r="DC31" s="982" t="n"/>
      <c r="DD31" s="15">
        <f>DC31*$D31</f>
        <v/>
      </c>
      <c r="DE31" s="982" t="n"/>
      <c r="DF31" s="15">
        <f>DE31*$D31</f>
        <v/>
      </c>
      <c r="DG31" s="982" t="n"/>
      <c r="DH31" s="15">
        <f>DG31*$D31</f>
        <v/>
      </c>
      <c r="DI31" s="982" t="n"/>
      <c r="DJ31" s="15">
        <f>DI31*$D31</f>
        <v/>
      </c>
      <c r="DK31" s="983">
        <f>SUM(CM31,CO31,CQ31,CS31,CU31,CW31,CY31,DA31,DC31,DE31,DG31,DI31)</f>
        <v/>
      </c>
      <c r="DL31" s="984">
        <f>SUM(CN31,CP31,CR31,CT31,CV31,CX31,CZ31,DB31,DD31,DF31,DH31,DJ31)</f>
        <v/>
      </c>
      <c r="DM31" s="985">
        <f>DK31/6</f>
        <v/>
      </c>
      <c r="DN31" s="985">
        <f>DL31/6</f>
        <v/>
      </c>
      <c r="DO31" s="69">
        <f>DN31/$DN$36%</f>
        <v/>
      </c>
      <c r="DP31" s="70">
        <f>DO31-CK31</f>
        <v/>
      </c>
      <c r="DQ31" s="986">
        <f>DN31/CF31*100-100</f>
        <v/>
      </c>
      <c r="DR31" s="986">
        <f>DN31/CH31*100-100</f>
        <v/>
      </c>
      <c r="DS31" s="986">
        <f>DN31-CH31</f>
        <v/>
      </c>
      <c r="DT31" s="986">
        <f>DN31-CF31</f>
        <v/>
      </c>
      <c r="DU31" s="986">
        <f>DS31/14</f>
        <v/>
      </c>
      <c r="DV31" s="986">
        <f>DT31/14</f>
        <v/>
      </c>
      <c r="DW31" s="986">
        <f>DV31*6</f>
        <v/>
      </c>
    </row>
    <row r="32">
      <c r="A32" s="7" t="n">
        <v>27</v>
      </c>
      <c r="B32" s="8" t="inlineStr">
        <is>
          <t xml:space="preserve">White Orange </t>
        </is>
      </c>
      <c r="C32" s="8" t="inlineStr">
        <is>
          <t>ပုလင်း</t>
        </is>
      </c>
      <c r="D32" s="7" t="n">
        <v>0.64</v>
      </c>
      <c r="E32" s="7" t="inlineStr">
        <is>
          <t>1 * 24</t>
        </is>
      </c>
      <c r="F32" s="7" t="n">
        <v>1230</v>
      </c>
      <c r="G32" s="975" t="n">
        <v>201961</v>
      </c>
      <c r="H32" s="976">
        <f>G32*$D32</f>
        <v/>
      </c>
      <c r="I32" s="975" t="n">
        <v>171588</v>
      </c>
      <c r="J32" s="976">
        <f>I32*$D32</f>
        <v/>
      </c>
      <c r="K32" s="975" t="n">
        <v>193632</v>
      </c>
      <c r="L32" s="976">
        <f>K32*$D32</f>
        <v/>
      </c>
      <c r="M32" s="975" t="n">
        <v>167880</v>
      </c>
      <c r="N32" s="976">
        <f>M32*$D32</f>
        <v/>
      </c>
      <c r="O32" s="975" t="n">
        <v>178684</v>
      </c>
      <c r="P32" s="976">
        <f>O32*$D32</f>
        <v/>
      </c>
      <c r="Q32" s="975" t="n">
        <v>175704</v>
      </c>
      <c r="R32" s="976">
        <f>Q32*$D32</f>
        <v/>
      </c>
      <c r="S32" s="975" t="n">
        <v>171550</v>
      </c>
      <c r="T32" s="976">
        <f>S32*$D32</f>
        <v/>
      </c>
      <c r="U32" s="975" t="n">
        <v>188352</v>
      </c>
      <c r="V32" s="976">
        <f>U32*$D32</f>
        <v/>
      </c>
      <c r="W32" s="975" t="n">
        <v>185043</v>
      </c>
      <c r="X32" s="976">
        <f>W32*$D32</f>
        <v/>
      </c>
      <c r="Y32" s="975" t="n">
        <v>197568</v>
      </c>
      <c r="Z32" s="976">
        <f>Y32*$D32</f>
        <v/>
      </c>
      <c r="AA32" s="975" t="n">
        <v>212496</v>
      </c>
      <c r="AB32" s="976">
        <f>AA32*$D32</f>
        <v/>
      </c>
      <c r="AC32" s="975" t="n">
        <v>210283</v>
      </c>
      <c r="AD32" s="976">
        <f>AC32*$D32</f>
        <v/>
      </c>
      <c r="AE32" s="977">
        <f>(AC32+AA32+Y32+W32+U32+S32+Q32+O32+M32+K32+I32+G32)/12</f>
        <v/>
      </c>
      <c r="AF32" s="978">
        <f>AE32*$D32</f>
        <v/>
      </c>
      <c r="AG32" s="975" t="n">
        <v>186336</v>
      </c>
      <c r="AH32" s="976">
        <f>AG32*$D32</f>
        <v/>
      </c>
      <c r="AI32" s="975" t="n">
        <v>172130</v>
      </c>
      <c r="AJ32" s="976">
        <f>AI32*$D32</f>
        <v/>
      </c>
      <c r="AK32" s="975" t="n">
        <v>170904</v>
      </c>
      <c r="AL32" s="976">
        <f>AK32*$D32</f>
        <v/>
      </c>
      <c r="AM32" s="975" t="n">
        <v>168240</v>
      </c>
      <c r="AN32" s="976">
        <f>AM32*$D32</f>
        <v/>
      </c>
      <c r="AO32" s="975" t="n">
        <v>135120</v>
      </c>
      <c r="AP32" s="976">
        <f>AO32*$D32</f>
        <v/>
      </c>
      <c r="AQ32" s="975" t="n">
        <v>178344</v>
      </c>
      <c r="AR32" s="976">
        <f>AQ32*$D32</f>
        <v/>
      </c>
      <c r="AS32" s="975" t="n">
        <v>180288</v>
      </c>
      <c r="AT32" s="976">
        <f>AS32*$D32</f>
        <v/>
      </c>
      <c r="AU32" s="975" t="n">
        <v>190538</v>
      </c>
      <c r="AV32" s="976">
        <f>AU32*$D32</f>
        <v/>
      </c>
      <c r="AW32" s="975" t="n">
        <v>179088</v>
      </c>
      <c r="AX32" s="976">
        <f>AW32*$D32</f>
        <v/>
      </c>
      <c r="AY32" s="975" t="n">
        <v>213576</v>
      </c>
      <c r="AZ32" s="976">
        <f>AY32*$D32</f>
        <v/>
      </c>
      <c r="BA32" s="975" t="n">
        <v>201456</v>
      </c>
      <c r="BB32" s="976">
        <f>BA32*$D32</f>
        <v/>
      </c>
      <c r="BC32" s="975" t="n">
        <v>221976</v>
      </c>
      <c r="BD32" s="976">
        <f>BC32*$D32</f>
        <v/>
      </c>
      <c r="BE32" s="977">
        <f>(BC32+BA32+AY32+AW32+AU32+AS32+AQ32+AO32+AM32+AK32+AI32+AG32)/12</f>
        <v/>
      </c>
      <c r="BF32" s="978">
        <f>BE32*$D32</f>
        <v/>
      </c>
      <c r="BG32" s="975" t="n">
        <v>205104</v>
      </c>
      <c r="BH32" s="976">
        <f>BG32*$D32</f>
        <v/>
      </c>
      <c r="BI32" s="975" t="n">
        <v>188737</v>
      </c>
      <c r="BJ32" s="976">
        <f>BI32*$D32</f>
        <v/>
      </c>
      <c r="BK32" s="975" t="n">
        <v>178271</v>
      </c>
      <c r="BL32" s="976">
        <f>BK32*$D32</f>
        <v/>
      </c>
      <c r="BM32" s="975" t="n">
        <v>172056</v>
      </c>
      <c r="BN32" s="976">
        <f>BM32*$D32</f>
        <v/>
      </c>
      <c r="BO32" s="975" t="n">
        <v>191772</v>
      </c>
      <c r="BP32" s="976">
        <f>BO32*$D32</f>
        <v/>
      </c>
      <c r="BQ32" s="975" t="n">
        <v>175896</v>
      </c>
      <c r="BR32" s="976">
        <f>BQ32*$D32</f>
        <v/>
      </c>
      <c r="BS32" s="975" t="n">
        <v>189492</v>
      </c>
      <c r="BT32" s="976">
        <f>BS32*$D32</f>
        <v/>
      </c>
      <c r="BU32" s="975" t="n">
        <v>192528</v>
      </c>
      <c r="BV32" s="976">
        <f>BU32*$D32</f>
        <v/>
      </c>
      <c r="BW32" s="975" t="n">
        <v>203688</v>
      </c>
      <c r="BX32" s="976">
        <f>BW32*$D32</f>
        <v/>
      </c>
      <c r="BY32" s="975" t="n">
        <v>209141</v>
      </c>
      <c r="BZ32" s="976">
        <f>BY32*$D32</f>
        <v/>
      </c>
      <c r="CA32" s="975" t="n">
        <v>227352</v>
      </c>
      <c r="CB32" s="976">
        <f>CA32*$D32</f>
        <v/>
      </c>
      <c r="CC32" s="975" t="n">
        <v>225907</v>
      </c>
      <c r="CD32" s="976">
        <f>CC32*$D32</f>
        <v/>
      </c>
      <c r="CE32" s="979">
        <f>(BG32+BI32+BK32+BM32+BO32+BQ32)/6</f>
        <v/>
      </c>
      <c r="CF32" s="976">
        <f>(BH32+BJ32+BL32+BN32+BP32+BR32)/6</f>
        <v/>
      </c>
      <c r="CG32" s="977">
        <f>(CC32+CA32+BY32+BW32+BU32+BS32+BQ32+BO32+BM32+BK32+BI32+BG32)/12</f>
        <v/>
      </c>
      <c r="CH32" s="978">
        <f>CG32*$D32</f>
        <v/>
      </c>
      <c r="CI32" s="980" t="n">
        <v>196662</v>
      </c>
      <c r="CJ32" s="976">
        <f>CI32*$D32</f>
        <v/>
      </c>
      <c r="CK32" s="15">
        <f>CH32/$CH$36%</f>
        <v/>
      </c>
      <c r="CL32" s="15" t="n"/>
      <c r="CM32" s="982" t="n">
        <v>209448</v>
      </c>
      <c r="CN32" s="976">
        <f>CM32*$D32</f>
        <v/>
      </c>
      <c r="CO32" s="982" t="n">
        <v>178916</v>
      </c>
      <c r="CP32" s="15">
        <f>CO32*$D32</f>
        <v/>
      </c>
      <c r="CQ32" s="982" t="n">
        <v>223786</v>
      </c>
      <c r="CR32" s="15">
        <f>CQ32*$D32</f>
        <v/>
      </c>
      <c r="CS32" s="982" t="n">
        <v>178440</v>
      </c>
      <c r="CT32" s="15">
        <f>CS32*$D32</f>
        <v/>
      </c>
      <c r="CU32" s="982" t="n">
        <v>177984</v>
      </c>
      <c r="CV32" s="15">
        <f>CU32*$D32</f>
        <v/>
      </c>
      <c r="CW32" s="982" t="n">
        <v>190848</v>
      </c>
      <c r="CX32" s="15">
        <f>CW32*$D32</f>
        <v/>
      </c>
      <c r="CY32" s="982" t="n"/>
      <c r="CZ32" s="15">
        <f>CY32*$D32</f>
        <v/>
      </c>
      <c r="DA32" s="982" t="n"/>
      <c r="DB32" s="15">
        <f>DA32*$D32</f>
        <v/>
      </c>
      <c r="DC32" s="982" t="n"/>
      <c r="DD32" s="15">
        <f>DC32*$D32</f>
        <v/>
      </c>
      <c r="DE32" s="982" t="n"/>
      <c r="DF32" s="15">
        <f>DE32*$D32</f>
        <v/>
      </c>
      <c r="DG32" s="982" t="n"/>
      <c r="DH32" s="15">
        <f>DG32*$D32</f>
        <v/>
      </c>
      <c r="DI32" s="982" t="n"/>
      <c r="DJ32" s="15">
        <f>DI32*$D32</f>
        <v/>
      </c>
      <c r="DK32" s="983">
        <f>SUM(CM32,CO32,CQ32,CS32,CU32,CW32,CY32,DA32,DC32,DE32,DG32,DI32)</f>
        <v/>
      </c>
      <c r="DL32" s="984">
        <f>SUM(CN32,CP32,CR32,CT32,CV32,CX32,CZ32,DB32,DD32,DF32,DH32,DJ32)</f>
        <v/>
      </c>
      <c r="DM32" s="985">
        <f>DK32/6</f>
        <v/>
      </c>
      <c r="DN32" s="985">
        <f>DL32/6</f>
        <v/>
      </c>
      <c r="DO32" s="69">
        <f>DN32/$DN$36%</f>
        <v/>
      </c>
      <c r="DP32" s="70">
        <f>DO32-CK32</f>
        <v/>
      </c>
      <c r="DQ32" s="986">
        <f>DN32/CF32*100-100</f>
        <v/>
      </c>
      <c r="DR32" s="986">
        <f>DN32/CH32*100-100</f>
        <v/>
      </c>
      <c r="DS32" s="986">
        <f>DN32-CH32</f>
        <v/>
      </c>
      <c r="DT32" s="986">
        <f>DN32-CF32</f>
        <v/>
      </c>
      <c r="DU32" s="986">
        <f>DS32/14</f>
        <v/>
      </c>
      <c r="DV32" s="986">
        <f>DT32/14</f>
        <v/>
      </c>
      <c r="DW32" s="986">
        <f>DV32*6</f>
        <v/>
      </c>
    </row>
    <row r="33">
      <c r="A33" s="7" t="n">
        <v>28</v>
      </c>
      <c r="B33" s="8" t="inlineStr">
        <is>
          <t xml:space="preserve">Dagon </t>
        </is>
      </c>
      <c r="C33" s="8" t="inlineStr">
        <is>
          <t>ပုလင်း</t>
        </is>
      </c>
      <c r="D33" s="7" t="n">
        <v>0.64</v>
      </c>
      <c r="E33" s="7" t="inlineStr">
        <is>
          <t>1 * 14</t>
        </is>
      </c>
      <c r="F33" s="7" t="n">
        <v>1230</v>
      </c>
      <c r="G33" s="975" t="n">
        <v>20902</v>
      </c>
      <c r="H33" s="976">
        <f>G33*$D33</f>
        <v/>
      </c>
      <c r="I33" s="975" t="n">
        <v>17052</v>
      </c>
      <c r="J33" s="976">
        <f>I33*$D33</f>
        <v/>
      </c>
      <c r="K33" s="975" t="n">
        <v>20062</v>
      </c>
      <c r="L33" s="976">
        <f>K33*$D33</f>
        <v/>
      </c>
      <c r="M33" s="975" t="n">
        <v>15960</v>
      </c>
      <c r="N33" s="976">
        <f>M33*$D33</f>
        <v/>
      </c>
      <c r="O33" s="975" t="n">
        <v>20048</v>
      </c>
      <c r="P33" s="976">
        <f>O33*$D33</f>
        <v/>
      </c>
      <c r="Q33" s="975" t="n">
        <v>16450</v>
      </c>
      <c r="R33" s="976">
        <f>Q33*$D33</f>
        <v/>
      </c>
      <c r="S33" s="975" t="n">
        <v>17010</v>
      </c>
      <c r="T33" s="976">
        <f>S33*$D33</f>
        <v/>
      </c>
      <c r="U33" s="975" t="n">
        <v>15974</v>
      </c>
      <c r="V33" s="976">
        <f>U33*$D33</f>
        <v/>
      </c>
      <c r="W33" s="975" t="n">
        <v>13356</v>
      </c>
      <c r="X33" s="976">
        <f>W33*$D33</f>
        <v/>
      </c>
      <c r="Y33" s="975" t="n">
        <v>19488</v>
      </c>
      <c r="Z33" s="976">
        <f>Y33*$D33</f>
        <v/>
      </c>
      <c r="AA33" s="975" t="n">
        <v>11046</v>
      </c>
      <c r="AB33" s="976">
        <f>AA33*$D33</f>
        <v/>
      </c>
      <c r="AC33" s="975" t="n">
        <v>23226</v>
      </c>
      <c r="AD33" s="976">
        <f>AC33*$D33</f>
        <v/>
      </c>
      <c r="AE33" s="977">
        <f>(AC33+AA33+Y33+W33+U33+S33+Q33+O33+M33+K33+I33+G33)/12</f>
        <v/>
      </c>
      <c r="AF33" s="978">
        <f>AE33*$D33</f>
        <v/>
      </c>
      <c r="AG33" s="975" t="n">
        <v>15862</v>
      </c>
      <c r="AH33" s="976">
        <f>AG33*$D33</f>
        <v/>
      </c>
      <c r="AI33" s="975" t="n">
        <v>16128</v>
      </c>
      <c r="AJ33" s="976">
        <f>AI33*$D33</f>
        <v/>
      </c>
      <c r="AK33" s="975" t="n">
        <v>15082</v>
      </c>
      <c r="AL33" s="976">
        <f>AK33*$D33</f>
        <v/>
      </c>
      <c r="AM33" s="975" t="n">
        <v>17766</v>
      </c>
      <c r="AN33" s="976">
        <f>AM33*$D33</f>
        <v/>
      </c>
      <c r="AO33" s="975" t="n">
        <v>11270</v>
      </c>
      <c r="AP33" s="976">
        <f>AO33*$D33</f>
        <v/>
      </c>
      <c r="AQ33" s="975" t="n">
        <v>17654</v>
      </c>
      <c r="AR33" s="976">
        <f>AQ33*$D33</f>
        <v/>
      </c>
      <c r="AS33" s="975" t="n">
        <v>16464</v>
      </c>
      <c r="AT33" s="976">
        <f>AS33*$D33</f>
        <v/>
      </c>
      <c r="AU33" s="975" t="n">
        <v>14602</v>
      </c>
      <c r="AV33" s="976">
        <f>AU33*$D33</f>
        <v/>
      </c>
      <c r="AW33" s="975" t="n">
        <v>16268</v>
      </c>
      <c r="AX33" s="976">
        <f>AW33*$D33</f>
        <v/>
      </c>
      <c r="AY33" s="975" t="n">
        <v>14196</v>
      </c>
      <c r="AZ33" s="976">
        <f>AY33*$D33</f>
        <v/>
      </c>
      <c r="BA33" s="975" t="n">
        <v>11200</v>
      </c>
      <c r="BB33" s="976">
        <f>BA33*$D33</f>
        <v/>
      </c>
      <c r="BC33" s="975" t="n">
        <v>25116</v>
      </c>
      <c r="BD33" s="976">
        <f>BC33*$D33</f>
        <v/>
      </c>
      <c r="BE33" s="977">
        <f>(BC33+BA33+AY33+AW33+AU33+AS33+AQ33+AO33+AM33+AK33+AI33+AG33)/12</f>
        <v/>
      </c>
      <c r="BF33" s="978">
        <f>BE33*$D33</f>
        <v/>
      </c>
      <c r="BG33" s="975" t="n">
        <v>18844</v>
      </c>
      <c r="BH33" s="976">
        <f>BG33*$D33</f>
        <v/>
      </c>
      <c r="BI33" s="975" t="n">
        <v>11788</v>
      </c>
      <c r="BJ33" s="976">
        <f>BI33*$D33</f>
        <v/>
      </c>
      <c r="BK33" s="975" t="n">
        <v>16646</v>
      </c>
      <c r="BL33" s="976">
        <f>BK33*$D33</f>
        <v/>
      </c>
      <c r="BM33" s="975" t="n">
        <v>15669</v>
      </c>
      <c r="BN33" s="976">
        <f>BM33*$D33</f>
        <v/>
      </c>
      <c r="BO33" s="975" t="n">
        <v>14661</v>
      </c>
      <c r="BP33" s="976">
        <f>BO33*$D33</f>
        <v/>
      </c>
      <c r="BQ33" s="975" t="n">
        <v>16002</v>
      </c>
      <c r="BR33" s="976">
        <f>BQ33*$D33</f>
        <v/>
      </c>
      <c r="BS33" s="975" t="n">
        <v>18228</v>
      </c>
      <c r="BT33" s="976">
        <f>BS33*$D33</f>
        <v/>
      </c>
      <c r="BU33" s="975" t="n">
        <v>16450</v>
      </c>
      <c r="BV33" s="976">
        <f>BU33*$D33</f>
        <v/>
      </c>
      <c r="BW33" s="975" t="n">
        <v>15610</v>
      </c>
      <c r="BX33" s="976">
        <f>BW33*$D33</f>
        <v/>
      </c>
      <c r="BY33" s="975" t="n">
        <v>16590</v>
      </c>
      <c r="BZ33" s="976">
        <f>BY33*$D33</f>
        <v/>
      </c>
      <c r="CA33" s="975" t="n">
        <v>17080</v>
      </c>
      <c r="CB33" s="976">
        <f>CA33*$D33</f>
        <v/>
      </c>
      <c r="CC33" s="975" t="n">
        <v>20748</v>
      </c>
      <c r="CD33" s="976">
        <f>CC33*$D33</f>
        <v/>
      </c>
      <c r="CE33" s="979">
        <f>(BG33+BI33+BK33+BM33+BO33+BQ33)/6</f>
        <v/>
      </c>
      <c r="CF33" s="976">
        <f>(BH33+BJ33+BL33+BN33+BP33+BR33)/6</f>
        <v/>
      </c>
      <c r="CG33" s="977">
        <f>(CC33+CA33+BY33+BW33+BU33+BS33+BQ33+BO33+BM33+BK33+BI33+BG33)/12</f>
        <v/>
      </c>
      <c r="CH33" s="978">
        <f>CG33*$D33</f>
        <v/>
      </c>
      <c r="CI33" s="980" t="n">
        <v>16526</v>
      </c>
      <c r="CJ33" s="976">
        <f>CI33*$D33</f>
        <v/>
      </c>
      <c r="CK33" s="15">
        <f>CH33/$CH$36%</f>
        <v/>
      </c>
      <c r="CL33" s="15" t="n"/>
      <c r="CM33" s="982" t="n">
        <v>16170</v>
      </c>
      <c r="CN33" s="976">
        <f>CM33*$D33</f>
        <v/>
      </c>
      <c r="CO33" s="982" t="n">
        <v>16310</v>
      </c>
      <c r="CP33" s="15">
        <f>CO33*$D33</f>
        <v/>
      </c>
      <c r="CQ33" s="982" t="n">
        <v>17892</v>
      </c>
      <c r="CR33" s="15">
        <f>CQ33*$D33</f>
        <v/>
      </c>
      <c r="CS33" s="982" t="n">
        <v>24304</v>
      </c>
      <c r="CT33" s="15">
        <f>CS33*$D33</f>
        <v/>
      </c>
      <c r="CU33" s="982" t="n">
        <v>12362</v>
      </c>
      <c r="CV33" s="15">
        <f>CU33*$D33</f>
        <v/>
      </c>
      <c r="CW33" s="982" t="n">
        <v>16254</v>
      </c>
      <c r="CX33" s="15">
        <f>CW33*$D33</f>
        <v/>
      </c>
      <c r="CY33" s="982" t="n"/>
      <c r="CZ33" s="15">
        <f>CY33*$D33</f>
        <v/>
      </c>
      <c r="DA33" s="982" t="n"/>
      <c r="DB33" s="15">
        <f>DA33*$D33</f>
        <v/>
      </c>
      <c r="DC33" s="982" t="n"/>
      <c r="DD33" s="15">
        <f>DC33*$D33</f>
        <v/>
      </c>
      <c r="DE33" s="982" t="n"/>
      <c r="DF33" s="15">
        <f>DE33*$D33</f>
        <v/>
      </c>
      <c r="DG33" s="982" t="n"/>
      <c r="DH33" s="15">
        <f>DG33*$D33</f>
        <v/>
      </c>
      <c r="DI33" s="982" t="n"/>
      <c r="DJ33" s="15">
        <f>DI33*$D33</f>
        <v/>
      </c>
      <c r="DK33" s="983">
        <f>SUM(CM33,CO33,CQ33,CS33,CU33,CW33,CY33,DA33,DC33,DE33,DG33,DI33)</f>
        <v/>
      </c>
      <c r="DL33" s="984">
        <f>SUM(CN33,CP33,CR33,CT33,CV33,CX33,CZ33,DB33,DD33,DF33,DH33,DJ33)</f>
        <v/>
      </c>
      <c r="DM33" s="985">
        <f>DK33/6</f>
        <v/>
      </c>
      <c r="DN33" s="985">
        <f>DL33/6</f>
        <v/>
      </c>
      <c r="DO33" s="69">
        <f>DN33/$DN$36%</f>
        <v/>
      </c>
      <c r="DP33" s="70">
        <f>DO33-CK33</f>
        <v/>
      </c>
      <c r="DQ33" s="986">
        <f>DN33/CF33*100-100</f>
        <v/>
      </c>
      <c r="DR33" s="986">
        <f>DN33/CH33*100-100</f>
        <v/>
      </c>
      <c r="DS33" s="986">
        <f>DN33-CH33</f>
        <v/>
      </c>
      <c r="DT33" s="986">
        <f>DN33-CF33</f>
        <v/>
      </c>
      <c r="DU33" s="986">
        <f>DS33/14</f>
        <v/>
      </c>
      <c r="DV33" s="986">
        <f>DT33/14</f>
        <v/>
      </c>
      <c r="DW33" s="986">
        <f>DV33*6</f>
        <v/>
      </c>
    </row>
    <row r="34">
      <c r="A34" s="7" t="n">
        <v>29</v>
      </c>
      <c r="B34" s="8" t="inlineStr">
        <is>
          <t>Black - Cat</t>
        </is>
      </c>
      <c r="C34" s="8" t="inlineStr">
        <is>
          <t>ပုလင်း</t>
        </is>
      </c>
      <c r="D34" s="7" t="n">
        <v>0.64</v>
      </c>
      <c r="E34" s="7" t="inlineStr">
        <is>
          <t>1 * 24</t>
        </is>
      </c>
      <c r="F34" s="7" t="n">
        <v>1230</v>
      </c>
      <c r="G34" s="975" t="n">
        <v>8544</v>
      </c>
      <c r="H34" s="976">
        <f>G34*$D34</f>
        <v/>
      </c>
      <c r="I34" s="975" t="n">
        <v>9480</v>
      </c>
      <c r="J34" s="976">
        <f>I34*$D34</f>
        <v/>
      </c>
      <c r="K34" s="975" t="n">
        <v>11496</v>
      </c>
      <c r="L34" s="976">
        <f>K34*$D34</f>
        <v/>
      </c>
      <c r="M34" s="975" t="n">
        <v>7848</v>
      </c>
      <c r="N34" s="976">
        <f>M34*$D34</f>
        <v/>
      </c>
      <c r="O34" s="975" t="n">
        <v>7464</v>
      </c>
      <c r="P34" s="976">
        <f>O34*$D34</f>
        <v/>
      </c>
      <c r="Q34" s="975" t="n">
        <v>8832</v>
      </c>
      <c r="R34" s="976">
        <f>Q34*$D34</f>
        <v/>
      </c>
      <c r="S34" s="975" t="n">
        <v>10368</v>
      </c>
      <c r="T34" s="976">
        <f>S34*$D34</f>
        <v/>
      </c>
      <c r="U34" s="975" t="n">
        <v>10296</v>
      </c>
      <c r="V34" s="976">
        <f>U34*$D34</f>
        <v/>
      </c>
      <c r="W34" s="975" t="n">
        <v>8378</v>
      </c>
      <c r="X34" s="976">
        <f>W34*$D34</f>
        <v/>
      </c>
      <c r="Y34" s="975" t="n">
        <v>10320</v>
      </c>
      <c r="Z34" s="976">
        <f>Y34*$D34</f>
        <v/>
      </c>
      <c r="AA34" s="975" t="n">
        <v>5712</v>
      </c>
      <c r="AB34" s="976">
        <f>AA34*$D34</f>
        <v/>
      </c>
      <c r="AC34" s="975" t="n">
        <v>10464</v>
      </c>
      <c r="AD34" s="976">
        <f>AC34*$D34</f>
        <v/>
      </c>
      <c r="AE34" s="977">
        <f>(AC34+AA34+Y34+W34+U34+S34+Q34+O34+M34+K34+I34+G34)/12</f>
        <v/>
      </c>
      <c r="AF34" s="978">
        <f>AE34*$D34</f>
        <v/>
      </c>
      <c r="AG34" s="975" t="n">
        <v>13608</v>
      </c>
      <c r="AH34" s="976">
        <f>AG34*$D34</f>
        <v/>
      </c>
      <c r="AI34" s="975" t="n">
        <v>8376</v>
      </c>
      <c r="AJ34" s="976">
        <f>AI34*$D34</f>
        <v/>
      </c>
      <c r="AK34" s="975" t="n">
        <v>5904</v>
      </c>
      <c r="AL34" s="976">
        <f>AK34*$D34</f>
        <v/>
      </c>
      <c r="AM34" s="975" t="n">
        <v>7968</v>
      </c>
      <c r="AN34" s="976">
        <f>AM34*$D34</f>
        <v/>
      </c>
      <c r="AO34" s="975" t="n">
        <v>6480</v>
      </c>
      <c r="AP34" s="976">
        <f>AO34*$D34</f>
        <v/>
      </c>
      <c r="AQ34" s="975" t="n">
        <v>8280</v>
      </c>
      <c r="AR34" s="976">
        <f>AQ34*$D34</f>
        <v/>
      </c>
      <c r="AS34" s="975" t="n">
        <v>9480</v>
      </c>
      <c r="AT34" s="976">
        <f>AS34*$D34</f>
        <v/>
      </c>
      <c r="AU34" s="975" t="n">
        <v>7728</v>
      </c>
      <c r="AV34" s="976">
        <f>AU34*$D34</f>
        <v/>
      </c>
      <c r="AW34" s="975" t="n">
        <v>9840</v>
      </c>
      <c r="AX34" s="976">
        <f>AW34*$D34</f>
        <v/>
      </c>
      <c r="AY34" s="975" t="n">
        <v>5688</v>
      </c>
      <c r="AZ34" s="976">
        <f>AY34*$D34</f>
        <v/>
      </c>
      <c r="BA34" s="975" t="n">
        <v>3552</v>
      </c>
      <c r="BB34" s="976">
        <f>BA34*$D34</f>
        <v/>
      </c>
      <c r="BC34" s="975" t="n">
        <v>6360</v>
      </c>
      <c r="BD34" s="976">
        <f>BC34*$D34</f>
        <v/>
      </c>
      <c r="BE34" s="977">
        <f>(BC34+BA34+AY34+AW34+AU34+AS34+AQ34+AO34+AM34+AK34+AI34+AG34)/12</f>
        <v/>
      </c>
      <c r="BF34" s="978">
        <f>BE34*$D34</f>
        <v/>
      </c>
      <c r="BG34" s="975" t="n">
        <v>8088</v>
      </c>
      <c r="BH34" s="976">
        <f>BG34*$D34</f>
        <v/>
      </c>
      <c r="BI34" s="975" t="n">
        <v>4320</v>
      </c>
      <c r="BJ34" s="976">
        <f>BI34*$D34</f>
        <v/>
      </c>
      <c r="BK34" s="975" t="n">
        <v>7296</v>
      </c>
      <c r="BL34" s="976">
        <f>BK34*$D34</f>
        <v/>
      </c>
      <c r="BM34" s="975" t="n">
        <v>5184</v>
      </c>
      <c r="BN34" s="976">
        <f>BM34*$D34</f>
        <v/>
      </c>
      <c r="BO34" s="975" t="n">
        <v>6432</v>
      </c>
      <c r="BP34" s="976">
        <f>BO34*$D34</f>
        <v/>
      </c>
      <c r="BQ34" s="975" t="n">
        <v>6576</v>
      </c>
      <c r="BR34" s="976">
        <f>BQ34*$D34</f>
        <v/>
      </c>
      <c r="BS34" s="975" t="n">
        <v>7464</v>
      </c>
      <c r="BT34" s="976">
        <f>BS34*$D34</f>
        <v/>
      </c>
      <c r="BU34" s="975" t="n">
        <v>5064</v>
      </c>
      <c r="BV34" s="976">
        <f>BU34*$D34</f>
        <v/>
      </c>
      <c r="BW34" s="975" t="n">
        <v>5832</v>
      </c>
      <c r="BX34" s="976">
        <f>BW34*$D34</f>
        <v/>
      </c>
      <c r="BY34" s="975" t="n">
        <v>5952</v>
      </c>
      <c r="BZ34" s="976">
        <f>BY34*$D34</f>
        <v/>
      </c>
      <c r="CA34" s="975" t="n">
        <v>6744</v>
      </c>
      <c r="CB34" s="976">
        <f>CA34*$D34</f>
        <v/>
      </c>
      <c r="CC34" s="975" t="n">
        <v>7800</v>
      </c>
      <c r="CD34" s="976">
        <f>CC34*$D34</f>
        <v/>
      </c>
      <c r="CE34" s="979">
        <f>(BG34+BI34+BK34+BM34+BO34+BQ34)/6</f>
        <v/>
      </c>
      <c r="CF34" s="976">
        <f>(BH34+BJ34+BL34+BN34+BP34+BR34)/6</f>
        <v/>
      </c>
      <c r="CG34" s="977">
        <f>(CC34+CA34+BY34+BW34+BU34+BS34+BQ34+BO34+BM34+BK34+BI34+BG34)/12</f>
        <v/>
      </c>
      <c r="CH34" s="978">
        <f>CG34*$D34</f>
        <v/>
      </c>
      <c r="CI34" s="980" t="n">
        <v>6396</v>
      </c>
      <c r="CJ34" s="976">
        <f>CI34*$D34</f>
        <v/>
      </c>
      <c r="CK34" s="15">
        <f>CH34/$CH$36%</f>
        <v/>
      </c>
      <c r="CL34" s="15" t="n"/>
      <c r="CM34" s="982" t="n">
        <v>6552</v>
      </c>
      <c r="CN34" s="976">
        <f>CM34*$D34</f>
        <v/>
      </c>
      <c r="CO34" s="982" t="n">
        <v>6624</v>
      </c>
      <c r="CP34" s="15">
        <f>CO34*$D34</f>
        <v/>
      </c>
      <c r="CQ34" s="982" t="n">
        <v>9072</v>
      </c>
      <c r="CR34" s="15">
        <f>CQ34*$D34</f>
        <v/>
      </c>
      <c r="CS34" s="982" t="n">
        <v>4824</v>
      </c>
      <c r="CT34" s="15">
        <f>CS34*$D34</f>
        <v/>
      </c>
      <c r="CU34" s="982" t="n">
        <v>7032</v>
      </c>
      <c r="CV34" s="15">
        <f>CU34*$D34</f>
        <v/>
      </c>
      <c r="CW34" s="982" t="n">
        <v>4800</v>
      </c>
      <c r="CX34" s="15">
        <f>CW34*$D34</f>
        <v/>
      </c>
      <c r="CY34" s="982" t="n"/>
      <c r="CZ34" s="15">
        <f>CY34*$D34</f>
        <v/>
      </c>
      <c r="DA34" s="982" t="n"/>
      <c r="DB34" s="15">
        <f>DA34*$D34</f>
        <v/>
      </c>
      <c r="DC34" s="982" t="n"/>
      <c r="DD34" s="15">
        <f>DC34*$D34</f>
        <v/>
      </c>
      <c r="DE34" s="982" t="n"/>
      <c r="DF34" s="15">
        <f>DE34*$D34</f>
        <v/>
      </c>
      <c r="DG34" s="982" t="n"/>
      <c r="DH34" s="15">
        <f>DG34*$D34</f>
        <v/>
      </c>
      <c r="DI34" s="982" t="n"/>
      <c r="DJ34" s="15">
        <f>DI34*$D34</f>
        <v/>
      </c>
      <c r="DK34" s="983">
        <f>SUM(CM34,CO34,CQ34,CS34,CU34,CW34,CY34,DA34,DC34,DE34,DG34,DI34)</f>
        <v/>
      </c>
      <c r="DL34" s="984">
        <f>SUM(CN34,CP34,CR34,CT34,CV34,CX34,CZ34,DB34,DD34,DF34,DH34,DJ34)</f>
        <v/>
      </c>
      <c r="DM34" s="985">
        <f>DK34/6</f>
        <v/>
      </c>
      <c r="DN34" s="985">
        <f>DL34/6</f>
        <v/>
      </c>
      <c r="DO34" s="69">
        <f>DN34/$DN$36%</f>
        <v/>
      </c>
      <c r="DP34" s="70">
        <f>DO34-CK34</f>
        <v/>
      </c>
      <c r="DQ34" s="986">
        <f>DN34/CF34*100-100</f>
        <v/>
      </c>
      <c r="DR34" s="986">
        <f>DN34/CH34*100-100</f>
        <v/>
      </c>
      <c r="DS34" s="986">
        <f>DN34-CH34</f>
        <v/>
      </c>
      <c r="DT34" s="986">
        <f>DN34-CF34</f>
        <v/>
      </c>
      <c r="DU34" s="986">
        <f>DS34/14</f>
        <v/>
      </c>
      <c r="DV34" s="986">
        <f>DT34/14</f>
        <v/>
      </c>
      <c r="DW34" s="986">
        <f>DV34*6</f>
        <v/>
      </c>
    </row>
    <row r="35">
      <c r="A35" s="7" t="n">
        <v>30</v>
      </c>
      <c r="B35" s="8" t="inlineStr">
        <is>
          <t>ကင်းမြီးကောက်</t>
        </is>
      </c>
      <c r="C35" s="8" t="inlineStr">
        <is>
          <t>ပုလင်း</t>
        </is>
      </c>
      <c r="D35" s="7" t="n">
        <v>0.64</v>
      </c>
      <c r="E35" s="7" t="inlineStr">
        <is>
          <t>1 * 14</t>
        </is>
      </c>
      <c r="F35" s="7" t="n">
        <v>1230</v>
      </c>
      <c r="G35" s="975" t="n">
        <v>6050</v>
      </c>
      <c r="H35" s="976">
        <f>G35*$D35</f>
        <v/>
      </c>
      <c r="I35" s="975" t="n">
        <v>4746</v>
      </c>
      <c r="J35" s="976">
        <f>I35*$D35</f>
        <v/>
      </c>
      <c r="K35" s="975" t="n">
        <v>5572</v>
      </c>
      <c r="L35" s="976">
        <f>K35*$D35</f>
        <v/>
      </c>
      <c r="M35" s="975" t="n">
        <v>5418</v>
      </c>
      <c r="N35" s="976">
        <f>M35*$D35</f>
        <v/>
      </c>
      <c r="O35" s="975" t="n">
        <v>4564</v>
      </c>
      <c r="P35" s="976">
        <f>O35*$D35</f>
        <v/>
      </c>
      <c r="Q35" s="975" t="n">
        <v>5320</v>
      </c>
      <c r="R35" s="976">
        <f>Q35*$D35</f>
        <v/>
      </c>
      <c r="S35" s="975" t="n">
        <v>5754</v>
      </c>
      <c r="T35" s="976">
        <f>S35*$D35</f>
        <v/>
      </c>
      <c r="U35" s="975" t="n">
        <v>6328</v>
      </c>
      <c r="V35" s="976">
        <f>U35*$D35</f>
        <v/>
      </c>
      <c r="W35" s="975" t="n">
        <v>3976</v>
      </c>
      <c r="X35" s="976">
        <f>W35*$D35</f>
        <v/>
      </c>
      <c r="Y35" s="975" t="n">
        <v>5222</v>
      </c>
      <c r="Z35" s="976">
        <f>Y35*$D35</f>
        <v/>
      </c>
      <c r="AA35" s="975" t="n">
        <v>5026</v>
      </c>
      <c r="AB35" s="976">
        <f>AA35*$D35</f>
        <v/>
      </c>
      <c r="AC35" s="975" t="n">
        <v>5992</v>
      </c>
      <c r="AD35" s="976">
        <f>AC35*$D35</f>
        <v/>
      </c>
      <c r="AE35" s="977">
        <f>(AC35+AA35+Y35+W35+U35+S35+Q35+O35+M35+K35+I35+G35)/12</f>
        <v/>
      </c>
      <c r="AF35" s="978">
        <f>AE35*$D35</f>
        <v/>
      </c>
      <c r="AG35" s="975" t="n">
        <v>5348</v>
      </c>
      <c r="AH35" s="976">
        <f>AG35*$D35</f>
        <v/>
      </c>
      <c r="AI35" s="975" t="n">
        <v>4774</v>
      </c>
      <c r="AJ35" s="976">
        <f>AI35*$D35</f>
        <v/>
      </c>
      <c r="AK35" s="975" t="n">
        <v>4704</v>
      </c>
      <c r="AL35" s="976">
        <f>AK35*$D35</f>
        <v/>
      </c>
      <c r="AM35" s="975" t="n">
        <v>3710</v>
      </c>
      <c r="AN35" s="976">
        <f>AM35*$D35</f>
        <v/>
      </c>
      <c r="AO35" s="975" t="n">
        <v>3836</v>
      </c>
      <c r="AP35" s="976">
        <f>AO35*$D35</f>
        <v/>
      </c>
      <c r="AQ35" s="975" t="n">
        <v>3766</v>
      </c>
      <c r="AR35" s="976">
        <f>AQ35*$D35</f>
        <v/>
      </c>
      <c r="AS35" s="975" t="n">
        <v>3766</v>
      </c>
      <c r="AT35" s="976">
        <f>AS35*$D35</f>
        <v/>
      </c>
      <c r="AU35" s="975" t="n">
        <v>4438</v>
      </c>
      <c r="AV35" s="976">
        <f>AU35*$D35</f>
        <v/>
      </c>
      <c r="AW35" s="975" t="n">
        <v>4200</v>
      </c>
      <c r="AX35" s="976">
        <f>AW35*$D35</f>
        <v/>
      </c>
      <c r="AY35" s="975" t="n">
        <v>4291</v>
      </c>
      <c r="AZ35" s="976">
        <f>AY35*$D35</f>
        <v/>
      </c>
      <c r="BA35" s="975" t="n">
        <v>2030</v>
      </c>
      <c r="BB35" s="976">
        <f>BA35*$D35</f>
        <v/>
      </c>
      <c r="BC35" s="975" t="n">
        <v>5082</v>
      </c>
      <c r="BD35" s="976">
        <f>BC35*$D35</f>
        <v/>
      </c>
      <c r="BE35" s="977">
        <f>(BC35+BA35+AY35+AW35+AU35+AS35+AQ35+AO35+AM35+AK35+AI35+AG35)/12</f>
        <v/>
      </c>
      <c r="BF35" s="978">
        <f>BE35*$D35</f>
        <v/>
      </c>
      <c r="BG35" s="975" t="n">
        <v>5096</v>
      </c>
      <c r="BH35" s="976">
        <f>BG35*$D35</f>
        <v/>
      </c>
      <c r="BI35" s="975" t="n">
        <v>3948</v>
      </c>
      <c r="BJ35" s="976">
        <f>BI35*$D35</f>
        <v/>
      </c>
      <c r="BK35" s="975" t="n">
        <v>4368</v>
      </c>
      <c r="BL35" s="976">
        <f>BK35*$D35</f>
        <v/>
      </c>
      <c r="BM35" s="975" t="n">
        <v>3262</v>
      </c>
      <c r="BN35" s="976">
        <f>BM35*$D35</f>
        <v/>
      </c>
      <c r="BO35" s="975" t="n">
        <v>5068</v>
      </c>
      <c r="BP35" s="976">
        <f>BO35*$D35</f>
        <v/>
      </c>
      <c r="BQ35" s="975" t="n">
        <v>3430</v>
      </c>
      <c r="BR35" s="976">
        <f>BQ35*$D35</f>
        <v/>
      </c>
      <c r="BS35" s="975" t="n">
        <v>4102</v>
      </c>
      <c r="BT35" s="976">
        <f>BS35*$D35</f>
        <v/>
      </c>
      <c r="BU35" s="975" t="n">
        <v>2912</v>
      </c>
      <c r="BV35" s="976">
        <f>BU35*$D35</f>
        <v/>
      </c>
      <c r="BW35" s="975" t="n">
        <v>3024</v>
      </c>
      <c r="BX35" s="976">
        <f>BW35*$D35</f>
        <v/>
      </c>
      <c r="BY35" s="975" t="n">
        <v>3850</v>
      </c>
      <c r="BZ35" s="976">
        <f>BY35*$D35</f>
        <v/>
      </c>
      <c r="CA35" s="975" t="n">
        <v>3150</v>
      </c>
      <c r="CB35" s="976">
        <f>CA35*$D35</f>
        <v/>
      </c>
      <c r="CC35" s="975" t="n">
        <v>5110</v>
      </c>
      <c r="CD35" s="976">
        <f>CC35*$D35</f>
        <v/>
      </c>
      <c r="CE35" s="979">
        <f>(BG35+BI35+BK35+BM35+BO35+BQ35)/6</f>
        <v/>
      </c>
      <c r="CF35" s="976">
        <f>(BH35+BJ35+BL35+BN35+BP35+BR35)/6</f>
        <v/>
      </c>
      <c r="CG35" s="977">
        <f>(CC35+CA35+BY35+BW35+BU35+BS35+BQ35+BO35+BM35+BK35+BI35+BG35)/12</f>
        <v/>
      </c>
      <c r="CH35" s="978">
        <f>CG35*$D35</f>
        <v/>
      </c>
      <c r="CI35" s="980" t="n">
        <v>3943</v>
      </c>
      <c r="CJ35" s="976">
        <f>CI35*$D35</f>
        <v/>
      </c>
      <c r="CK35" s="15">
        <f>CH35/$CH$36%</f>
        <v/>
      </c>
      <c r="CL35" s="15" t="n"/>
      <c r="CM35" s="982" t="n">
        <v>4690</v>
      </c>
      <c r="CN35" s="976">
        <f>CM35*$D35</f>
        <v/>
      </c>
      <c r="CO35" s="982" t="n">
        <v>5292</v>
      </c>
      <c r="CP35" s="15">
        <f>CO35*$D35</f>
        <v/>
      </c>
      <c r="CQ35" s="982" t="n">
        <v>2982</v>
      </c>
      <c r="CR35" s="15">
        <f>CQ35*$D35</f>
        <v/>
      </c>
      <c r="CS35" s="982" t="n">
        <v>4060</v>
      </c>
      <c r="CT35" s="15">
        <f>CS35*$D35</f>
        <v/>
      </c>
      <c r="CU35" s="982" t="n">
        <v>2884</v>
      </c>
      <c r="CV35" s="15">
        <f>CU35*$D35</f>
        <v/>
      </c>
      <c r="CW35" s="982" t="n">
        <v>3486</v>
      </c>
      <c r="CX35" s="15">
        <f>CW35*$D35</f>
        <v/>
      </c>
      <c r="CY35" s="982" t="n"/>
      <c r="CZ35" s="15">
        <f>CY35*$D35</f>
        <v/>
      </c>
      <c r="DA35" s="982" t="n"/>
      <c r="DB35" s="15">
        <f>DA35*$D35</f>
        <v/>
      </c>
      <c r="DC35" s="982" t="n"/>
      <c r="DD35" s="15">
        <f>DC35*$D35</f>
        <v/>
      </c>
      <c r="DE35" s="982" t="n"/>
      <c r="DF35" s="15">
        <f>DE35*$D35</f>
        <v/>
      </c>
      <c r="DG35" s="982" t="n"/>
      <c r="DH35" s="15">
        <f>DG35*$D35</f>
        <v/>
      </c>
      <c r="DI35" s="982" t="n"/>
      <c r="DJ35" s="15">
        <f>DI35*$D35</f>
        <v/>
      </c>
      <c r="DK35" s="983">
        <f>SUM(CM35,CO35,CQ35,CS35,CU35,CW35,CY35,DA35,DC35,DE35,DG35,DI35)</f>
        <v/>
      </c>
      <c r="DL35" s="984">
        <f>SUM(CN35,CP35,CR35,CT35,CV35,CX35,CZ35,DB35,DD35,DF35,DH35,DJ35)</f>
        <v/>
      </c>
      <c r="DM35" s="985">
        <f>DK35/6</f>
        <v/>
      </c>
      <c r="DN35" s="985">
        <f>DL35/6</f>
        <v/>
      </c>
      <c r="DO35" s="69">
        <f>DN35/$DN$36%</f>
        <v/>
      </c>
      <c r="DP35" s="70">
        <f>DO35-CK35</f>
        <v/>
      </c>
      <c r="DQ35" s="986">
        <f>DN35/CF35*100-100</f>
        <v/>
      </c>
      <c r="DR35" s="986">
        <f>DN35/CH35*100-100</f>
        <v/>
      </c>
      <c r="DS35" s="986">
        <f>DN35-CH35</f>
        <v/>
      </c>
      <c r="DT35" s="986">
        <f>DN35-CF35</f>
        <v/>
      </c>
      <c r="DU35" s="986">
        <f>DS35/14</f>
        <v/>
      </c>
      <c r="DV35" s="986">
        <f>DT35/14</f>
        <v/>
      </c>
      <c r="DW35" s="986">
        <f>DV35*6</f>
        <v/>
      </c>
    </row>
    <row r="36" ht="22.5" customHeight="1">
      <c r="A36" s="988" t="n"/>
      <c r="B36" s="23" t="inlineStr">
        <is>
          <t>BE စုစုပေါင်း</t>
        </is>
      </c>
      <c r="C36" s="23" t="n"/>
      <c r="D36" s="24" t="n"/>
      <c r="E36" s="25" t="n"/>
      <c r="F36" s="25" t="n"/>
      <c r="G36" s="989">
        <f>SUM(G4:G35)</f>
        <v/>
      </c>
      <c r="H36" s="990">
        <f>SUM(H4:H35)</f>
        <v/>
      </c>
      <c r="I36" s="989">
        <f>SUM(I4:I35)</f>
        <v/>
      </c>
      <c r="J36" s="990">
        <f>SUM(J4:J35)</f>
        <v/>
      </c>
      <c r="K36" s="989">
        <f>SUM(K4:K35)</f>
        <v/>
      </c>
      <c r="L36" s="990">
        <f>SUM(L4:L35)</f>
        <v/>
      </c>
      <c r="M36" s="989">
        <f>SUM(M4:M35)</f>
        <v/>
      </c>
      <c r="N36" s="990">
        <f>SUM(N4:N35)</f>
        <v/>
      </c>
      <c r="O36" s="989">
        <f>SUM(O4:O35)</f>
        <v/>
      </c>
      <c r="P36" s="990">
        <f>SUM(P4:P35)</f>
        <v/>
      </c>
      <c r="Q36" s="989">
        <f>SUM(Q4:Q35)</f>
        <v/>
      </c>
      <c r="R36" s="990">
        <f>SUM(R4:R35)</f>
        <v/>
      </c>
      <c r="S36" s="989">
        <f>SUM(S4:S35)</f>
        <v/>
      </c>
      <c r="T36" s="990">
        <f>SUM(T4:T35)</f>
        <v/>
      </c>
      <c r="U36" s="989">
        <f>SUM(U4:U35)</f>
        <v/>
      </c>
      <c r="V36" s="990">
        <f>SUM(V4:V35)</f>
        <v/>
      </c>
      <c r="W36" s="989">
        <f>SUM(W4:W35)</f>
        <v/>
      </c>
      <c r="X36" s="990">
        <f>SUM(X4:X35)</f>
        <v/>
      </c>
      <c r="Y36" s="989">
        <f>SUM(Y4:Y35)</f>
        <v/>
      </c>
      <c r="Z36" s="990">
        <f>SUM(Z4:Z35)</f>
        <v/>
      </c>
      <c r="AA36" s="989">
        <f>SUM(AA4:AA35)</f>
        <v/>
      </c>
      <c r="AB36" s="990">
        <f>SUM(AB4:AB35)</f>
        <v/>
      </c>
      <c r="AC36" s="989">
        <f>SUM(AC4:AC35)</f>
        <v/>
      </c>
      <c r="AD36" s="990">
        <f>SUM(AD4:AD35)</f>
        <v/>
      </c>
      <c r="AE36" s="991">
        <f>SUM(AE4:AE35)</f>
        <v/>
      </c>
      <c r="AF36" s="992">
        <f>SUM(AF4:AF35)</f>
        <v/>
      </c>
      <c r="AG36" s="989">
        <f>SUM(AG4:AG35)</f>
        <v/>
      </c>
      <c r="AH36" s="990">
        <f>SUM(AH4:AH35)</f>
        <v/>
      </c>
      <c r="AI36" s="989">
        <f>SUM(AI4:AI35)</f>
        <v/>
      </c>
      <c r="AJ36" s="990">
        <f>SUM(AJ4:AJ35)</f>
        <v/>
      </c>
      <c r="AK36" s="989">
        <f>SUM(AK4:AK35)</f>
        <v/>
      </c>
      <c r="AL36" s="990">
        <f>SUM(AL4:AL35)</f>
        <v/>
      </c>
      <c r="AM36" s="989">
        <f>SUM(AM4:AM35)</f>
        <v/>
      </c>
      <c r="AN36" s="990">
        <f>SUM(AN4:AN35)</f>
        <v/>
      </c>
      <c r="AO36" s="989">
        <f>SUM(AO4:AO35)</f>
        <v/>
      </c>
      <c r="AP36" s="990">
        <f>SUM(AP4:AP35)</f>
        <v/>
      </c>
      <c r="AQ36" s="989">
        <f>SUM(AQ4:AQ35)</f>
        <v/>
      </c>
      <c r="AR36" s="990">
        <f>SUM(AR4:AR35)</f>
        <v/>
      </c>
      <c r="AS36" s="989">
        <f>SUM(AS4:AS35)</f>
        <v/>
      </c>
      <c r="AT36" s="990">
        <f>SUM(AT4:AT35)</f>
        <v/>
      </c>
      <c r="AU36" s="989">
        <f>SUM(AU4:AU35)</f>
        <v/>
      </c>
      <c r="AV36" s="990">
        <f>SUM(AV4:AV35)</f>
        <v/>
      </c>
      <c r="AW36" s="989">
        <f>SUM(AW4:AW35)</f>
        <v/>
      </c>
      <c r="AX36" s="990">
        <f>SUM(AX4:AX35)</f>
        <v/>
      </c>
      <c r="AY36" s="989">
        <f>SUM(AY4:AY35)</f>
        <v/>
      </c>
      <c r="AZ36" s="990">
        <f>SUM(AZ4:AZ35)</f>
        <v/>
      </c>
      <c r="BA36" s="989">
        <f>SUM(BA4:BA35)</f>
        <v/>
      </c>
      <c r="BB36" s="990">
        <f>SUM(BB4:BB35)</f>
        <v/>
      </c>
      <c r="BC36" s="989">
        <f>SUM(BC4:BC35)</f>
        <v/>
      </c>
      <c r="BD36" s="990">
        <f>SUM(BD4:BD35)</f>
        <v/>
      </c>
      <c r="BE36" s="991">
        <f>SUM(BE4:BE35)</f>
        <v/>
      </c>
      <c r="BF36" s="992">
        <f>SUM(BF4:BF35)</f>
        <v/>
      </c>
      <c r="BG36" s="989">
        <f>SUM(BG4:BG35)</f>
        <v/>
      </c>
      <c r="BH36" s="990">
        <f>SUM(BH4:BH35)</f>
        <v/>
      </c>
      <c r="BI36" s="989">
        <f>SUM(BI4:BI35)</f>
        <v/>
      </c>
      <c r="BJ36" s="990">
        <f>SUM(BJ4:BJ35)</f>
        <v/>
      </c>
      <c r="BK36" s="989">
        <f>SUM(BK4:BK35)</f>
        <v/>
      </c>
      <c r="BL36" s="990">
        <f>SUM(BL4:BL35)</f>
        <v/>
      </c>
      <c r="BM36" s="989">
        <f>SUM(BM4:BM35)</f>
        <v/>
      </c>
      <c r="BN36" s="990">
        <f>SUM(BN4:BN35)</f>
        <v/>
      </c>
      <c r="BO36" s="989">
        <f>SUM(BO4:BO35)</f>
        <v/>
      </c>
      <c r="BP36" s="990">
        <f>SUM(BP4:BP35)</f>
        <v/>
      </c>
      <c r="BQ36" s="989">
        <f>SUM(BQ4:BQ35)</f>
        <v/>
      </c>
      <c r="BR36" s="990">
        <f>SUM(BR4:BR35)</f>
        <v/>
      </c>
      <c r="BS36" s="989">
        <f>SUM(BS4:BS35)</f>
        <v/>
      </c>
      <c r="BT36" s="990">
        <f>SUM(BT4:BT35)</f>
        <v/>
      </c>
      <c r="BU36" s="989">
        <f>SUM(BU4:BU35)</f>
        <v/>
      </c>
      <c r="BV36" s="990">
        <f>SUM(BV4:BV35)</f>
        <v/>
      </c>
      <c r="BW36" s="989">
        <f>SUM(BW4:BW35)</f>
        <v/>
      </c>
      <c r="BX36" s="990">
        <f>SUM(BX4:BX35)</f>
        <v/>
      </c>
      <c r="BY36" s="989">
        <f>SUM(BY4:BY35)</f>
        <v/>
      </c>
      <c r="BZ36" s="990">
        <f>SUM(BZ4:BZ35)</f>
        <v/>
      </c>
      <c r="CA36" s="989">
        <f>SUM(CA4:CA35)</f>
        <v/>
      </c>
      <c r="CB36" s="990">
        <f>SUM(CB4:CB35)</f>
        <v/>
      </c>
      <c r="CC36" s="989">
        <f>SUM(CC4:CC35)</f>
        <v/>
      </c>
      <c r="CD36" s="990">
        <f>SUM(CD4:CD35)</f>
        <v/>
      </c>
      <c r="CE36" s="993">
        <f>(BG36+BI36+BK36+BM36+BO36+BQ36)/6</f>
        <v/>
      </c>
      <c r="CF36" s="994">
        <f>(BH36+BJ36+BL36+BN36+BP36+BR36)/6</f>
        <v/>
      </c>
      <c r="CG36" s="989">
        <f>SUM(CG4:CG35)</f>
        <v/>
      </c>
      <c r="CH36" s="990">
        <f>SUM(CH4:CH35)</f>
        <v/>
      </c>
      <c r="CI36" s="989">
        <f>SUM(CI4:CI35)</f>
        <v/>
      </c>
      <c r="CJ36" s="990">
        <f>SUM(CJ4:CJ35)</f>
        <v/>
      </c>
      <c r="CK36" s="241">
        <f>CH36/$CH$36%</f>
        <v/>
      </c>
      <c r="CL36" s="990" t="n"/>
      <c r="CM36" s="989">
        <f>SUM(CM4:CM35)</f>
        <v/>
      </c>
      <c r="CN36" s="990">
        <f>SUM(CN4:CN35)</f>
        <v/>
      </c>
      <c r="CO36" s="989">
        <f>SUM(CO4:CO35)</f>
        <v/>
      </c>
      <c r="CP36" s="990">
        <f>SUM(CP4:CP35)</f>
        <v/>
      </c>
      <c r="CQ36" s="989">
        <f>SUM(CQ4:CQ35)</f>
        <v/>
      </c>
      <c r="CR36" s="990">
        <f>SUM(CR4:CR35)</f>
        <v/>
      </c>
      <c r="CS36" s="989">
        <f>SUM(CS4:CS35)</f>
        <v/>
      </c>
      <c r="CT36" s="990">
        <f>SUM(CT4:CT35)</f>
        <v/>
      </c>
      <c r="CU36" s="989">
        <f>SUM(CU4:CU35)</f>
        <v/>
      </c>
      <c r="CV36" s="990">
        <f>SUM(CV4:CV35)</f>
        <v/>
      </c>
      <c r="CW36" s="989">
        <f>SUM(CW4:CW35)</f>
        <v/>
      </c>
      <c r="CX36" s="990">
        <f>SUM(CX4:CX35)</f>
        <v/>
      </c>
      <c r="CY36" s="989">
        <f>SUM(CY4:CY35)</f>
        <v/>
      </c>
      <c r="CZ36" s="990">
        <f>SUM(CZ4:CZ35)</f>
        <v/>
      </c>
      <c r="DA36" s="989">
        <f>SUM(DA4:DA35)</f>
        <v/>
      </c>
      <c r="DB36" s="990">
        <f>SUM(DB4:DB35)</f>
        <v/>
      </c>
      <c r="DC36" s="989">
        <f>SUM(DC4:DC35)</f>
        <v/>
      </c>
      <c r="DD36" s="990">
        <f>SUM(DD4:DD35)</f>
        <v/>
      </c>
      <c r="DE36" s="989">
        <f>SUM(DE4:DE35)</f>
        <v/>
      </c>
      <c r="DF36" s="990">
        <f>SUM(DF4:DF35)</f>
        <v/>
      </c>
      <c r="DG36" s="989">
        <f>SUM(DG4:DG35)</f>
        <v/>
      </c>
      <c r="DH36" s="990">
        <f>SUM(DH4:DH35)</f>
        <v/>
      </c>
      <c r="DI36" s="989">
        <f>SUM(DI4:DI35)</f>
        <v/>
      </c>
      <c r="DJ36" s="990">
        <f>SUM(DJ4:DJ35)</f>
        <v/>
      </c>
      <c r="DK36" s="989">
        <f>SUM(DK4:DK35)</f>
        <v/>
      </c>
      <c r="DL36" s="990">
        <f>SUM(DL4:DL35)</f>
        <v/>
      </c>
      <c r="DM36" s="985">
        <f>DK36/6</f>
        <v/>
      </c>
      <c r="DN36" s="985">
        <f>DL36/6</f>
        <v/>
      </c>
      <c r="DO36" s="69">
        <f>DN36/$DN$36%</f>
        <v/>
      </c>
      <c r="DP36" s="70">
        <f>DO36-CK36</f>
        <v/>
      </c>
      <c r="DQ36" s="986">
        <f>DN36/CF36*100-100</f>
        <v/>
      </c>
      <c r="DR36" s="986">
        <f>DN36/CH36*100-100</f>
        <v/>
      </c>
      <c r="DS36" s="986">
        <f>DN36-CH36</f>
        <v/>
      </c>
      <c r="DT36" s="986">
        <f>DN36-CF36</f>
        <v/>
      </c>
      <c r="DU36" s="986">
        <f>DS36/14</f>
        <v/>
      </c>
      <c r="DV36" s="986">
        <f>DT36/14</f>
        <v/>
      </c>
      <c r="DW36" s="985">
        <f>DV36*6</f>
        <v/>
      </c>
    </row>
    <row r="37" hidden="1">
      <c r="A37" s="995" t="n"/>
      <c r="B37" s="54" t="n"/>
      <c r="C37" s="54" t="n"/>
      <c r="D37" s="54" t="n"/>
      <c r="E37" s="55" t="n"/>
      <c r="F37" s="55" t="n"/>
      <c r="G37" s="996" t="n"/>
      <c r="H37" s="997" t="n"/>
      <c r="I37" s="996" t="n"/>
      <c r="J37" s="997" t="n"/>
      <c r="K37" s="996" t="n"/>
      <c r="L37" s="997" t="n"/>
      <c r="M37" s="996" t="n"/>
      <c r="N37" s="997" t="n"/>
      <c r="O37" s="996" t="n"/>
      <c r="P37" s="997" t="n"/>
      <c r="Q37" s="996" t="n"/>
      <c r="R37" s="997" t="n"/>
      <c r="S37" s="996" t="n"/>
      <c r="T37" s="997" t="n"/>
      <c r="U37" s="996" t="n"/>
      <c r="V37" s="997" t="n"/>
      <c r="W37" s="996" t="n"/>
      <c r="X37" s="997" t="n"/>
      <c r="Y37" s="996" t="n"/>
      <c r="Z37" s="997" t="n"/>
      <c r="AA37" s="996" t="n"/>
      <c r="AB37" s="997" t="n"/>
      <c r="AC37" s="996" t="n"/>
      <c r="AD37" s="997" t="n"/>
      <c r="AE37" s="998" t="n"/>
      <c r="AF37" s="999" t="n"/>
      <c r="AG37" s="996" t="n"/>
      <c r="AH37" s="997" t="n"/>
      <c r="AI37" s="996" t="n"/>
      <c r="AJ37" s="997" t="n"/>
      <c r="AK37" s="996" t="n"/>
      <c r="AL37" s="997" t="n"/>
      <c r="AM37" s="996" t="n"/>
      <c r="AN37" s="997" t="n"/>
      <c r="AO37" s="996" t="n"/>
      <c r="AP37" s="997" t="n"/>
      <c r="AQ37" s="996" t="n"/>
      <c r="AR37" s="997" t="n"/>
      <c r="AS37" s="996" t="n"/>
      <c r="AT37" s="997" t="n"/>
      <c r="AU37" s="996" t="n"/>
      <c r="AV37" s="997" t="n"/>
      <c r="AW37" s="996" t="n"/>
      <c r="AX37" s="997" t="n"/>
      <c r="AY37" s="996" t="n"/>
      <c r="AZ37" s="997" t="n"/>
      <c r="BA37" s="996" t="n"/>
      <c r="BB37" s="997" t="n"/>
      <c r="BC37" s="996" t="n"/>
      <c r="BD37" s="997" t="n"/>
      <c r="BE37" s="998" t="n"/>
      <c r="BF37" s="999" t="n"/>
      <c r="BG37" s="996" t="n"/>
      <c r="BH37" s="997" t="n"/>
      <c r="BI37" s="996" t="n"/>
      <c r="BJ37" s="997" t="n"/>
      <c r="BK37" s="996" t="n"/>
      <c r="BL37" s="997" t="n"/>
      <c r="BM37" s="996" t="n"/>
      <c r="BN37" s="997" t="n"/>
      <c r="BO37" s="996" t="n"/>
      <c r="BP37" s="997" t="n"/>
      <c r="BQ37" s="996" t="n"/>
      <c r="BR37" s="997" t="n"/>
      <c r="BS37" s="996" t="n"/>
      <c r="BT37" s="997" t="n"/>
      <c r="BU37" s="996" t="n"/>
      <c r="BV37" s="997" t="n"/>
      <c r="BW37" s="996" t="n"/>
      <c r="BX37" s="997" t="n"/>
      <c r="BY37" s="996" t="n"/>
      <c r="BZ37" s="997" t="n"/>
      <c r="CA37" s="996" t="n"/>
      <c r="CB37" s="997" t="n"/>
      <c r="CC37" s="996" t="n"/>
      <c r="CD37" s="997" t="n"/>
      <c r="CE37" s="1000">
        <f>(BG37+BI37+BK37+BM37+BO37)/5</f>
        <v/>
      </c>
      <c r="CF37" s="997">
        <f>(BH37+BJ37+BL37+BN37+BP37)/5</f>
        <v/>
      </c>
      <c r="CG37" s="998" t="n"/>
      <c r="CH37" s="999" t="n"/>
      <c r="CI37" s="55" t="n"/>
      <c r="CJ37" s="997" t="n"/>
      <c r="CK37" s="1001" t="n"/>
      <c r="CL37" s="1001" t="n"/>
      <c r="CM37" s="1002" t="n"/>
      <c r="CN37" s="997" t="n"/>
      <c r="CO37" s="1002" t="n"/>
      <c r="CP37" s="1001" t="n"/>
      <c r="CQ37" s="1002" t="n"/>
      <c r="CR37" s="1001" t="n"/>
      <c r="CS37" s="1002" t="n"/>
      <c r="CT37" s="1001" t="n"/>
      <c r="CU37" s="1002" t="n"/>
      <c r="CV37" s="1001" t="n"/>
      <c r="CW37" s="1002" t="n"/>
      <c r="CX37" s="1001" t="n"/>
      <c r="CY37" s="1002" t="n"/>
      <c r="CZ37" s="1001" t="n"/>
      <c r="DA37" s="1002" t="n"/>
      <c r="DB37" s="1001" t="n"/>
      <c r="DC37" s="1002" t="n"/>
      <c r="DD37" s="1001" t="n"/>
      <c r="DE37" s="1002" t="n"/>
      <c r="DF37" s="1001" t="n"/>
      <c r="DG37" s="1002" t="n"/>
      <c r="DH37" s="1001" t="n"/>
      <c r="DI37" s="1002" t="n"/>
      <c r="DJ37" s="1001" t="n"/>
      <c r="DK37" s="1003" t="n"/>
      <c r="DL37" s="1001" t="n"/>
      <c r="DP37" s="115">
        <f>DO37-CK37</f>
        <v/>
      </c>
      <c r="DQ37" s="1004">
        <f>DN37/CF37*100-100</f>
        <v/>
      </c>
      <c r="DR37" s="1004">
        <f>DN37/CH37*100-100</f>
        <v/>
      </c>
      <c r="DW37" s="52">
        <f>DV37*5</f>
        <v/>
      </c>
    </row>
    <row r="38" hidden="1">
      <c r="A38" s="7" t="n">
        <v>109</v>
      </c>
      <c r="B38" s="8" t="inlineStr">
        <is>
          <t>Columbus 700ml</t>
        </is>
      </c>
      <c r="C38" s="8" t="inlineStr">
        <is>
          <t>ပုလင်း</t>
        </is>
      </c>
      <c r="D38" s="7" t="n">
        <v>0.7</v>
      </c>
      <c r="E38" s="7" t="inlineStr">
        <is>
          <t>1 * 12</t>
        </is>
      </c>
      <c r="F38" s="7" t="n">
        <v>4500</v>
      </c>
      <c r="G38" s="975" t="n">
        <v>360</v>
      </c>
      <c r="H38" s="976">
        <f>G38*$D38</f>
        <v/>
      </c>
      <c r="I38" s="975" t="n">
        <v>221</v>
      </c>
      <c r="J38" s="976">
        <f>I38*$D38</f>
        <v/>
      </c>
      <c r="K38" s="975" t="n">
        <v>718</v>
      </c>
      <c r="L38" s="976">
        <f>K38*$D38</f>
        <v/>
      </c>
      <c r="M38" s="975" t="n">
        <v>566</v>
      </c>
      <c r="N38" s="976">
        <f>M38*$D38</f>
        <v/>
      </c>
      <c r="O38" s="975" t="n">
        <v>240</v>
      </c>
      <c r="P38" s="976">
        <f>O38*$D38</f>
        <v/>
      </c>
      <c r="Q38" s="975" t="n">
        <v>69</v>
      </c>
      <c r="R38" s="976">
        <f>Q38*$D38</f>
        <v/>
      </c>
      <c r="S38" s="975" t="n">
        <v>195</v>
      </c>
      <c r="T38" s="976">
        <f>S38*$D38</f>
        <v/>
      </c>
      <c r="U38" s="975" t="n">
        <v>131</v>
      </c>
      <c r="V38" s="976">
        <f>U38*$D38</f>
        <v/>
      </c>
      <c r="W38" s="975" t="n">
        <v>84</v>
      </c>
      <c r="X38" s="976">
        <f>W38*$D38</f>
        <v/>
      </c>
      <c r="Y38" s="975" t="n">
        <v>81</v>
      </c>
      <c r="Z38" s="976">
        <f>Y38*$D38</f>
        <v/>
      </c>
      <c r="AA38" s="975" t="n">
        <v>95</v>
      </c>
      <c r="AB38" s="976">
        <f>AA38*$D38</f>
        <v/>
      </c>
      <c r="AC38" s="975" t="n">
        <v>432</v>
      </c>
      <c r="AD38" s="976">
        <f>AC38*$D38</f>
        <v/>
      </c>
      <c r="AE38" s="977">
        <f>(AC38+AA38+Y38+W38+U38+S38+Q38+O38+M38+K38+I38+G38)/12</f>
        <v/>
      </c>
      <c r="AF38" s="978">
        <f>AE38*$D38</f>
        <v/>
      </c>
      <c r="AG38" s="975" t="n">
        <v>209</v>
      </c>
      <c r="AH38" s="976">
        <f>AG38*$D38</f>
        <v/>
      </c>
      <c r="AI38" s="975" t="n">
        <v>392</v>
      </c>
      <c r="AJ38" s="976">
        <f>AI38*$D38</f>
        <v/>
      </c>
      <c r="AK38" s="975" t="n">
        <v>72</v>
      </c>
      <c r="AL38" s="976">
        <f>AK38*$D38</f>
        <v/>
      </c>
      <c r="AM38" s="975" t="n">
        <v>128</v>
      </c>
      <c r="AN38" s="976">
        <f>AM38*$D38</f>
        <v/>
      </c>
      <c r="AO38" s="975" t="n">
        <v>49</v>
      </c>
      <c r="AP38" s="976">
        <f>AO38*$D38</f>
        <v/>
      </c>
      <c r="AQ38" s="975" t="n">
        <v>311</v>
      </c>
      <c r="AR38" s="976">
        <f>AQ38*$D38</f>
        <v/>
      </c>
      <c r="AS38" s="975" t="n">
        <v>71</v>
      </c>
      <c r="AT38" s="976">
        <f>AS38*$D38</f>
        <v/>
      </c>
      <c r="AU38" s="975" t="n">
        <v>60</v>
      </c>
      <c r="AV38" s="976">
        <f>AU38*$D38</f>
        <v/>
      </c>
      <c r="AW38" s="975" t="n">
        <v>33</v>
      </c>
      <c r="AX38" s="976">
        <f>AW38*$D38</f>
        <v/>
      </c>
      <c r="AY38" s="975" t="n">
        <v>75</v>
      </c>
      <c r="AZ38" s="976">
        <f>AY38*$D38</f>
        <v/>
      </c>
      <c r="BA38" s="975" t="n">
        <v>18</v>
      </c>
      <c r="BB38" s="976">
        <f>BA38*$D38</f>
        <v/>
      </c>
      <c r="BC38" s="975" t="n">
        <v>54</v>
      </c>
      <c r="BD38" s="976">
        <f>BC38*$D38</f>
        <v/>
      </c>
      <c r="BE38" s="977">
        <f>(BC38+BA38+AY38+AW38+AU38+AS38+AQ38+AO38+AM38+AK38+AI38+AG38)/12</f>
        <v/>
      </c>
      <c r="BF38" s="978">
        <f>BE38*$D38</f>
        <v/>
      </c>
      <c r="BG38" s="975" t="n">
        <v>36</v>
      </c>
      <c r="BH38" s="976">
        <f>BG38*$D38</f>
        <v/>
      </c>
      <c r="BI38" s="975" t="n">
        <v>24</v>
      </c>
      <c r="BJ38" s="976">
        <f>BI38*$D38</f>
        <v/>
      </c>
      <c r="BK38" s="975" t="n">
        <v>48</v>
      </c>
      <c r="BL38" s="976">
        <f>BK38*$D38</f>
        <v/>
      </c>
      <c r="BM38" s="975" t="n"/>
      <c r="BN38" s="976">
        <f>BM38*$D38</f>
        <v/>
      </c>
      <c r="BO38" s="975" t="n"/>
      <c r="BP38" s="976">
        <f>BO38*$D38</f>
        <v/>
      </c>
      <c r="BQ38" s="975" t="n"/>
      <c r="BR38" s="976">
        <f>BQ38*$D38</f>
        <v/>
      </c>
      <c r="BS38" s="975" t="n">
        <v>1</v>
      </c>
      <c r="BT38" s="976">
        <f>BS38*$D38</f>
        <v/>
      </c>
      <c r="BU38" s="975" t="n">
        <v>27</v>
      </c>
      <c r="BV38" s="976">
        <f>BU38*$D38</f>
        <v/>
      </c>
      <c r="BW38" s="975" t="n">
        <v>1</v>
      </c>
      <c r="BX38" s="976">
        <f>BW38*$D38</f>
        <v/>
      </c>
      <c r="BY38" s="975" t="n">
        <v>1</v>
      </c>
      <c r="BZ38" s="976">
        <f>BY38*$D38</f>
        <v/>
      </c>
      <c r="CA38" s="975" t="n">
        <v>4</v>
      </c>
      <c r="CB38" s="976">
        <f>CA38*$D38</f>
        <v/>
      </c>
      <c r="CC38" s="975" t="n">
        <v>1</v>
      </c>
      <c r="CD38" s="976">
        <f>CC38*$D38</f>
        <v/>
      </c>
      <c r="CE38" s="979">
        <f>(BG38+BI38+BK38+BM38+BO38)/5</f>
        <v/>
      </c>
      <c r="CF38" s="976">
        <f>(BH38+BJ38+BL38+BN38+BP38)/5</f>
        <v/>
      </c>
      <c r="CG38" s="977">
        <f>(CC38+CA38+BY38+BW38+BU38+BS38+BQ38+BO38+BM38+BK38+BI38+BG38)/12</f>
        <v/>
      </c>
      <c r="CH38" s="978">
        <f>CG38*$D38</f>
        <v/>
      </c>
      <c r="CI38" s="980" t="n">
        <v>11</v>
      </c>
      <c r="CJ38" s="976">
        <f>CI38*$D38</f>
        <v/>
      </c>
      <c r="CK38" s="15" t="n"/>
      <c r="CL38" s="15" t="n"/>
      <c r="CM38" s="982" t="n"/>
      <c r="CN38" s="976">
        <f>CM38*$D38</f>
        <v/>
      </c>
      <c r="CO38" s="982" t="n"/>
      <c r="CP38" s="15">
        <f>CO38*$D38</f>
        <v/>
      </c>
      <c r="CQ38" s="982" t="n"/>
      <c r="CR38" s="15">
        <f>CQ38*$D38</f>
        <v/>
      </c>
      <c r="CS38" s="982" t="n"/>
      <c r="CT38" s="15">
        <f>CS38*$D38</f>
        <v/>
      </c>
      <c r="CU38" s="982" t="n"/>
      <c r="CV38" s="15">
        <f>CU38*$D38</f>
        <v/>
      </c>
      <c r="CW38" s="982" t="n"/>
      <c r="CX38" s="15">
        <f>CW38*$D38</f>
        <v/>
      </c>
      <c r="CY38" s="982" t="n"/>
      <c r="CZ38" s="15">
        <f>CY38*$D38</f>
        <v/>
      </c>
      <c r="DA38" s="982" t="n"/>
      <c r="DB38" s="15">
        <f>DA38*$D38</f>
        <v/>
      </c>
      <c r="DC38" s="982" t="n"/>
      <c r="DD38" s="15">
        <f>DC38*$D38</f>
        <v/>
      </c>
      <c r="DE38" s="982" t="n"/>
      <c r="DF38" s="15">
        <f>DE38*$D38</f>
        <v/>
      </c>
      <c r="DG38" s="982" t="n"/>
      <c r="DH38" s="15">
        <f>DG38*$D38</f>
        <v/>
      </c>
      <c r="DI38" s="982" t="n"/>
      <c r="DJ38" s="15">
        <f>DI38*$D38</f>
        <v/>
      </c>
      <c r="DK38" s="983">
        <f>SUM(CM38,CO38,CQ38,CS38,CU38,CW38,CY38,DA38,DC38,DE38,DG38,DI38)</f>
        <v/>
      </c>
      <c r="DL38" s="984">
        <f>SUM(CN38,CP38,CR38,CT38,CV38,CX38,CZ38,DB38,DD38,DF38,DH38,DJ38)</f>
        <v/>
      </c>
      <c r="DP38" s="88">
        <f>DO38-CK38</f>
        <v/>
      </c>
      <c r="DQ38" s="1005">
        <f>DN38/CF38*100-100</f>
        <v/>
      </c>
      <c r="DR38" s="1005">
        <f>DN38/CH38*100-100</f>
        <v/>
      </c>
      <c r="DW38" s="52">
        <f>DV38*5</f>
        <v/>
      </c>
    </row>
    <row r="39" hidden="1">
      <c r="A39" s="7" t="n">
        <v>110</v>
      </c>
      <c r="B39" s="8" t="inlineStr">
        <is>
          <t>Columbus 350ml</t>
        </is>
      </c>
      <c r="C39" s="8" t="inlineStr">
        <is>
          <t>ပုလင်း</t>
        </is>
      </c>
      <c r="D39" s="7" t="n">
        <v>0.35</v>
      </c>
      <c r="E39" s="7" t="inlineStr">
        <is>
          <t>1 * 24</t>
        </is>
      </c>
      <c r="F39" s="7" t="n">
        <v>2300</v>
      </c>
      <c r="G39" s="975" t="n">
        <v>72</v>
      </c>
      <c r="H39" s="976">
        <f>G39*$D39</f>
        <v/>
      </c>
      <c r="I39" s="975" t="n">
        <v>6</v>
      </c>
      <c r="J39" s="976">
        <f>I39*$D39</f>
        <v/>
      </c>
      <c r="K39" s="975" t="n"/>
      <c r="L39" s="976">
        <f>K39*$D39</f>
        <v/>
      </c>
      <c r="M39" s="975" t="n">
        <v>144</v>
      </c>
      <c r="N39" s="976">
        <f>M39*$D39</f>
        <v/>
      </c>
      <c r="O39" s="975" t="n">
        <v>34</v>
      </c>
      <c r="P39" s="976">
        <f>O39*$D39</f>
        <v/>
      </c>
      <c r="Q39" s="975" t="n">
        <v>6</v>
      </c>
      <c r="R39" s="976">
        <f>Q39*$D39</f>
        <v/>
      </c>
      <c r="S39" s="975" t="n">
        <v>24</v>
      </c>
      <c r="T39" s="976">
        <f>S39*$D39</f>
        <v/>
      </c>
      <c r="U39" s="975" t="n">
        <v>48</v>
      </c>
      <c r="V39" s="976">
        <f>U39*$D39</f>
        <v/>
      </c>
      <c r="W39" s="975" t="n">
        <v>24</v>
      </c>
      <c r="X39" s="976">
        <f>W39*$D39</f>
        <v/>
      </c>
      <c r="Y39" s="975" t="n"/>
      <c r="Z39" s="976">
        <f>Y39*$D39</f>
        <v/>
      </c>
      <c r="AA39" s="975" t="n"/>
      <c r="AB39" s="976">
        <f>AA39*$D39</f>
        <v/>
      </c>
      <c r="AC39" s="975" t="n"/>
      <c r="AD39" s="976">
        <f>AC39*$D39</f>
        <v/>
      </c>
      <c r="AE39" s="977">
        <f>(AC39+AA39+Y39+W39+U39+S39+Q39+O39+M39+K39+I39+G39)/12</f>
        <v/>
      </c>
      <c r="AF39" s="978">
        <f>AE39*$D39</f>
        <v/>
      </c>
      <c r="AG39" s="975" t="n">
        <v>102</v>
      </c>
      <c r="AH39" s="976">
        <f>AG39*$D39</f>
        <v/>
      </c>
      <c r="AI39" s="975" t="n">
        <v>6</v>
      </c>
      <c r="AJ39" s="976">
        <f>AI39*$D39</f>
        <v/>
      </c>
      <c r="AK39" s="975" t="n"/>
      <c r="AL39" s="976">
        <f>AK39*$D39</f>
        <v/>
      </c>
      <c r="AM39" s="975" t="n">
        <v>1</v>
      </c>
      <c r="AN39" s="976">
        <f>AM39*$D39</f>
        <v/>
      </c>
      <c r="AO39" s="975" t="n"/>
      <c r="AP39" s="976">
        <f>AO39*$D39</f>
        <v/>
      </c>
      <c r="AQ39" s="975" t="n"/>
      <c r="AR39" s="976">
        <f>AQ39*$D39</f>
        <v/>
      </c>
      <c r="AS39" s="975" t="n"/>
      <c r="AT39" s="976">
        <f>AS39*$D39</f>
        <v/>
      </c>
      <c r="AU39" s="975" t="n"/>
      <c r="AV39" s="976">
        <f>AU39*$D39</f>
        <v/>
      </c>
      <c r="AW39" s="975" t="n"/>
      <c r="AX39" s="976">
        <f>AW39*$D39</f>
        <v/>
      </c>
      <c r="AY39" s="975" t="n">
        <v>12</v>
      </c>
      <c r="AZ39" s="976">
        <f>AY39*$D39</f>
        <v/>
      </c>
      <c r="BA39" s="975" t="n">
        <v>12</v>
      </c>
      <c r="BB39" s="976">
        <f>BA39*$D39</f>
        <v/>
      </c>
      <c r="BC39" s="975" t="n">
        <v>48</v>
      </c>
      <c r="BD39" s="976">
        <f>BC39*$D39</f>
        <v/>
      </c>
      <c r="BE39" s="977">
        <f>(BC39+BA39+AY39+AW39+AU39+AS39+AQ39+AO39+AM39+AK39+AI39+AG39)/12</f>
        <v/>
      </c>
      <c r="BF39" s="978">
        <f>BE39*$D39</f>
        <v/>
      </c>
      <c r="BG39" s="975" t="n">
        <v>48</v>
      </c>
      <c r="BH39" s="976">
        <f>BG39*$D39</f>
        <v/>
      </c>
      <c r="BI39" s="975" t="n">
        <v>28</v>
      </c>
      <c r="BJ39" s="976">
        <f>BI39*$D39</f>
        <v/>
      </c>
      <c r="BK39" s="975" t="n">
        <v>112</v>
      </c>
      <c r="BL39" s="976">
        <f>BK39*$D39</f>
        <v/>
      </c>
      <c r="BM39" s="975" t="n"/>
      <c r="BN39" s="976">
        <f>BM39*$D39</f>
        <v/>
      </c>
      <c r="BO39" s="975" t="n"/>
      <c r="BP39" s="976">
        <f>BO39*$D39</f>
        <v/>
      </c>
      <c r="BQ39" s="975" t="n"/>
      <c r="BR39" s="976">
        <f>BQ39*$D39</f>
        <v/>
      </c>
      <c r="BS39" s="975" t="n"/>
      <c r="BT39" s="976">
        <f>BS39*$D39</f>
        <v/>
      </c>
      <c r="BU39" s="975" t="n">
        <v>48</v>
      </c>
      <c r="BV39" s="976">
        <f>BU39*$D39</f>
        <v/>
      </c>
      <c r="BW39" s="975" t="n"/>
      <c r="BX39" s="976">
        <f>BW39*$D39</f>
        <v/>
      </c>
      <c r="BY39" s="975" t="n"/>
      <c r="BZ39" s="976">
        <f>BY39*$D39</f>
        <v/>
      </c>
      <c r="CA39" s="975" t="n">
        <v>1</v>
      </c>
      <c r="CB39" s="976">
        <f>CA39*$D39</f>
        <v/>
      </c>
      <c r="CC39" s="975" t="n">
        <v>10</v>
      </c>
      <c r="CD39" s="976">
        <f>CC39*$D39</f>
        <v/>
      </c>
      <c r="CE39" s="979">
        <f>(BG39+BI39+BK39+BM39+BO39)/5</f>
        <v/>
      </c>
      <c r="CF39" s="976">
        <f>(BH39+BJ39+BL39+BN39+BP39)/5</f>
        <v/>
      </c>
      <c r="CG39" s="977">
        <f>(CC39+CA39+BY39+BW39+BU39+BS39+BQ39+BO39+BM39+BK39+BI39+BG39)/12</f>
        <v/>
      </c>
      <c r="CH39" s="978">
        <f>CG39*$D39</f>
        <v/>
      </c>
      <c r="CI39" s="980" t="n">
        <v>21</v>
      </c>
      <c r="CJ39" s="976">
        <f>CI39*$D39</f>
        <v/>
      </c>
      <c r="CK39" s="15" t="n"/>
      <c r="CL39" s="15" t="n"/>
      <c r="CM39" s="982" t="n"/>
      <c r="CN39" s="976">
        <f>CM39*$D39</f>
        <v/>
      </c>
      <c r="CO39" s="982" t="n"/>
      <c r="CP39" s="15">
        <f>CO39*$D39</f>
        <v/>
      </c>
      <c r="CQ39" s="982" t="n"/>
      <c r="CR39" s="15">
        <f>CQ39*$D39</f>
        <v/>
      </c>
      <c r="CS39" s="982" t="n"/>
      <c r="CT39" s="15">
        <f>CS39*$D39</f>
        <v/>
      </c>
      <c r="CU39" s="982" t="n"/>
      <c r="CV39" s="15">
        <f>CU39*$D39</f>
        <v/>
      </c>
      <c r="CW39" s="982" t="n"/>
      <c r="CX39" s="15">
        <f>CW39*$D39</f>
        <v/>
      </c>
      <c r="CY39" s="982" t="n"/>
      <c r="CZ39" s="15">
        <f>CY39*$D39</f>
        <v/>
      </c>
      <c r="DA39" s="982" t="n"/>
      <c r="DB39" s="15">
        <f>DA39*$D39</f>
        <v/>
      </c>
      <c r="DC39" s="982" t="n"/>
      <c r="DD39" s="15">
        <f>DC39*$D39</f>
        <v/>
      </c>
      <c r="DE39" s="982" t="n"/>
      <c r="DF39" s="15">
        <f>DE39*$D39</f>
        <v/>
      </c>
      <c r="DG39" s="982" t="n"/>
      <c r="DH39" s="15">
        <f>DG39*$D39</f>
        <v/>
      </c>
      <c r="DI39" s="982" t="n"/>
      <c r="DJ39" s="15">
        <f>DI39*$D39</f>
        <v/>
      </c>
      <c r="DK39" s="983">
        <f>SUM(CM39,CO39,CQ39,CS39,CU39,CW39,CY39,DA39,DC39,DE39,DG39,DI39)</f>
        <v/>
      </c>
      <c r="DL39" s="984">
        <f>SUM(CN39,CP39,CR39,CT39,CV39,CX39,CZ39,DB39,DD39,DF39,DH39,DJ39)</f>
        <v/>
      </c>
      <c r="DP39" s="88">
        <f>DO39-CK39</f>
        <v/>
      </c>
      <c r="DQ39" s="1005">
        <f>DN39/CF39*100-100</f>
        <v/>
      </c>
      <c r="DR39" s="1005">
        <f>DN39/CH39*100-100</f>
        <v/>
      </c>
      <c r="DW39" s="52">
        <f>DV39*5</f>
        <v/>
      </c>
    </row>
    <row r="40" hidden="1">
      <c r="A40" s="7" t="n">
        <v>111</v>
      </c>
      <c r="B40" s="8" t="inlineStr">
        <is>
          <t>Columbus 175ml</t>
        </is>
      </c>
      <c r="C40" s="8" t="inlineStr">
        <is>
          <t>ပုလင်း</t>
        </is>
      </c>
      <c r="D40" s="7" t="n">
        <v>0.175</v>
      </c>
      <c r="E40" s="7" t="inlineStr">
        <is>
          <t>1 * 48</t>
        </is>
      </c>
      <c r="F40" s="7" t="n">
        <v>1300</v>
      </c>
      <c r="G40" s="975" t="n"/>
      <c r="H40" s="976">
        <f>G40*$D40</f>
        <v/>
      </c>
      <c r="I40" s="975" t="n"/>
      <c r="J40" s="976">
        <f>I40*$D40</f>
        <v/>
      </c>
      <c r="K40" s="975" t="n"/>
      <c r="L40" s="976">
        <f>K40*$D40</f>
        <v/>
      </c>
      <c r="M40" s="975" t="n"/>
      <c r="N40" s="976">
        <f>M40*$D40</f>
        <v/>
      </c>
      <c r="O40" s="975" t="n"/>
      <c r="P40" s="976">
        <f>O40*$D40</f>
        <v/>
      </c>
      <c r="Q40" s="975" t="n"/>
      <c r="R40" s="976">
        <f>Q40*$D40</f>
        <v/>
      </c>
      <c r="S40" s="975" t="n"/>
      <c r="T40" s="976">
        <f>S40*$D40</f>
        <v/>
      </c>
      <c r="U40" s="975" t="n"/>
      <c r="V40" s="976">
        <f>U40*$D40</f>
        <v/>
      </c>
      <c r="W40" s="975" t="n"/>
      <c r="X40" s="976">
        <f>W40*$D40</f>
        <v/>
      </c>
      <c r="Y40" s="975" t="n"/>
      <c r="Z40" s="976">
        <f>Y40*$D40</f>
        <v/>
      </c>
      <c r="AA40" s="975" t="n"/>
      <c r="AB40" s="976">
        <f>AA40*$D40</f>
        <v/>
      </c>
      <c r="AC40" s="975" t="n"/>
      <c r="AD40" s="976">
        <f>AC40*$D40</f>
        <v/>
      </c>
      <c r="AE40" s="977">
        <f>(AC40+AA40+Y40+W40+U40+S40+Q40+O40+M40+K40+I40+G40)/12</f>
        <v/>
      </c>
      <c r="AF40" s="978">
        <f>AE40*$D40</f>
        <v/>
      </c>
      <c r="AG40" s="975" t="n"/>
      <c r="AH40" s="976">
        <f>AG40*$D40</f>
        <v/>
      </c>
      <c r="AI40" s="975" t="n"/>
      <c r="AJ40" s="976">
        <f>AI40*$D40</f>
        <v/>
      </c>
      <c r="AK40" s="975" t="n"/>
      <c r="AL40" s="976">
        <f>AK40*$D40</f>
        <v/>
      </c>
      <c r="AM40" s="975" t="n"/>
      <c r="AN40" s="976">
        <f>AM40*$D40</f>
        <v/>
      </c>
      <c r="AO40" s="975" t="n"/>
      <c r="AP40" s="976">
        <f>AO40*$D40</f>
        <v/>
      </c>
      <c r="AQ40" s="975" t="n"/>
      <c r="AR40" s="976">
        <f>AQ40*$D40</f>
        <v/>
      </c>
      <c r="AS40" s="975" t="n"/>
      <c r="AT40" s="976">
        <f>AS40*$D40</f>
        <v/>
      </c>
      <c r="AU40" s="975" t="n"/>
      <c r="AV40" s="976">
        <f>AU40*$D40</f>
        <v/>
      </c>
      <c r="AW40" s="975" t="n"/>
      <c r="AX40" s="976">
        <f>AW40*$D40</f>
        <v/>
      </c>
      <c r="AY40" s="975" t="n"/>
      <c r="AZ40" s="976">
        <f>AY40*$D40</f>
        <v/>
      </c>
      <c r="BA40" s="975" t="n"/>
      <c r="BB40" s="976">
        <f>BA40*$D40</f>
        <v/>
      </c>
      <c r="BC40" s="975" t="n"/>
      <c r="BD40" s="976">
        <f>BC40*$D40</f>
        <v/>
      </c>
      <c r="BE40" s="977">
        <f>(BC40+BA40+AY40+AW40+AU40+AS40+AQ40+AO40+AM40+AK40+AI40+AG40)/12</f>
        <v/>
      </c>
      <c r="BF40" s="978">
        <f>BE40*$D40</f>
        <v/>
      </c>
      <c r="BG40" s="975" t="n"/>
      <c r="BH40" s="976">
        <f>BG40*$D40</f>
        <v/>
      </c>
      <c r="BI40" s="975" t="n">
        <v>55</v>
      </c>
      <c r="BJ40" s="976">
        <f>BI40*$D40</f>
        <v/>
      </c>
      <c r="BK40" s="975" t="n">
        <v>270</v>
      </c>
      <c r="BL40" s="976">
        <f>BK40*$D40</f>
        <v/>
      </c>
      <c r="BM40" s="975" t="n"/>
      <c r="BN40" s="976">
        <f>BM40*$D40</f>
        <v/>
      </c>
      <c r="BO40" s="975" t="n"/>
      <c r="BP40" s="976">
        <f>BO40*$D40</f>
        <v/>
      </c>
      <c r="BQ40" s="975" t="n"/>
      <c r="BR40" s="976">
        <f>BQ40*$D40</f>
        <v/>
      </c>
      <c r="BS40" s="975" t="n"/>
      <c r="BT40" s="976">
        <f>BS40*$D40</f>
        <v/>
      </c>
      <c r="BU40" s="975" t="n"/>
      <c r="BV40" s="976">
        <f>BU40*$D40</f>
        <v/>
      </c>
      <c r="BW40" s="975" t="n"/>
      <c r="BX40" s="976">
        <f>BW40*$D40</f>
        <v/>
      </c>
      <c r="BY40" s="975" t="n"/>
      <c r="BZ40" s="976">
        <f>BY40*$D40</f>
        <v/>
      </c>
      <c r="CA40" s="975" t="n"/>
      <c r="CB40" s="976">
        <f>CA40*$D40</f>
        <v/>
      </c>
      <c r="CC40" s="975" t="n"/>
      <c r="CD40" s="976">
        <f>CC40*$D40</f>
        <v/>
      </c>
      <c r="CE40" s="979">
        <f>(BG40+BI40+BK40+BM40+BO40)/5</f>
        <v/>
      </c>
      <c r="CF40" s="976">
        <f>(BH40+BJ40+BL40+BN40+BP40)/5</f>
        <v/>
      </c>
      <c r="CG40" s="977">
        <f>(CC40+CA40+BY40+BW40+BU40+BS40+BQ40+BO40+BM40+BK40+BI40+BG40)/12</f>
        <v/>
      </c>
      <c r="CH40" s="978">
        <f>CG40*$D40</f>
        <v/>
      </c>
      <c r="CI40" s="980" t="n">
        <v>27</v>
      </c>
      <c r="CJ40" s="976">
        <f>CI40*$D40</f>
        <v/>
      </c>
      <c r="CK40" s="15" t="n"/>
      <c r="CL40" s="15" t="n"/>
      <c r="CM40" s="982" t="n"/>
      <c r="CN40" s="976">
        <f>CM40*$D40</f>
        <v/>
      </c>
      <c r="CO40" s="982" t="n"/>
      <c r="CP40" s="15">
        <f>CO40*$D40</f>
        <v/>
      </c>
      <c r="CQ40" s="982" t="n"/>
      <c r="CR40" s="15">
        <f>CQ40*$D40</f>
        <v/>
      </c>
      <c r="CS40" s="982" t="n"/>
      <c r="CT40" s="15">
        <f>CS40*$D40</f>
        <v/>
      </c>
      <c r="CU40" s="982" t="n"/>
      <c r="CV40" s="15">
        <f>CU40*$D40</f>
        <v/>
      </c>
      <c r="CW40" s="982" t="n"/>
      <c r="CX40" s="15">
        <f>CW40*$D40</f>
        <v/>
      </c>
      <c r="CY40" s="982" t="n"/>
      <c r="CZ40" s="15">
        <f>CY40*$D40</f>
        <v/>
      </c>
      <c r="DA40" s="982" t="n"/>
      <c r="DB40" s="15">
        <f>DA40*$D40</f>
        <v/>
      </c>
      <c r="DC40" s="982" t="n"/>
      <c r="DD40" s="15">
        <f>DC40*$D40</f>
        <v/>
      </c>
      <c r="DE40" s="982" t="n"/>
      <c r="DF40" s="15">
        <f>DE40*$D40</f>
        <v/>
      </c>
      <c r="DG40" s="982" t="n"/>
      <c r="DH40" s="15">
        <f>DG40*$D40</f>
        <v/>
      </c>
      <c r="DI40" s="982" t="n"/>
      <c r="DJ40" s="15">
        <f>DI40*$D40</f>
        <v/>
      </c>
      <c r="DK40" s="983">
        <f>SUM(CM40,CO40,CQ40,CS40,CU40,CW40,CY40,DA40,DC40,DE40,DG40,DI40)</f>
        <v/>
      </c>
      <c r="DL40" s="984">
        <f>SUM(CN40,CP40,CR40,CT40,CV40,CX40,CZ40,DB40,DD40,DF40,DH40,DJ40)</f>
        <v/>
      </c>
      <c r="DP40" s="88">
        <f>DO40-CK40</f>
        <v/>
      </c>
      <c r="DQ40" s="1005">
        <f>DN40/CF40*100-100</f>
        <v/>
      </c>
      <c r="DR40" s="1005">
        <f>DN40/CH40*100-100</f>
        <v/>
      </c>
      <c r="DW40" s="52">
        <f>DV40*5</f>
        <v/>
      </c>
    </row>
    <row r="41" hidden="1">
      <c r="A41" s="7" t="n">
        <v>112</v>
      </c>
      <c r="B41" s="8" t="inlineStr">
        <is>
          <t xml:space="preserve">SRS - Columbus 700ml </t>
        </is>
      </c>
      <c r="C41" s="8" t="inlineStr">
        <is>
          <t>ပုလင်း</t>
        </is>
      </c>
      <c r="D41" s="7" t="n">
        <v>0.7</v>
      </c>
      <c r="E41" s="7" t="inlineStr">
        <is>
          <t>1 * 12</t>
        </is>
      </c>
      <c r="F41" s="7" t="n">
        <v>5200</v>
      </c>
      <c r="G41" s="975" t="n">
        <v>8306</v>
      </c>
      <c r="H41" s="976">
        <f>G41*$D41</f>
        <v/>
      </c>
      <c r="I41" s="975" t="n">
        <v>1847</v>
      </c>
      <c r="J41" s="976">
        <f>I41*$D41</f>
        <v/>
      </c>
      <c r="K41" s="975" t="n">
        <v>2348</v>
      </c>
      <c r="L41" s="976">
        <f>K41*$D41</f>
        <v/>
      </c>
      <c r="M41" s="975" t="n">
        <v>5341</v>
      </c>
      <c r="N41" s="976">
        <f>M41*$D41</f>
        <v/>
      </c>
      <c r="O41" s="975" t="n">
        <v>1829</v>
      </c>
      <c r="P41" s="976">
        <f>O41*$D41</f>
        <v/>
      </c>
      <c r="Q41" s="975" t="n">
        <v>1932</v>
      </c>
      <c r="R41" s="976">
        <f>Q41*$D41</f>
        <v/>
      </c>
      <c r="S41" s="975" t="n">
        <v>2389</v>
      </c>
      <c r="T41" s="976">
        <f>S41*$D41</f>
        <v/>
      </c>
      <c r="U41" s="975" t="n">
        <v>1652</v>
      </c>
      <c r="V41" s="976">
        <f>U41*$D41</f>
        <v/>
      </c>
      <c r="W41" s="975" t="n">
        <v>906</v>
      </c>
      <c r="X41" s="976">
        <f>W41*$D41</f>
        <v/>
      </c>
      <c r="Y41" s="975" t="n">
        <v>977</v>
      </c>
      <c r="Z41" s="976">
        <f>Y41*$D41</f>
        <v/>
      </c>
      <c r="AA41" s="975" t="n">
        <v>1059</v>
      </c>
      <c r="AB41" s="976">
        <f>AA41*$D41</f>
        <v/>
      </c>
      <c r="AC41" s="975" t="n">
        <v>1318</v>
      </c>
      <c r="AD41" s="976">
        <f>AC41*$D41</f>
        <v/>
      </c>
      <c r="AE41" s="977">
        <f>(AC41+AA41+Y41+W41+U41+S41+Q41+O41+M41+K41+I41+G41)/12</f>
        <v/>
      </c>
      <c r="AF41" s="978">
        <f>AE41*$D41</f>
        <v/>
      </c>
      <c r="AG41" s="975" t="n">
        <v>1243</v>
      </c>
      <c r="AH41" s="976">
        <f>AG41*$D41</f>
        <v/>
      </c>
      <c r="AI41" s="975" t="n">
        <v>972</v>
      </c>
      <c r="AJ41" s="976">
        <f>AI41*$D41</f>
        <v/>
      </c>
      <c r="AK41" s="975" t="n">
        <v>910</v>
      </c>
      <c r="AL41" s="976">
        <f>AK41*$D41</f>
        <v/>
      </c>
      <c r="AM41" s="975" t="n">
        <v>759</v>
      </c>
      <c r="AN41" s="976">
        <f>AM41*$D41</f>
        <v/>
      </c>
      <c r="AO41" s="975" t="n">
        <v>837</v>
      </c>
      <c r="AP41" s="976">
        <f>AO41*$D41</f>
        <v/>
      </c>
      <c r="AQ41" s="975" t="n">
        <v>559</v>
      </c>
      <c r="AR41" s="976">
        <f>AQ41*$D41</f>
        <v/>
      </c>
      <c r="AS41" s="975" t="n">
        <v>616</v>
      </c>
      <c r="AT41" s="976">
        <f>AS41*$D41</f>
        <v/>
      </c>
      <c r="AU41" s="975" t="n">
        <v>671</v>
      </c>
      <c r="AV41" s="976">
        <f>AU41*$D41</f>
        <v/>
      </c>
      <c r="AW41" s="975" t="n">
        <v>625</v>
      </c>
      <c r="AX41" s="976">
        <f>AW41*$D41</f>
        <v/>
      </c>
      <c r="AY41" s="975" t="n">
        <v>439</v>
      </c>
      <c r="AZ41" s="976">
        <f>AY41*$D41</f>
        <v/>
      </c>
      <c r="BA41" s="975" t="n">
        <v>471</v>
      </c>
      <c r="BB41" s="976">
        <f>BA41*$D41</f>
        <v/>
      </c>
      <c r="BC41" s="975" t="n">
        <v>1158</v>
      </c>
      <c r="BD41" s="976">
        <f>BC41*$D41</f>
        <v/>
      </c>
      <c r="BE41" s="977">
        <f>(BC41+BA41+AY41+AW41+AU41+AS41+AQ41+AO41+AM41+AK41+AI41+AG41)/12</f>
        <v/>
      </c>
      <c r="BF41" s="978">
        <f>BE41*$D41</f>
        <v/>
      </c>
      <c r="BG41" s="975" t="n">
        <v>588</v>
      </c>
      <c r="BH41" s="976">
        <f>BG41*$D41</f>
        <v/>
      </c>
      <c r="BI41" s="975" t="n">
        <v>956</v>
      </c>
      <c r="BJ41" s="976">
        <f>BI41*$D41</f>
        <v/>
      </c>
      <c r="BK41" s="975" t="n">
        <v>967</v>
      </c>
      <c r="BL41" s="976">
        <f>BK41*$D41</f>
        <v/>
      </c>
      <c r="BM41" s="975" t="n">
        <v>516</v>
      </c>
      <c r="BN41" s="976">
        <f>BM41*$D41</f>
        <v/>
      </c>
      <c r="BO41" s="975" t="n">
        <v>220</v>
      </c>
      <c r="BP41" s="976">
        <f>BO41*$D41</f>
        <v/>
      </c>
      <c r="BQ41" s="975" t="n">
        <v>623</v>
      </c>
      <c r="BR41" s="976">
        <f>BQ41*$D41</f>
        <v/>
      </c>
      <c r="BS41" s="975" t="n">
        <v>657</v>
      </c>
      <c r="BT41" s="976">
        <f>BS41*$D41</f>
        <v/>
      </c>
      <c r="BU41" s="975" t="n">
        <v>291</v>
      </c>
      <c r="BV41" s="976">
        <f>BU41*$D41</f>
        <v/>
      </c>
      <c r="BW41" s="975" t="n">
        <v>228</v>
      </c>
      <c r="BX41" s="976">
        <f>BW41*$D41</f>
        <v/>
      </c>
      <c r="BY41" s="975" t="n">
        <v>450</v>
      </c>
      <c r="BZ41" s="976">
        <f>BY41*$D41</f>
        <v/>
      </c>
      <c r="CA41" s="975" t="n">
        <v>234</v>
      </c>
      <c r="CB41" s="976">
        <f>CA41*$D41</f>
        <v/>
      </c>
      <c r="CC41" s="975" t="n">
        <v>90</v>
      </c>
      <c r="CD41" s="976">
        <f>CC41*$D41</f>
        <v/>
      </c>
      <c r="CE41" s="979">
        <f>(BG41+BI41+BK41+BM41+BO41)/5</f>
        <v/>
      </c>
      <c r="CF41" s="976">
        <f>(BH41+BJ41+BL41+BN41+BP41)/5</f>
        <v/>
      </c>
      <c r="CG41" s="977">
        <f>(CC41+CA41+BY41+BW41+BU41+BS41+BQ41+BO41+BM41+BK41+BI41+BG41)/12</f>
        <v/>
      </c>
      <c r="CH41" s="978">
        <f>CG41*$D41</f>
        <v/>
      </c>
      <c r="CI41" s="980" t="n">
        <v>485</v>
      </c>
      <c r="CJ41" s="976">
        <f>CI41*$D41</f>
        <v/>
      </c>
      <c r="CK41" s="15" t="n"/>
      <c r="CL41" s="15" t="n"/>
      <c r="CM41" s="982" t="n">
        <v>61</v>
      </c>
      <c r="CN41" s="976">
        <f>CM41*$D41</f>
        <v/>
      </c>
      <c r="CO41" s="982" t="n">
        <v>78</v>
      </c>
      <c r="CP41" s="15">
        <f>CO41*$D41</f>
        <v/>
      </c>
      <c r="CQ41" s="982" t="n">
        <v>12</v>
      </c>
      <c r="CR41" s="15">
        <f>CQ41*$D41</f>
        <v/>
      </c>
      <c r="CS41" s="982" t="n">
        <v>54</v>
      </c>
      <c r="CT41" s="15">
        <f>CS41*$D41</f>
        <v/>
      </c>
      <c r="CU41" s="982" t="n">
        <v>42</v>
      </c>
      <c r="CV41" s="15">
        <f>CU41*$D41</f>
        <v/>
      </c>
      <c r="CW41" s="982" t="n"/>
      <c r="CX41" s="15">
        <f>CW41*$D41</f>
        <v/>
      </c>
      <c r="CY41" s="982" t="n"/>
      <c r="CZ41" s="15">
        <f>CY41*$D41</f>
        <v/>
      </c>
      <c r="DA41" s="982" t="n"/>
      <c r="DB41" s="15">
        <f>DA41*$D41</f>
        <v/>
      </c>
      <c r="DC41" s="982" t="n"/>
      <c r="DD41" s="15">
        <f>DC41*$D41</f>
        <v/>
      </c>
      <c r="DE41" s="982" t="n"/>
      <c r="DF41" s="15">
        <f>DE41*$D41</f>
        <v/>
      </c>
      <c r="DG41" s="982" t="n"/>
      <c r="DH41" s="15">
        <f>DG41*$D41</f>
        <v/>
      </c>
      <c r="DI41" s="982" t="n"/>
      <c r="DJ41" s="15">
        <f>DI41*$D41</f>
        <v/>
      </c>
      <c r="DK41" s="983">
        <f>SUM(CM41,CO41,CQ41,CS41,CU41,CW41,CY41,DA41,DC41,DE41,DG41,DI41)</f>
        <v/>
      </c>
      <c r="DL41" s="984">
        <f>SUM(CN41,CP41,CR41,CT41,CV41,CX41,CZ41,DB41,DD41,DF41,DH41,DJ41)</f>
        <v/>
      </c>
      <c r="DP41" s="88">
        <f>DO41-CK41</f>
        <v/>
      </c>
      <c r="DQ41" s="1005">
        <f>DN41/CF41*100-100</f>
        <v/>
      </c>
      <c r="DR41" s="1005">
        <f>DN41/CH41*100-100</f>
        <v/>
      </c>
      <c r="DW41" s="52">
        <f>DV41*5</f>
        <v/>
      </c>
    </row>
    <row r="42" hidden="1">
      <c r="A42" s="7" t="n">
        <v>113</v>
      </c>
      <c r="B42" s="8" t="inlineStr">
        <is>
          <t xml:space="preserve">SRS - Columbus 350ml </t>
        </is>
      </c>
      <c r="C42" s="8" t="inlineStr">
        <is>
          <t>ပုလင်း</t>
        </is>
      </c>
      <c r="D42" s="7" t="n">
        <v>0.35</v>
      </c>
      <c r="E42" s="7" t="inlineStr">
        <is>
          <t>1 * 24</t>
        </is>
      </c>
      <c r="F42" s="7" t="n">
        <v>2600</v>
      </c>
      <c r="G42" s="975" t="n">
        <v>8074</v>
      </c>
      <c r="H42" s="976">
        <f>G42*$D42</f>
        <v/>
      </c>
      <c r="I42" s="975" t="n">
        <v>3737</v>
      </c>
      <c r="J42" s="976">
        <f>I42*$D42</f>
        <v/>
      </c>
      <c r="K42" s="975" t="n">
        <v>3229</v>
      </c>
      <c r="L42" s="976">
        <f>K42*$D42</f>
        <v/>
      </c>
      <c r="M42" s="975" t="n">
        <v>15733</v>
      </c>
      <c r="N42" s="976">
        <f>M42*$D42</f>
        <v/>
      </c>
      <c r="O42" s="975" t="n">
        <v>2024</v>
      </c>
      <c r="P42" s="976">
        <f>O42*$D42</f>
        <v/>
      </c>
      <c r="Q42" s="975" t="n">
        <v>2233</v>
      </c>
      <c r="R42" s="976">
        <f>Q42*$D42</f>
        <v/>
      </c>
      <c r="S42" s="975" t="n">
        <v>3481</v>
      </c>
      <c r="T42" s="976">
        <f>S42*$D42</f>
        <v/>
      </c>
      <c r="U42" s="975" t="n">
        <v>1781</v>
      </c>
      <c r="V42" s="976">
        <f>U42*$D42</f>
        <v/>
      </c>
      <c r="W42" s="975" t="n">
        <v>1002</v>
      </c>
      <c r="X42" s="976">
        <f>W42*$D42</f>
        <v/>
      </c>
      <c r="Y42" s="975" t="n">
        <v>1282</v>
      </c>
      <c r="Z42" s="976">
        <f>Y42*$D42</f>
        <v/>
      </c>
      <c r="AA42" s="975" t="n">
        <v>1233</v>
      </c>
      <c r="AB42" s="976">
        <f>AA42*$D42</f>
        <v/>
      </c>
      <c r="AC42" s="975" t="n">
        <v>2318</v>
      </c>
      <c r="AD42" s="976">
        <f>AC42*$D42</f>
        <v/>
      </c>
      <c r="AE42" s="977">
        <f>(AC42+AA42+Y42+W42+U42+S42+Q42+O42+M42+K42+I42+G42)/12</f>
        <v/>
      </c>
      <c r="AF42" s="978">
        <f>AE42*$D42</f>
        <v/>
      </c>
      <c r="AG42" s="975" t="n">
        <v>2052</v>
      </c>
      <c r="AH42" s="976">
        <f>AG42*$D42</f>
        <v/>
      </c>
      <c r="AI42" s="975" t="n">
        <v>1638</v>
      </c>
      <c r="AJ42" s="976">
        <f>AI42*$D42</f>
        <v/>
      </c>
      <c r="AK42" s="975" t="n">
        <v>925</v>
      </c>
      <c r="AL42" s="976">
        <f>AK42*$D42</f>
        <v/>
      </c>
      <c r="AM42" s="975" t="n">
        <v>1689</v>
      </c>
      <c r="AN42" s="976">
        <f>AM42*$D42</f>
        <v/>
      </c>
      <c r="AO42" s="975" t="n">
        <v>873</v>
      </c>
      <c r="AP42" s="976">
        <f>AO42*$D42</f>
        <v/>
      </c>
      <c r="AQ42" s="975" t="n">
        <v>858</v>
      </c>
      <c r="AR42" s="976">
        <f>AQ42*$D42</f>
        <v/>
      </c>
      <c r="AS42" s="975" t="n">
        <v>644</v>
      </c>
      <c r="AT42" s="976">
        <f>AS42*$D42</f>
        <v/>
      </c>
      <c r="AU42" s="975" t="n">
        <v>1074</v>
      </c>
      <c r="AV42" s="976">
        <f>AU42*$D42</f>
        <v/>
      </c>
      <c r="AW42" s="975" t="n">
        <v>944</v>
      </c>
      <c r="AX42" s="976">
        <f>AW42*$D42</f>
        <v/>
      </c>
      <c r="AY42" s="975" t="n">
        <v>821</v>
      </c>
      <c r="AZ42" s="976">
        <f>AY42*$D42</f>
        <v/>
      </c>
      <c r="BA42" s="975" t="n">
        <v>688</v>
      </c>
      <c r="BB42" s="976">
        <f>BA42*$D42</f>
        <v/>
      </c>
      <c r="BC42" s="975" t="n">
        <v>1560</v>
      </c>
      <c r="BD42" s="976">
        <f>BC42*$D42</f>
        <v/>
      </c>
      <c r="BE42" s="977">
        <f>(BC42+BA42+AY42+AW42+AU42+AS42+AQ42+AO42+AM42+AK42+AI42+AG42)/12</f>
        <v/>
      </c>
      <c r="BF42" s="978">
        <f>BE42*$D42</f>
        <v/>
      </c>
      <c r="BG42" s="975" t="n">
        <v>792</v>
      </c>
      <c r="BH42" s="976">
        <f>BG42*$D42</f>
        <v/>
      </c>
      <c r="BI42" s="975" t="n">
        <v>647</v>
      </c>
      <c r="BJ42" s="976">
        <f>BI42*$D42</f>
        <v/>
      </c>
      <c r="BK42" s="975" t="n">
        <v>1040</v>
      </c>
      <c r="BL42" s="976">
        <f>BK42*$D42</f>
        <v/>
      </c>
      <c r="BM42" s="975" t="n">
        <v>691</v>
      </c>
      <c r="BN42" s="976">
        <f>BM42*$D42</f>
        <v/>
      </c>
      <c r="BO42" s="975" t="n">
        <v>386</v>
      </c>
      <c r="BP42" s="976">
        <f>BO42*$D42</f>
        <v/>
      </c>
      <c r="BQ42" s="975" t="n">
        <v>428</v>
      </c>
      <c r="BR42" s="976">
        <f>BQ42*$D42</f>
        <v/>
      </c>
      <c r="BS42" s="975" t="n">
        <v>749</v>
      </c>
      <c r="BT42" s="976">
        <f>BS42*$D42</f>
        <v/>
      </c>
      <c r="BU42" s="975" t="n">
        <v>888</v>
      </c>
      <c r="BV42" s="976">
        <f>BU42*$D42</f>
        <v/>
      </c>
      <c r="BW42" s="975" t="n">
        <v>684</v>
      </c>
      <c r="BX42" s="976">
        <f>BW42*$D42</f>
        <v/>
      </c>
      <c r="BY42" s="975" t="n">
        <v>1092</v>
      </c>
      <c r="BZ42" s="976">
        <f>BY42*$D42</f>
        <v/>
      </c>
      <c r="CA42" s="975" t="n">
        <v>936</v>
      </c>
      <c r="CB42" s="976">
        <f>CA42*$D42</f>
        <v/>
      </c>
      <c r="CC42" s="975" t="n">
        <v>288</v>
      </c>
      <c r="CD42" s="976">
        <f>CC42*$D42</f>
        <v/>
      </c>
      <c r="CE42" s="979">
        <f>(BG42+BI42+BK42+BM42+BO42)/5</f>
        <v/>
      </c>
      <c r="CF42" s="976">
        <f>(BH42+BJ42+BL42+BN42+BP42)/5</f>
        <v/>
      </c>
      <c r="CG42" s="977">
        <f>(CC42+CA42+BY42+BW42+BU42+BS42+BQ42+BO42+BM42+BK42+BI42+BG42)/12</f>
        <v/>
      </c>
      <c r="CH42" s="978">
        <f>CG42*$D42</f>
        <v/>
      </c>
      <c r="CI42" s="980" t="n">
        <v>718</v>
      </c>
      <c r="CJ42" s="976">
        <f>CI42*$D42</f>
        <v/>
      </c>
      <c r="CK42" s="15" t="n"/>
      <c r="CL42" s="15" t="n"/>
      <c r="CM42" s="982" t="n">
        <v>96</v>
      </c>
      <c r="CN42" s="976">
        <f>CM42*$D42</f>
        <v/>
      </c>
      <c r="CO42" s="982" t="n">
        <v>432</v>
      </c>
      <c r="CP42" s="15">
        <f>CO42*$D42</f>
        <v/>
      </c>
      <c r="CQ42" s="982" t="n">
        <v>168</v>
      </c>
      <c r="CR42" s="15">
        <f>CQ42*$D42</f>
        <v/>
      </c>
      <c r="CS42" s="982" t="n">
        <v>244</v>
      </c>
      <c r="CT42" s="15">
        <f>CS42*$D42</f>
        <v/>
      </c>
      <c r="CU42" s="982" t="n">
        <v>246</v>
      </c>
      <c r="CV42" s="15">
        <f>CU42*$D42</f>
        <v/>
      </c>
      <c r="CW42" s="982" t="n"/>
      <c r="CX42" s="15">
        <f>CW42*$D42</f>
        <v/>
      </c>
      <c r="CY42" s="982" t="n"/>
      <c r="CZ42" s="15">
        <f>CY42*$D42</f>
        <v/>
      </c>
      <c r="DA42" s="982" t="n"/>
      <c r="DB42" s="15">
        <f>DA42*$D42</f>
        <v/>
      </c>
      <c r="DC42" s="982" t="n"/>
      <c r="DD42" s="15">
        <f>DC42*$D42</f>
        <v/>
      </c>
      <c r="DE42" s="982" t="n"/>
      <c r="DF42" s="15">
        <f>DE42*$D42</f>
        <v/>
      </c>
      <c r="DG42" s="982" t="n"/>
      <c r="DH42" s="15">
        <f>DG42*$D42</f>
        <v/>
      </c>
      <c r="DI42" s="982" t="n"/>
      <c r="DJ42" s="15">
        <f>DI42*$D42</f>
        <v/>
      </c>
      <c r="DK42" s="983">
        <f>SUM(CM42,CO42,CQ42,CS42,CU42,CW42,CY42,DA42,DC42,DE42,DG42,DI42)</f>
        <v/>
      </c>
      <c r="DL42" s="984">
        <f>SUM(CN42,CP42,CR42,CT42,CV42,CX42,CZ42,DB42,DD42,DF42,DH42,DJ42)</f>
        <v/>
      </c>
      <c r="DP42" s="88">
        <f>DO42-CK42</f>
        <v/>
      </c>
      <c r="DQ42" s="1005">
        <f>DN42/CF42*100-100</f>
        <v/>
      </c>
      <c r="DR42" s="1005">
        <f>DN42/CH42*100-100</f>
        <v/>
      </c>
      <c r="DW42" s="52">
        <f>DV42*5</f>
        <v/>
      </c>
    </row>
    <row r="43" hidden="1">
      <c r="A43" s="7" t="n">
        <v>114</v>
      </c>
      <c r="B43" s="8" t="inlineStr">
        <is>
          <t xml:space="preserve">SRS - Columbus 175ml </t>
        </is>
      </c>
      <c r="C43" s="8" t="inlineStr">
        <is>
          <t>ပုလင်း</t>
        </is>
      </c>
      <c r="D43" s="7" t="n">
        <v>0.175</v>
      </c>
      <c r="E43" s="7" t="inlineStr">
        <is>
          <t>1 * 48</t>
        </is>
      </c>
      <c r="F43" s="7" t="n">
        <v>1450</v>
      </c>
      <c r="G43" s="975" t="n">
        <v>2394</v>
      </c>
      <c r="H43" s="976">
        <f>G43*$D43</f>
        <v/>
      </c>
      <c r="I43" s="975" t="n">
        <v>970</v>
      </c>
      <c r="J43" s="976">
        <f>I43*$D43</f>
        <v/>
      </c>
      <c r="K43" s="975" t="n">
        <v>814</v>
      </c>
      <c r="L43" s="976">
        <f>K43*$D43</f>
        <v/>
      </c>
      <c r="M43" s="975" t="n">
        <v>10591</v>
      </c>
      <c r="N43" s="976">
        <f>M43*$D43</f>
        <v/>
      </c>
      <c r="O43" s="975" t="n">
        <v>948</v>
      </c>
      <c r="P43" s="976">
        <f>O43*$D43</f>
        <v/>
      </c>
      <c r="Q43" s="975" t="n">
        <v>1330</v>
      </c>
      <c r="R43" s="976">
        <f>Q43*$D43</f>
        <v/>
      </c>
      <c r="S43" s="975" t="n">
        <v>703</v>
      </c>
      <c r="T43" s="976">
        <f>S43*$D43</f>
        <v/>
      </c>
      <c r="U43" s="975" t="n">
        <v>542</v>
      </c>
      <c r="V43" s="976">
        <f>U43*$D43</f>
        <v/>
      </c>
      <c r="W43" s="975" t="n">
        <v>357</v>
      </c>
      <c r="X43" s="976">
        <f>W43*$D43</f>
        <v/>
      </c>
      <c r="Y43" s="975" t="n">
        <v>429</v>
      </c>
      <c r="Z43" s="976">
        <f>Y43*$D43</f>
        <v/>
      </c>
      <c r="AA43" s="975" t="n">
        <v>370</v>
      </c>
      <c r="AB43" s="976">
        <f>AA43*$D43</f>
        <v/>
      </c>
      <c r="AC43" s="975" t="n">
        <v>335</v>
      </c>
      <c r="AD43" s="976">
        <f>AC43*$D43</f>
        <v/>
      </c>
      <c r="AE43" s="977">
        <f>(AC43+AA43+Y43+W43+U43+S43+Q43+O43+M43+K43+I43+G43)/12</f>
        <v/>
      </c>
      <c r="AF43" s="978">
        <f>AE43*$D43</f>
        <v/>
      </c>
      <c r="AG43" s="975" t="n">
        <v>838</v>
      </c>
      <c r="AH43" s="976">
        <f>AG43*$D43</f>
        <v/>
      </c>
      <c r="AI43" s="975" t="n">
        <v>532</v>
      </c>
      <c r="AJ43" s="976">
        <f>AI43*$D43</f>
        <v/>
      </c>
      <c r="AK43" s="975" t="n">
        <v>158</v>
      </c>
      <c r="AL43" s="976">
        <f>AK43*$D43</f>
        <v/>
      </c>
      <c r="AM43" s="975" t="n">
        <v>492</v>
      </c>
      <c r="AN43" s="976">
        <f>AM43*$D43</f>
        <v/>
      </c>
      <c r="AO43" s="975" t="n">
        <v>227</v>
      </c>
      <c r="AP43" s="976">
        <f>AO43*$D43</f>
        <v/>
      </c>
      <c r="AQ43" s="975" t="n">
        <v>272</v>
      </c>
      <c r="AR43" s="976">
        <f>AQ43*$D43</f>
        <v/>
      </c>
      <c r="AS43" s="975" t="n">
        <v>245</v>
      </c>
      <c r="AT43" s="976">
        <f>AS43*$D43</f>
        <v/>
      </c>
      <c r="AU43" s="975" t="n">
        <v>197</v>
      </c>
      <c r="AV43" s="976">
        <f>AU43*$D43</f>
        <v/>
      </c>
      <c r="AW43" s="975" t="n">
        <v>392</v>
      </c>
      <c r="AX43" s="976">
        <f>AW43*$D43</f>
        <v/>
      </c>
      <c r="AY43" s="975" t="n">
        <v>940</v>
      </c>
      <c r="AZ43" s="976">
        <f>AY43*$D43</f>
        <v/>
      </c>
      <c r="BA43" s="975" t="n">
        <v>160</v>
      </c>
      <c r="BB43" s="976">
        <f>BA43*$D43</f>
        <v/>
      </c>
      <c r="BC43" s="975" t="n">
        <v>2595</v>
      </c>
      <c r="BD43" s="976">
        <f>BC43*$D43</f>
        <v/>
      </c>
      <c r="BE43" s="977">
        <f>(BC43+BA43+AY43+AW43+AU43+AS43+AQ43+AO43+AM43+AK43+AI43+AG43)/12</f>
        <v/>
      </c>
      <c r="BF43" s="978">
        <f>BE43*$D43</f>
        <v/>
      </c>
      <c r="BG43" s="975" t="n">
        <v>48</v>
      </c>
      <c r="BH43" s="976">
        <f>BG43*$D43</f>
        <v/>
      </c>
      <c r="BI43" s="975" t="n">
        <v>268</v>
      </c>
      <c r="BJ43" s="976">
        <f>BI43*$D43</f>
        <v/>
      </c>
      <c r="BK43" s="975" t="n">
        <v>520</v>
      </c>
      <c r="BL43" s="976">
        <f>BK43*$D43</f>
        <v/>
      </c>
      <c r="BM43" s="975" t="n">
        <v>526</v>
      </c>
      <c r="BN43" s="976">
        <f>BM43*$D43</f>
        <v/>
      </c>
      <c r="BO43" s="975" t="n">
        <v>234</v>
      </c>
      <c r="BP43" s="976">
        <f>BO43*$D43</f>
        <v/>
      </c>
      <c r="BQ43" s="975" t="n">
        <v>437</v>
      </c>
      <c r="BR43" s="976">
        <f>BQ43*$D43</f>
        <v/>
      </c>
      <c r="BS43" s="975" t="n">
        <v>118</v>
      </c>
      <c r="BT43" s="976">
        <f>BS43*$D43</f>
        <v/>
      </c>
      <c r="BU43" s="975" t="n">
        <v>612</v>
      </c>
      <c r="BV43" s="976">
        <f>BU43*$D43</f>
        <v/>
      </c>
      <c r="BW43" s="975" t="n">
        <v>294</v>
      </c>
      <c r="BX43" s="976">
        <f>BW43*$D43</f>
        <v/>
      </c>
      <c r="BY43" s="975" t="n">
        <v>237</v>
      </c>
      <c r="BZ43" s="976">
        <f>BY43*$D43</f>
        <v/>
      </c>
      <c r="CA43" s="975" t="n">
        <v>258</v>
      </c>
      <c r="CB43" s="976">
        <f>CA43*$D43</f>
        <v/>
      </c>
      <c r="CC43" s="975" t="n">
        <v>12</v>
      </c>
      <c r="CD43" s="976">
        <f>CC43*$D43</f>
        <v/>
      </c>
      <c r="CE43" s="979">
        <f>(BG43+BI43+BK43+BM43+BO43)/5</f>
        <v/>
      </c>
      <c r="CF43" s="976">
        <f>(BH43+BJ43+BL43+BN43+BP43)/5</f>
        <v/>
      </c>
      <c r="CG43" s="977">
        <f>(CC43+CA43+BY43+BW43+BU43+BS43+BQ43+BO43+BM43+BK43+BI43+BG43)/12</f>
        <v/>
      </c>
      <c r="CH43" s="978">
        <f>CG43*$D43</f>
        <v/>
      </c>
      <c r="CI43" s="980" t="n">
        <v>297</v>
      </c>
      <c r="CJ43" s="976">
        <f>CI43*$D43</f>
        <v/>
      </c>
      <c r="CK43" s="15" t="n"/>
      <c r="CL43" s="15" t="n"/>
      <c r="CM43" s="982" t="n">
        <v>240</v>
      </c>
      <c r="CN43" s="976">
        <f>CM43*$D43</f>
        <v/>
      </c>
      <c r="CO43" s="982" t="n">
        <v>30</v>
      </c>
      <c r="CP43" s="15">
        <f>CO43*$D43</f>
        <v/>
      </c>
      <c r="CQ43" s="982" t="n"/>
      <c r="CR43" s="15">
        <f>CQ43*$D43</f>
        <v/>
      </c>
      <c r="CS43" s="982" t="n">
        <v>22</v>
      </c>
      <c r="CT43" s="15">
        <f>CS43*$D43</f>
        <v/>
      </c>
      <c r="CU43" s="982" t="n">
        <v>211</v>
      </c>
      <c r="CV43" s="15">
        <f>CU43*$D43</f>
        <v/>
      </c>
      <c r="CW43" s="982" t="n"/>
      <c r="CX43" s="15">
        <f>CW43*$D43</f>
        <v/>
      </c>
      <c r="CY43" s="982" t="n"/>
      <c r="CZ43" s="15">
        <f>CY43*$D43</f>
        <v/>
      </c>
      <c r="DA43" s="982" t="n"/>
      <c r="DB43" s="15">
        <f>DA43*$D43</f>
        <v/>
      </c>
      <c r="DC43" s="982" t="n"/>
      <c r="DD43" s="15">
        <f>DC43*$D43</f>
        <v/>
      </c>
      <c r="DE43" s="982" t="n"/>
      <c r="DF43" s="15">
        <f>DE43*$D43</f>
        <v/>
      </c>
      <c r="DG43" s="982" t="n"/>
      <c r="DH43" s="15">
        <f>DG43*$D43</f>
        <v/>
      </c>
      <c r="DI43" s="982" t="n"/>
      <c r="DJ43" s="15">
        <f>DI43*$D43</f>
        <v/>
      </c>
      <c r="DK43" s="983">
        <f>SUM(CM43,CO43,CQ43,CS43,CU43,CW43,CY43,DA43,DC43,DE43,DG43,DI43)</f>
        <v/>
      </c>
      <c r="DL43" s="984">
        <f>SUM(CN43,CP43,CR43,CT43,CV43,CX43,CZ43,DB43,DD43,DF43,DH43,DJ43)</f>
        <v/>
      </c>
      <c r="DP43" s="88">
        <f>DO43-CK43</f>
        <v/>
      </c>
      <c r="DQ43" s="1005">
        <f>DN43/CF43*100-100</f>
        <v/>
      </c>
      <c r="DR43" s="1005">
        <f>DN43/CH43*100-100</f>
        <v/>
      </c>
      <c r="DW43" s="52">
        <f>DV43*5</f>
        <v/>
      </c>
    </row>
    <row r="44" hidden="1">
      <c r="A44" s="7" t="n">
        <v>115</v>
      </c>
      <c r="B44" s="8" t="inlineStr">
        <is>
          <t>Ngwe Taung 700ml</t>
        </is>
      </c>
      <c r="C44" s="8" t="inlineStr">
        <is>
          <t>ပုလင်း</t>
        </is>
      </c>
      <c r="D44" s="7" t="n">
        <v>0.7</v>
      </c>
      <c r="E44" s="7" t="inlineStr">
        <is>
          <t>1 * 12</t>
        </is>
      </c>
      <c r="F44" s="7" t="n"/>
      <c r="G44" s="975" t="n">
        <v>10</v>
      </c>
      <c r="H44" s="976">
        <f>G44*$D44</f>
        <v/>
      </c>
      <c r="I44" s="975" t="n"/>
      <c r="J44" s="976">
        <f>I44*$D44</f>
        <v/>
      </c>
      <c r="K44" s="975" t="n">
        <v>60</v>
      </c>
      <c r="L44" s="976">
        <f>K44*$D44</f>
        <v/>
      </c>
      <c r="M44" s="975" t="n">
        <v>60</v>
      </c>
      <c r="N44" s="976">
        <f>M44*$D44</f>
        <v/>
      </c>
      <c r="O44" s="975" t="n"/>
      <c r="P44" s="976">
        <f>O44*$D44</f>
        <v/>
      </c>
      <c r="Q44" s="975" t="n">
        <v>60</v>
      </c>
      <c r="R44" s="976">
        <f>Q44*$D44</f>
        <v/>
      </c>
      <c r="S44" s="975" t="n">
        <v>38</v>
      </c>
      <c r="T44" s="976">
        <f>S44*$D44</f>
        <v/>
      </c>
      <c r="U44" s="975" t="n">
        <v>180</v>
      </c>
      <c r="V44" s="976">
        <f>U44*$D44</f>
        <v/>
      </c>
      <c r="W44" s="975" t="n"/>
      <c r="X44" s="976">
        <f>W44*$D44</f>
        <v/>
      </c>
      <c r="Y44" s="975" t="n">
        <v>60</v>
      </c>
      <c r="Z44" s="976">
        <f>Y44*$D44</f>
        <v/>
      </c>
      <c r="AA44" s="975" t="n">
        <v>132</v>
      </c>
      <c r="AB44" s="976">
        <f>AA44*$D44</f>
        <v/>
      </c>
      <c r="AC44" s="975" t="n">
        <v>156</v>
      </c>
      <c r="AD44" s="976">
        <f>AC44*$D44</f>
        <v/>
      </c>
      <c r="AE44" s="977">
        <f>(AC44+AA44+Y44+W44+U44+S44+Q44+O44+M44+K44+I44+G44)/12</f>
        <v/>
      </c>
      <c r="AF44" s="978">
        <f>AE44*$D44</f>
        <v/>
      </c>
      <c r="AG44" s="975" t="n">
        <v>84</v>
      </c>
      <c r="AH44" s="976">
        <f>AG44*$D44</f>
        <v/>
      </c>
      <c r="AI44" s="975" t="n">
        <v>216</v>
      </c>
      <c r="AJ44" s="976">
        <f>AI44*$D44</f>
        <v/>
      </c>
      <c r="AK44" s="975" t="n">
        <v>36</v>
      </c>
      <c r="AL44" s="976">
        <f>AK44*$D44</f>
        <v/>
      </c>
      <c r="AM44" s="975" t="n">
        <v>96</v>
      </c>
      <c r="AN44" s="976">
        <f>AM44*$D44</f>
        <v/>
      </c>
      <c r="AO44" s="975" t="n">
        <v>96</v>
      </c>
      <c r="AP44" s="976">
        <f>AO44*$D44</f>
        <v/>
      </c>
      <c r="AQ44" s="975" t="n">
        <v>96</v>
      </c>
      <c r="AR44" s="976">
        <f>AQ44*$D44</f>
        <v/>
      </c>
      <c r="AS44" s="975" t="n">
        <v>156</v>
      </c>
      <c r="AT44" s="976">
        <f>AS44*$D44</f>
        <v/>
      </c>
      <c r="AU44" s="975" t="n">
        <v>120</v>
      </c>
      <c r="AV44" s="976">
        <f>AU44*$D44</f>
        <v/>
      </c>
      <c r="AW44" s="975" t="n">
        <v>228</v>
      </c>
      <c r="AX44" s="976">
        <f>AW44*$D44</f>
        <v/>
      </c>
      <c r="AY44" s="975" t="n">
        <v>180</v>
      </c>
      <c r="AZ44" s="976">
        <f>AY44*$D44</f>
        <v/>
      </c>
      <c r="BA44" s="975" t="n">
        <v>216</v>
      </c>
      <c r="BB44" s="976">
        <f>BA44*$D44</f>
        <v/>
      </c>
      <c r="BC44" s="975" t="n">
        <v>540</v>
      </c>
      <c r="BD44" s="976">
        <f>BC44*$D44</f>
        <v/>
      </c>
      <c r="BE44" s="977">
        <f>(BC44+BA44+AY44+AW44+AU44+AS44+AQ44+AO44+AM44+AK44+AI44+AG44)/12</f>
        <v/>
      </c>
      <c r="BF44" s="978">
        <f>BE44*$D44</f>
        <v/>
      </c>
      <c r="BG44" s="975" t="n">
        <v>240</v>
      </c>
      <c r="BH44" s="976">
        <f>BG44*$D44</f>
        <v/>
      </c>
      <c r="BI44" s="975" t="n">
        <v>228</v>
      </c>
      <c r="BJ44" s="976">
        <f>BI44*$D44</f>
        <v/>
      </c>
      <c r="BK44" s="975" t="n">
        <v>384</v>
      </c>
      <c r="BL44" s="976">
        <f>BK44*$D44</f>
        <v/>
      </c>
      <c r="BM44" s="975" t="n">
        <v>180</v>
      </c>
      <c r="BN44" s="976">
        <f>BM44*$D44</f>
        <v/>
      </c>
      <c r="BO44" s="975" t="n">
        <v>228</v>
      </c>
      <c r="BP44" s="976">
        <f>BO44*$D44</f>
        <v/>
      </c>
      <c r="BQ44" s="975" t="n">
        <v>144</v>
      </c>
      <c r="BR44" s="976">
        <f>BQ44*$D44</f>
        <v/>
      </c>
      <c r="BS44" s="975" t="n">
        <v>504</v>
      </c>
      <c r="BT44" s="976">
        <f>BS44*$D44</f>
        <v/>
      </c>
      <c r="BU44" s="975" t="n">
        <v>408</v>
      </c>
      <c r="BV44" s="976">
        <f>BU44*$D44</f>
        <v/>
      </c>
      <c r="BW44" s="975" t="n"/>
      <c r="BX44" s="976">
        <f>BW44*$D44</f>
        <v/>
      </c>
      <c r="BY44" s="975" t="n"/>
      <c r="BZ44" s="976">
        <f>BY44*$D44</f>
        <v/>
      </c>
      <c r="CA44" s="975" t="n"/>
      <c r="CB44" s="976">
        <f>CA44*$D44</f>
        <v/>
      </c>
      <c r="CC44" s="975" t="n"/>
      <c r="CD44" s="976">
        <f>CC44*$D44</f>
        <v/>
      </c>
      <c r="CE44" s="979">
        <f>(BG44+BI44+BK44+BM44+BO44)/5</f>
        <v/>
      </c>
      <c r="CF44" s="976">
        <f>(BH44+BJ44+BL44+BN44+BP44)/5</f>
        <v/>
      </c>
      <c r="CG44" s="977">
        <f>(CC44+CA44+BY44+BW44+BU44+BS44+BQ44+BO44+BM44+BK44+BI44+BG44)/12</f>
        <v/>
      </c>
      <c r="CH44" s="978">
        <f>CG44*$D44</f>
        <v/>
      </c>
      <c r="CI44" s="980" t="n">
        <v>193</v>
      </c>
      <c r="CJ44" s="976">
        <f>CI44*$D44</f>
        <v/>
      </c>
      <c r="CK44" s="15" t="n"/>
      <c r="CL44" s="15" t="n"/>
      <c r="CM44" s="982" t="n"/>
      <c r="CN44" s="976">
        <f>CM44*$D44</f>
        <v/>
      </c>
      <c r="CO44" s="982" t="n"/>
      <c r="CP44" s="15">
        <f>CO44*$D44</f>
        <v/>
      </c>
      <c r="CQ44" s="982" t="n"/>
      <c r="CR44" s="15">
        <f>CQ44*$D44</f>
        <v/>
      </c>
      <c r="CS44" s="982" t="n"/>
      <c r="CT44" s="15">
        <f>CS44*$D44</f>
        <v/>
      </c>
      <c r="CU44" s="982" t="n"/>
      <c r="CV44" s="15">
        <f>CU44*$D44</f>
        <v/>
      </c>
      <c r="CW44" s="982" t="n"/>
      <c r="CX44" s="15">
        <f>CW44*$D44</f>
        <v/>
      </c>
      <c r="CY44" s="982" t="n"/>
      <c r="CZ44" s="15">
        <f>CY44*$D44</f>
        <v/>
      </c>
      <c r="DA44" s="982" t="n"/>
      <c r="DB44" s="15">
        <f>DA44*$D44</f>
        <v/>
      </c>
      <c r="DC44" s="982" t="n"/>
      <c r="DD44" s="15">
        <f>DC44*$D44</f>
        <v/>
      </c>
      <c r="DE44" s="982" t="n"/>
      <c r="DF44" s="15">
        <f>DE44*$D44</f>
        <v/>
      </c>
      <c r="DG44" s="982" t="n"/>
      <c r="DH44" s="15">
        <f>DG44*$D44</f>
        <v/>
      </c>
      <c r="DI44" s="982" t="n"/>
      <c r="DJ44" s="15">
        <f>DI44*$D44</f>
        <v/>
      </c>
      <c r="DK44" s="983">
        <f>SUM(CM44,CO44,CQ44,CS44,CU44,CW44,CY44,DA44,DC44,DE44,DG44,DI44)</f>
        <v/>
      </c>
      <c r="DL44" s="984">
        <f>SUM(CN44,CP44,CR44,CT44,CV44,CX44,CZ44,DB44,DD44,DF44,DH44,DJ44)</f>
        <v/>
      </c>
      <c r="DP44" s="88">
        <f>DO44-CK44</f>
        <v/>
      </c>
      <c r="DQ44" s="1005">
        <f>DN44/CF44*100-100</f>
        <v/>
      </c>
      <c r="DR44" s="1005">
        <f>DN44/CH44*100-100</f>
        <v/>
      </c>
      <c r="DW44" s="52">
        <f>DV44*5</f>
        <v/>
      </c>
    </row>
    <row r="45" hidden="1">
      <c r="A45" s="7" t="n">
        <v>116</v>
      </c>
      <c r="B45" s="8" t="inlineStr">
        <is>
          <t>Blended Whisky 700ml</t>
        </is>
      </c>
      <c r="C45" s="8" t="inlineStr">
        <is>
          <t>ပုလင်း</t>
        </is>
      </c>
      <c r="D45" s="7" t="n">
        <v>0.7</v>
      </c>
      <c r="E45" s="7" t="inlineStr">
        <is>
          <t>1 * 12</t>
        </is>
      </c>
      <c r="F45" s="7" t="n"/>
      <c r="G45" s="975" t="n"/>
      <c r="H45" s="976">
        <f>G45*$D45</f>
        <v/>
      </c>
      <c r="I45" s="975" t="n"/>
      <c r="J45" s="976">
        <f>I45*$D45</f>
        <v/>
      </c>
      <c r="K45" s="975" t="n"/>
      <c r="L45" s="976">
        <f>K45*$D45</f>
        <v/>
      </c>
      <c r="M45" s="975" t="n"/>
      <c r="N45" s="976">
        <f>M45*$D45</f>
        <v/>
      </c>
      <c r="O45" s="975" t="n"/>
      <c r="P45" s="976">
        <f>O45*$D45</f>
        <v/>
      </c>
      <c r="Q45" s="975" t="n"/>
      <c r="R45" s="976">
        <f>Q45*$D45</f>
        <v/>
      </c>
      <c r="S45" s="975" t="n"/>
      <c r="T45" s="976">
        <f>S45*$D45</f>
        <v/>
      </c>
      <c r="U45" s="975" t="n"/>
      <c r="V45" s="976">
        <f>U45*$D45</f>
        <v/>
      </c>
      <c r="W45" s="975" t="n"/>
      <c r="X45" s="976">
        <f>W45*$D45</f>
        <v/>
      </c>
      <c r="Y45" s="975" t="n"/>
      <c r="Z45" s="976">
        <f>Y45*$D45</f>
        <v/>
      </c>
      <c r="AA45" s="975" t="n"/>
      <c r="AB45" s="976">
        <f>AA45*$D45</f>
        <v/>
      </c>
      <c r="AC45" s="975" t="n"/>
      <c r="AD45" s="976">
        <f>AC45*$D45</f>
        <v/>
      </c>
      <c r="AE45" s="977">
        <f>(AC45+AA45+Y45+W45+U45+S45+Q45+O45+M45+K45+I45+G45)/12</f>
        <v/>
      </c>
      <c r="AF45" s="978">
        <f>AE45*$D45</f>
        <v/>
      </c>
      <c r="AG45" s="975" t="n"/>
      <c r="AH45" s="976">
        <f>AG45*$D45</f>
        <v/>
      </c>
      <c r="AI45" s="975" t="n"/>
      <c r="AJ45" s="976">
        <f>AI45*$D45</f>
        <v/>
      </c>
      <c r="AK45" s="975" t="n"/>
      <c r="AL45" s="976">
        <f>AK45*$D45</f>
        <v/>
      </c>
      <c r="AM45" s="975" t="n"/>
      <c r="AN45" s="976">
        <f>AM45*$D45</f>
        <v/>
      </c>
      <c r="AO45" s="975" t="n"/>
      <c r="AP45" s="976">
        <f>AO45*$D45</f>
        <v/>
      </c>
      <c r="AQ45" s="975" t="n"/>
      <c r="AR45" s="976">
        <f>AQ45*$D45</f>
        <v/>
      </c>
      <c r="AS45" s="975" t="n"/>
      <c r="AT45" s="976">
        <f>AS45*$D45</f>
        <v/>
      </c>
      <c r="AU45" s="975" t="n"/>
      <c r="AV45" s="976">
        <f>AU45*$D45</f>
        <v/>
      </c>
      <c r="AW45" s="975" t="n"/>
      <c r="AX45" s="976">
        <f>AW45*$D45</f>
        <v/>
      </c>
      <c r="AY45" s="975" t="n"/>
      <c r="AZ45" s="976">
        <f>AY45*$D45</f>
        <v/>
      </c>
      <c r="BA45" s="975" t="n"/>
      <c r="BB45" s="976">
        <f>BA45*$D45</f>
        <v/>
      </c>
      <c r="BC45" s="975" t="n"/>
      <c r="BD45" s="976">
        <f>BC45*$D45</f>
        <v/>
      </c>
      <c r="BE45" s="977">
        <f>(BC45+BA45+AY45+AW45+AU45+AS45+AQ45+AO45+AM45+AK45+AI45+AG45)/12</f>
        <v/>
      </c>
      <c r="BF45" s="978">
        <f>BE45*$D45</f>
        <v/>
      </c>
      <c r="BG45" s="975" t="n"/>
      <c r="BH45" s="976">
        <f>BG45*$D45</f>
        <v/>
      </c>
      <c r="BI45" s="975" t="n"/>
      <c r="BJ45" s="976">
        <f>BI45*$D45</f>
        <v/>
      </c>
      <c r="BK45" s="975" t="n"/>
      <c r="BL45" s="976">
        <f>BK45*$D45</f>
        <v/>
      </c>
      <c r="BM45" s="975" t="n"/>
      <c r="BN45" s="976">
        <f>BM45*$D45</f>
        <v/>
      </c>
      <c r="BO45" s="975" t="n"/>
      <c r="BP45" s="976">
        <f>BO45*$D45</f>
        <v/>
      </c>
      <c r="BQ45" s="975" t="n"/>
      <c r="BR45" s="976">
        <f>BQ45*$D45</f>
        <v/>
      </c>
      <c r="BS45" s="975" t="n"/>
      <c r="BT45" s="976">
        <f>BS45*$D45</f>
        <v/>
      </c>
      <c r="BU45" s="975" t="n"/>
      <c r="BV45" s="976">
        <f>BU45*$D45</f>
        <v/>
      </c>
      <c r="BW45" s="975" t="n"/>
      <c r="BX45" s="976">
        <f>BW45*$D45</f>
        <v/>
      </c>
      <c r="BY45" s="975" t="n"/>
      <c r="BZ45" s="976">
        <f>BY45*$D45</f>
        <v/>
      </c>
      <c r="CA45" s="975" t="n"/>
      <c r="CB45" s="976">
        <f>CA45*$D45</f>
        <v/>
      </c>
      <c r="CC45" s="975" t="n"/>
      <c r="CD45" s="976">
        <f>CC45*$D45</f>
        <v/>
      </c>
      <c r="CE45" s="979">
        <f>(BG45+BI45+BK45+BM45+BO45)/5</f>
        <v/>
      </c>
      <c r="CF45" s="976">
        <f>(BH45+BJ45+BL45+BN45+BP45)/5</f>
        <v/>
      </c>
      <c r="CG45" s="977">
        <f>(CC45+CA45+BY45+BW45+BU45+BS45+BQ45+BO45+BM45+BK45+BI45+BG45)/12</f>
        <v/>
      </c>
      <c r="CH45" s="978">
        <f>CG45*$D45</f>
        <v/>
      </c>
      <c r="CI45" s="980" t="n"/>
      <c r="CJ45" s="976">
        <f>CI45*$D45</f>
        <v/>
      </c>
      <c r="CK45" s="15" t="n"/>
      <c r="CL45" s="15" t="n"/>
      <c r="CM45" s="982" t="n"/>
      <c r="CN45" s="976">
        <f>CM45*$D45</f>
        <v/>
      </c>
      <c r="CO45" s="982" t="n"/>
      <c r="CP45" s="15">
        <f>CO45*$D45</f>
        <v/>
      </c>
      <c r="CQ45" s="982" t="n"/>
      <c r="CR45" s="15">
        <f>CQ45*$D45</f>
        <v/>
      </c>
      <c r="CS45" s="982" t="n"/>
      <c r="CT45" s="15">
        <f>CS45*$D45</f>
        <v/>
      </c>
      <c r="CU45" s="982" t="n"/>
      <c r="CV45" s="15">
        <f>CU45*$D45</f>
        <v/>
      </c>
      <c r="CW45" s="982" t="n"/>
      <c r="CX45" s="15">
        <f>CW45*$D45</f>
        <v/>
      </c>
      <c r="CY45" s="982" t="n"/>
      <c r="CZ45" s="15">
        <f>CY45*$D45</f>
        <v/>
      </c>
      <c r="DA45" s="982" t="n"/>
      <c r="DB45" s="15">
        <f>DA45*$D45</f>
        <v/>
      </c>
      <c r="DC45" s="982" t="n"/>
      <c r="DD45" s="15">
        <f>DC45*$D45</f>
        <v/>
      </c>
      <c r="DE45" s="982" t="n"/>
      <c r="DF45" s="15">
        <f>DE45*$D45</f>
        <v/>
      </c>
      <c r="DG45" s="982" t="n"/>
      <c r="DH45" s="15">
        <f>DG45*$D45</f>
        <v/>
      </c>
      <c r="DI45" s="982" t="n"/>
      <c r="DJ45" s="15">
        <f>DI45*$D45</f>
        <v/>
      </c>
      <c r="DK45" s="983">
        <f>SUM(CM45,CO45,CQ45,CS45,CU45,CW45,CY45,DA45,DC45,DE45,DG45,DI45)</f>
        <v/>
      </c>
      <c r="DL45" s="984">
        <f>SUM(CN45,CP45,CR45,CT45,CV45,CX45,CZ45,DB45,DD45,DF45,DH45,DJ45)</f>
        <v/>
      </c>
      <c r="DP45" s="88">
        <f>DO45-CK45</f>
        <v/>
      </c>
      <c r="DQ45" s="1005">
        <f>DN45/CF45*100-100</f>
        <v/>
      </c>
      <c r="DR45" s="1005">
        <f>DN45/CH45*100-100</f>
        <v/>
      </c>
      <c r="DW45" s="52">
        <f>DV45*5</f>
        <v/>
      </c>
    </row>
    <row r="46" hidden="1">
      <c r="A46" s="7" t="n">
        <v>117</v>
      </c>
      <c r="B46" s="8" t="inlineStr">
        <is>
          <t>Blended Whisky 350ml</t>
        </is>
      </c>
      <c r="C46" s="8" t="inlineStr">
        <is>
          <t>ပုလင်း</t>
        </is>
      </c>
      <c r="D46" s="7" t="n">
        <v>0.35</v>
      </c>
      <c r="E46" s="7" t="inlineStr">
        <is>
          <t>1 * 24</t>
        </is>
      </c>
      <c r="F46" s="7" t="n"/>
      <c r="G46" s="975" t="n"/>
      <c r="H46" s="976">
        <f>G46*$D46</f>
        <v/>
      </c>
      <c r="I46" s="975" t="n"/>
      <c r="J46" s="976">
        <f>I46*$D46</f>
        <v/>
      </c>
      <c r="K46" s="975" t="n"/>
      <c r="L46" s="976">
        <f>K46*$D46</f>
        <v/>
      </c>
      <c r="M46" s="975" t="n"/>
      <c r="N46" s="976">
        <f>M46*$D46</f>
        <v/>
      </c>
      <c r="O46" s="975" t="n"/>
      <c r="P46" s="976">
        <f>O46*$D46</f>
        <v/>
      </c>
      <c r="Q46" s="975" t="n"/>
      <c r="R46" s="976">
        <f>Q46*$D46</f>
        <v/>
      </c>
      <c r="S46" s="975" t="n"/>
      <c r="T46" s="976">
        <f>S46*$D46</f>
        <v/>
      </c>
      <c r="U46" s="975" t="n"/>
      <c r="V46" s="976">
        <f>U46*$D46</f>
        <v/>
      </c>
      <c r="W46" s="975" t="n"/>
      <c r="X46" s="976">
        <f>W46*$D46</f>
        <v/>
      </c>
      <c r="Y46" s="975" t="n"/>
      <c r="Z46" s="976">
        <f>Y46*$D46</f>
        <v/>
      </c>
      <c r="AA46" s="975" t="n"/>
      <c r="AB46" s="976">
        <f>AA46*$D46</f>
        <v/>
      </c>
      <c r="AC46" s="975" t="n"/>
      <c r="AD46" s="976">
        <f>AC46*$D46</f>
        <v/>
      </c>
      <c r="AE46" s="977">
        <f>(AC46+AA46+Y46+W46+U46+S46+Q46+O46+M46+K46+I46+G46)/12</f>
        <v/>
      </c>
      <c r="AF46" s="978">
        <f>AE46*$D46</f>
        <v/>
      </c>
      <c r="AG46" s="975" t="n"/>
      <c r="AH46" s="976">
        <f>AG46*$D46</f>
        <v/>
      </c>
      <c r="AI46" s="975" t="n"/>
      <c r="AJ46" s="976">
        <f>AI46*$D46</f>
        <v/>
      </c>
      <c r="AK46" s="975" t="n"/>
      <c r="AL46" s="976">
        <f>AK46*$D46</f>
        <v/>
      </c>
      <c r="AM46" s="975" t="n"/>
      <c r="AN46" s="976">
        <f>AM46*$D46</f>
        <v/>
      </c>
      <c r="AO46" s="975" t="n"/>
      <c r="AP46" s="976">
        <f>AO46*$D46</f>
        <v/>
      </c>
      <c r="AQ46" s="975" t="n"/>
      <c r="AR46" s="976">
        <f>AQ46*$D46</f>
        <v/>
      </c>
      <c r="AS46" s="975" t="n"/>
      <c r="AT46" s="976">
        <f>AS46*$D46</f>
        <v/>
      </c>
      <c r="AU46" s="975" t="n"/>
      <c r="AV46" s="976">
        <f>AU46*$D46</f>
        <v/>
      </c>
      <c r="AW46" s="975" t="n"/>
      <c r="AX46" s="976">
        <f>AW46*$D46</f>
        <v/>
      </c>
      <c r="AY46" s="975" t="n"/>
      <c r="AZ46" s="976">
        <f>AY46*$D46</f>
        <v/>
      </c>
      <c r="BA46" s="975" t="n"/>
      <c r="BB46" s="976">
        <f>BA46*$D46</f>
        <v/>
      </c>
      <c r="BC46" s="975" t="n"/>
      <c r="BD46" s="976">
        <f>BC46*$D46</f>
        <v/>
      </c>
      <c r="BE46" s="977">
        <f>(BC46+BA46+AY46+AW46+AU46+AS46+AQ46+AO46+AM46+AK46+AI46+AG46)/12</f>
        <v/>
      </c>
      <c r="BF46" s="978">
        <f>BE46*$D46</f>
        <v/>
      </c>
      <c r="BG46" s="975" t="n"/>
      <c r="BH46" s="976">
        <f>BG46*$D46</f>
        <v/>
      </c>
      <c r="BI46" s="975" t="n"/>
      <c r="BJ46" s="976">
        <f>BI46*$D46</f>
        <v/>
      </c>
      <c r="BK46" s="975" t="n"/>
      <c r="BL46" s="976">
        <f>BK46*$D46</f>
        <v/>
      </c>
      <c r="BM46" s="975" t="n"/>
      <c r="BN46" s="976">
        <f>BM46*$D46</f>
        <v/>
      </c>
      <c r="BO46" s="975" t="n"/>
      <c r="BP46" s="976">
        <f>BO46*$D46</f>
        <v/>
      </c>
      <c r="BQ46" s="975" t="n"/>
      <c r="BR46" s="976">
        <f>BQ46*$D46</f>
        <v/>
      </c>
      <c r="BS46" s="975" t="n"/>
      <c r="BT46" s="976">
        <f>BS46*$D46</f>
        <v/>
      </c>
      <c r="BU46" s="975" t="n"/>
      <c r="BV46" s="976">
        <f>BU46*$D46</f>
        <v/>
      </c>
      <c r="BW46" s="975" t="n"/>
      <c r="BX46" s="976">
        <f>BW46*$D46</f>
        <v/>
      </c>
      <c r="BY46" s="975" t="n"/>
      <c r="BZ46" s="976">
        <f>BY46*$D46</f>
        <v/>
      </c>
      <c r="CA46" s="975" t="n"/>
      <c r="CB46" s="976">
        <f>CA46*$D46</f>
        <v/>
      </c>
      <c r="CC46" s="975" t="n"/>
      <c r="CD46" s="976">
        <f>CC46*$D46</f>
        <v/>
      </c>
      <c r="CE46" s="979">
        <f>(BG46+BI46+BK46+BM46+BO46)/5</f>
        <v/>
      </c>
      <c r="CF46" s="976">
        <f>(BH46+BJ46+BL46+BN46+BP46)/5</f>
        <v/>
      </c>
      <c r="CG46" s="977">
        <f>(CC46+CA46+BY46+BW46+BU46+BS46+BQ46+BO46+BM46+BK46+BI46+BG46)/12</f>
        <v/>
      </c>
      <c r="CH46" s="978">
        <f>CG46*$D46</f>
        <v/>
      </c>
      <c r="CI46" s="980" t="n"/>
      <c r="CJ46" s="976">
        <f>CI46*$D46</f>
        <v/>
      </c>
      <c r="CK46" s="15" t="n"/>
      <c r="CL46" s="15" t="n"/>
      <c r="CM46" s="982" t="n"/>
      <c r="CN46" s="976">
        <f>CM46*$D46</f>
        <v/>
      </c>
      <c r="CO46" s="982" t="n"/>
      <c r="CP46" s="15">
        <f>CO46*$D46</f>
        <v/>
      </c>
      <c r="CQ46" s="982" t="n"/>
      <c r="CR46" s="15">
        <f>CQ46*$D46</f>
        <v/>
      </c>
      <c r="CS46" s="982" t="n"/>
      <c r="CT46" s="15">
        <f>CS46*$D46</f>
        <v/>
      </c>
      <c r="CU46" s="982" t="n"/>
      <c r="CV46" s="15">
        <f>CU46*$D46</f>
        <v/>
      </c>
      <c r="CW46" s="982" t="n"/>
      <c r="CX46" s="15">
        <f>CW46*$D46</f>
        <v/>
      </c>
      <c r="CY46" s="982" t="n"/>
      <c r="CZ46" s="15">
        <f>CY46*$D46</f>
        <v/>
      </c>
      <c r="DA46" s="982" t="n"/>
      <c r="DB46" s="15">
        <f>DA46*$D46</f>
        <v/>
      </c>
      <c r="DC46" s="982" t="n"/>
      <c r="DD46" s="15">
        <f>DC46*$D46</f>
        <v/>
      </c>
      <c r="DE46" s="982" t="n"/>
      <c r="DF46" s="15">
        <f>DE46*$D46</f>
        <v/>
      </c>
      <c r="DG46" s="982" t="n"/>
      <c r="DH46" s="15">
        <f>DG46*$D46</f>
        <v/>
      </c>
      <c r="DI46" s="982" t="n"/>
      <c r="DJ46" s="15">
        <f>DI46*$D46</f>
        <v/>
      </c>
      <c r="DK46" s="983">
        <f>SUM(CM46,CO46,CQ46,CS46,CU46,CW46,CY46,DA46,DC46,DE46,DG46,DI46)</f>
        <v/>
      </c>
      <c r="DL46" s="984">
        <f>SUM(CN46,CP46,CR46,CT46,CV46,CX46,CZ46,DB46,DD46,DF46,DH46,DJ46)</f>
        <v/>
      </c>
      <c r="DP46" s="88">
        <f>DO46-CK46</f>
        <v/>
      </c>
      <c r="DQ46" s="1005">
        <f>DN46/CF46*100-100</f>
        <v/>
      </c>
      <c r="DR46" s="1005">
        <f>DN46/CH46*100-100</f>
        <v/>
      </c>
      <c r="DW46" s="52">
        <f>DV46*5</f>
        <v/>
      </c>
    </row>
    <row r="47" hidden="1">
      <c r="A47" s="7" t="n">
        <v>118</v>
      </c>
      <c r="B47" s="8" t="inlineStr">
        <is>
          <t>Simple Whisky 700 ML</t>
        </is>
      </c>
      <c r="C47" s="8" t="inlineStr">
        <is>
          <t>ပုလင်း</t>
        </is>
      </c>
      <c r="D47" s="7" t="n">
        <v>0.7</v>
      </c>
      <c r="E47" s="7" t="inlineStr">
        <is>
          <t>1 * 12</t>
        </is>
      </c>
      <c r="F47" s="7" t="n"/>
      <c r="G47" s="975" t="n"/>
      <c r="H47" s="976">
        <f>G47*$D47</f>
        <v/>
      </c>
      <c r="I47" s="975" t="n"/>
      <c r="J47" s="976">
        <f>I47*$D47</f>
        <v/>
      </c>
      <c r="K47" s="975" t="n"/>
      <c r="L47" s="976">
        <f>K47*$D47</f>
        <v/>
      </c>
      <c r="M47" s="975" t="n"/>
      <c r="N47" s="976">
        <f>M47*$D47</f>
        <v/>
      </c>
      <c r="O47" s="975" t="n"/>
      <c r="P47" s="976">
        <f>O47*$D47</f>
        <v/>
      </c>
      <c r="Q47" s="975" t="n"/>
      <c r="R47" s="976">
        <f>Q47*$D47</f>
        <v/>
      </c>
      <c r="S47" s="975" t="n"/>
      <c r="T47" s="976">
        <f>S47*$D47</f>
        <v/>
      </c>
      <c r="U47" s="975" t="n"/>
      <c r="V47" s="976">
        <f>U47*$D47</f>
        <v/>
      </c>
      <c r="W47" s="975" t="n"/>
      <c r="X47" s="976">
        <f>W47*$D47</f>
        <v/>
      </c>
      <c r="Y47" s="975" t="n"/>
      <c r="Z47" s="976">
        <f>Y47*$D47</f>
        <v/>
      </c>
      <c r="AA47" s="975" t="n"/>
      <c r="AB47" s="976">
        <f>AA47*$D47</f>
        <v/>
      </c>
      <c r="AC47" s="975" t="n"/>
      <c r="AD47" s="976">
        <f>AC47*$D47</f>
        <v/>
      </c>
      <c r="AE47" s="977">
        <f>(AC47+AA47+Y47+W47+U47+S47+Q47+O47+M47+K47+I47+G47)/12</f>
        <v/>
      </c>
      <c r="AF47" s="978">
        <f>AE47*$D47</f>
        <v/>
      </c>
      <c r="AG47" s="975" t="n"/>
      <c r="AH47" s="976">
        <f>AG47*$D47</f>
        <v/>
      </c>
      <c r="AI47" s="975" t="n"/>
      <c r="AJ47" s="976">
        <f>AI47*$D47</f>
        <v/>
      </c>
      <c r="AK47" s="975" t="n"/>
      <c r="AL47" s="976">
        <f>AK47*$D47</f>
        <v/>
      </c>
      <c r="AM47" s="975" t="n"/>
      <c r="AN47" s="976">
        <f>AM47*$D47</f>
        <v/>
      </c>
      <c r="AO47" s="975" t="n"/>
      <c r="AP47" s="976">
        <f>AO47*$D47</f>
        <v/>
      </c>
      <c r="AQ47" s="975" t="n"/>
      <c r="AR47" s="976">
        <f>AQ47*$D47</f>
        <v/>
      </c>
      <c r="AS47" s="975" t="n"/>
      <c r="AT47" s="976">
        <f>AS47*$D47</f>
        <v/>
      </c>
      <c r="AU47" s="975" t="n"/>
      <c r="AV47" s="976">
        <f>AU47*$D47</f>
        <v/>
      </c>
      <c r="AW47" s="975" t="n"/>
      <c r="AX47" s="976">
        <f>AW47*$D47</f>
        <v/>
      </c>
      <c r="AY47" s="975" t="n"/>
      <c r="AZ47" s="976">
        <f>AY47*$D47</f>
        <v/>
      </c>
      <c r="BA47" s="975" t="n"/>
      <c r="BB47" s="976">
        <f>BA47*$D47</f>
        <v/>
      </c>
      <c r="BC47" s="975" t="n"/>
      <c r="BD47" s="976">
        <f>BC47*$D47</f>
        <v/>
      </c>
      <c r="BE47" s="977">
        <f>(BC47+BA47+AY47+AW47+AU47+AS47+AQ47+AO47+AM47+AK47+AI47+AG47)/12</f>
        <v/>
      </c>
      <c r="BF47" s="978">
        <f>BE47*$D47</f>
        <v/>
      </c>
      <c r="BG47" s="975" t="n"/>
      <c r="BH47" s="976">
        <f>BG47*$D47</f>
        <v/>
      </c>
      <c r="BI47" s="975" t="n"/>
      <c r="BJ47" s="976">
        <f>BI47*$D47</f>
        <v/>
      </c>
      <c r="BK47" s="975" t="n"/>
      <c r="BL47" s="976">
        <f>BK47*$D47</f>
        <v/>
      </c>
      <c r="BM47" s="975" t="n"/>
      <c r="BN47" s="976">
        <f>BM47*$D47</f>
        <v/>
      </c>
      <c r="BO47" s="975" t="n"/>
      <c r="BP47" s="976">
        <f>BO47*$D47</f>
        <v/>
      </c>
      <c r="BQ47" s="975" t="n"/>
      <c r="BR47" s="976">
        <f>BQ47*$D47</f>
        <v/>
      </c>
      <c r="BS47" s="975" t="n"/>
      <c r="BT47" s="976">
        <f>BS47*$D47</f>
        <v/>
      </c>
      <c r="BU47" s="975" t="n"/>
      <c r="BV47" s="976">
        <f>BU47*$D47</f>
        <v/>
      </c>
      <c r="BW47" s="975" t="n"/>
      <c r="BX47" s="976">
        <f>BW47*$D47</f>
        <v/>
      </c>
      <c r="BY47" s="975" t="n"/>
      <c r="BZ47" s="976">
        <f>BY47*$D47</f>
        <v/>
      </c>
      <c r="CA47" s="975" t="n">
        <v>9</v>
      </c>
      <c r="CB47" s="976">
        <f>CA47*$D47</f>
        <v/>
      </c>
      <c r="CC47" s="975" t="n"/>
      <c r="CD47" s="976">
        <f>CC47*$D47</f>
        <v/>
      </c>
      <c r="CE47" s="979">
        <f>(BG47+BI47+BK47+BM47+BO47)/5</f>
        <v/>
      </c>
      <c r="CF47" s="976">
        <f>(BH47+BJ47+BL47+BN47+BP47)/5</f>
        <v/>
      </c>
      <c r="CG47" s="977">
        <f>(CC47+CA47+BY47+BW47+BU47+BS47+BQ47+BO47+BM47+BK47+BI47+BG47)/12</f>
        <v/>
      </c>
      <c r="CH47" s="978">
        <f>CG47*$D47</f>
        <v/>
      </c>
      <c r="CI47" s="980" t="n"/>
      <c r="CJ47" s="976">
        <f>CI47*$D47</f>
        <v/>
      </c>
      <c r="CK47" s="15" t="n"/>
      <c r="CL47" s="15" t="n"/>
      <c r="CM47" s="982" t="n"/>
      <c r="CN47" s="976">
        <f>CM47*$D47</f>
        <v/>
      </c>
      <c r="CO47" s="982" t="n"/>
      <c r="CP47" s="15">
        <f>CO47*$D47</f>
        <v/>
      </c>
      <c r="CQ47" s="982" t="n"/>
      <c r="CR47" s="15">
        <f>CQ47*$D47</f>
        <v/>
      </c>
      <c r="CS47" s="982" t="n"/>
      <c r="CT47" s="15">
        <f>CS47*$D47</f>
        <v/>
      </c>
      <c r="CU47" s="982" t="n"/>
      <c r="CV47" s="15">
        <f>CU47*$D47</f>
        <v/>
      </c>
      <c r="CW47" s="982" t="n"/>
      <c r="CX47" s="15">
        <f>CW47*$D47</f>
        <v/>
      </c>
      <c r="CY47" s="982" t="n"/>
      <c r="CZ47" s="15">
        <f>CY47*$D47</f>
        <v/>
      </c>
      <c r="DA47" s="982" t="n"/>
      <c r="DB47" s="15">
        <f>DA47*$D47</f>
        <v/>
      </c>
      <c r="DC47" s="982" t="n"/>
      <c r="DD47" s="15">
        <f>DC47*$D47</f>
        <v/>
      </c>
      <c r="DE47" s="982" t="n"/>
      <c r="DF47" s="15">
        <f>DE47*$D47</f>
        <v/>
      </c>
      <c r="DG47" s="982" t="n"/>
      <c r="DH47" s="15">
        <f>DG47*$D47</f>
        <v/>
      </c>
      <c r="DI47" s="982" t="n"/>
      <c r="DJ47" s="15">
        <f>DI47*$D47</f>
        <v/>
      </c>
      <c r="DK47" s="983">
        <f>SUM(CM47,CO47,CQ47,CS47,CU47,CW47,CY47,DA47,DC47,DE47,DG47,DI47)</f>
        <v/>
      </c>
      <c r="DL47" s="984">
        <f>SUM(CN47,CP47,CR47,CT47,CV47,CX47,CZ47,DB47,DD47,DF47,DH47,DJ47)</f>
        <v/>
      </c>
      <c r="DP47" s="88">
        <f>DO47-CK47</f>
        <v/>
      </c>
      <c r="DQ47" s="1005">
        <f>DN47/CF47*100-100</f>
        <v/>
      </c>
      <c r="DR47" s="1005">
        <f>DN47/CH47*100-100</f>
        <v/>
      </c>
      <c r="DW47" s="52">
        <f>DV47*5</f>
        <v/>
      </c>
    </row>
    <row r="48" hidden="1">
      <c r="A48" s="7" t="n">
        <v>119</v>
      </c>
      <c r="B48" s="8" t="inlineStr">
        <is>
          <t>Simple Whisky 350 ML</t>
        </is>
      </c>
      <c r="C48" s="8" t="inlineStr">
        <is>
          <t>ပုလင်း</t>
        </is>
      </c>
      <c r="D48" s="7" t="n">
        <v>0.35</v>
      </c>
      <c r="E48" s="7" t="inlineStr">
        <is>
          <t>1 * 24</t>
        </is>
      </c>
      <c r="F48" s="7" t="n"/>
      <c r="G48" s="975" t="n"/>
      <c r="H48" s="976">
        <f>G48*$D48</f>
        <v/>
      </c>
      <c r="I48" s="975" t="n"/>
      <c r="J48" s="976">
        <f>I48*$D48</f>
        <v/>
      </c>
      <c r="K48" s="975" t="n"/>
      <c r="L48" s="976">
        <f>K48*$D48</f>
        <v/>
      </c>
      <c r="M48" s="975" t="n"/>
      <c r="N48" s="976">
        <f>M48*$D48</f>
        <v/>
      </c>
      <c r="O48" s="975" t="n"/>
      <c r="P48" s="976">
        <f>O48*$D48</f>
        <v/>
      </c>
      <c r="Q48" s="975" t="n"/>
      <c r="R48" s="976">
        <f>Q48*$D48</f>
        <v/>
      </c>
      <c r="S48" s="975" t="n"/>
      <c r="T48" s="976">
        <f>S48*$D48</f>
        <v/>
      </c>
      <c r="U48" s="975" t="n"/>
      <c r="V48" s="976">
        <f>U48*$D48</f>
        <v/>
      </c>
      <c r="W48" s="975" t="n"/>
      <c r="X48" s="976">
        <f>W48*$D48</f>
        <v/>
      </c>
      <c r="Y48" s="975" t="n"/>
      <c r="Z48" s="976">
        <f>Y48*$D48</f>
        <v/>
      </c>
      <c r="AA48" s="975" t="n"/>
      <c r="AB48" s="976">
        <f>AA48*$D48</f>
        <v/>
      </c>
      <c r="AC48" s="975" t="n"/>
      <c r="AD48" s="976">
        <f>AC48*$D48</f>
        <v/>
      </c>
      <c r="AE48" s="977">
        <f>(AC48+AA48+Y48+W48+U48+S48+Q48+O48+M48+K48+I48+G48)/12</f>
        <v/>
      </c>
      <c r="AF48" s="978">
        <f>AE48*$D48</f>
        <v/>
      </c>
      <c r="AG48" s="975" t="n"/>
      <c r="AH48" s="976">
        <f>AG48*$D48</f>
        <v/>
      </c>
      <c r="AI48" s="975" t="n"/>
      <c r="AJ48" s="976">
        <f>AI48*$D48</f>
        <v/>
      </c>
      <c r="AK48" s="975" t="n"/>
      <c r="AL48" s="976">
        <f>AK48*$D48</f>
        <v/>
      </c>
      <c r="AM48" s="975" t="n"/>
      <c r="AN48" s="976">
        <f>AM48*$D48</f>
        <v/>
      </c>
      <c r="AO48" s="975" t="n"/>
      <c r="AP48" s="976">
        <f>AO48*$D48</f>
        <v/>
      </c>
      <c r="AQ48" s="975" t="n"/>
      <c r="AR48" s="976">
        <f>AQ48*$D48</f>
        <v/>
      </c>
      <c r="AS48" s="975" t="n"/>
      <c r="AT48" s="976">
        <f>AS48*$D48</f>
        <v/>
      </c>
      <c r="AU48" s="975" t="n"/>
      <c r="AV48" s="976">
        <f>AU48*$D48</f>
        <v/>
      </c>
      <c r="AW48" s="975" t="n"/>
      <c r="AX48" s="976">
        <f>AW48*$D48</f>
        <v/>
      </c>
      <c r="AY48" s="975" t="n"/>
      <c r="AZ48" s="976">
        <f>AY48*$D48</f>
        <v/>
      </c>
      <c r="BA48" s="975" t="n"/>
      <c r="BB48" s="976">
        <f>BA48*$D48</f>
        <v/>
      </c>
      <c r="BC48" s="975" t="n"/>
      <c r="BD48" s="976">
        <f>BC48*$D48</f>
        <v/>
      </c>
      <c r="BE48" s="977">
        <f>(BC48+BA48+AY48+AW48+AU48+AS48+AQ48+AO48+AM48+AK48+AI48+AG48)/12</f>
        <v/>
      </c>
      <c r="BF48" s="978">
        <f>BE48*$D48</f>
        <v/>
      </c>
      <c r="BG48" s="975" t="n"/>
      <c r="BH48" s="976">
        <f>BG48*$D48</f>
        <v/>
      </c>
      <c r="BI48" s="975" t="n"/>
      <c r="BJ48" s="976">
        <f>BI48*$D48</f>
        <v/>
      </c>
      <c r="BK48" s="975" t="n"/>
      <c r="BL48" s="976">
        <f>BK48*$D48</f>
        <v/>
      </c>
      <c r="BM48" s="975" t="n"/>
      <c r="BN48" s="976">
        <f>BM48*$D48</f>
        <v/>
      </c>
      <c r="BO48" s="975" t="n"/>
      <c r="BP48" s="976">
        <f>BO48*$D48</f>
        <v/>
      </c>
      <c r="BQ48" s="975" t="n"/>
      <c r="BR48" s="976">
        <f>BQ48*$D48</f>
        <v/>
      </c>
      <c r="BS48" s="975" t="n"/>
      <c r="BT48" s="976">
        <f>BS48*$D48</f>
        <v/>
      </c>
      <c r="BU48" s="975" t="n"/>
      <c r="BV48" s="976">
        <f>BU48*$D48</f>
        <v/>
      </c>
      <c r="BW48" s="975" t="n"/>
      <c r="BX48" s="976">
        <f>BW48*$D48</f>
        <v/>
      </c>
      <c r="BY48" s="975" t="n"/>
      <c r="BZ48" s="976">
        <f>BY48*$D48</f>
        <v/>
      </c>
      <c r="CA48" s="975" t="n">
        <v>76</v>
      </c>
      <c r="CB48" s="976">
        <f>CA48*$D48</f>
        <v/>
      </c>
      <c r="CC48" s="975" t="n"/>
      <c r="CD48" s="976">
        <f>CC48*$D48</f>
        <v/>
      </c>
      <c r="CE48" s="979">
        <f>(BG48+BI48+BK48+BM48+BO48)/5</f>
        <v/>
      </c>
      <c r="CF48" s="976">
        <f>(BH48+BJ48+BL48+BN48+BP48)/5</f>
        <v/>
      </c>
      <c r="CG48" s="977">
        <f>(CC48+CA48+BY48+BW48+BU48+BS48+BQ48+BO48+BM48+BK48+BI48+BG48)/12</f>
        <v/>
      </c>
      <c r="CH48" s="978">
        <f>CG48*$D48</f>
        <v/>
      </c>
      <c r="CI48" s="980" t="n"/>
      <c r="CJ48" s="976">
        <f>CI48*$D48</f>
        <v/>
      </c>
      <c r="CK48" s="15" t="n"/>
      <c r="CL48" s="15" t="n"/>
      <c r="CM48" s="982" t="n"/>
      <c r="CN48" s="976">
        <f>CM48*$D48</f>
        <v/>
      </c>
      <c r="CO48" s="982" t="n"/>
      <c r="CP48" s="15">
        <f>CO48*$D48</f>
        <v/>
      </c>
      <c r="CQ48" s="982" t="n"/>
      <c r="CR48" s="15">
        <f>CQ48*$D48</f>
        <v/>
      </c>
      <c r="CS48" s="982" t="n"/>
      <c r="CT48" s="15">
        <f>CS48*$D48</f>
        <v/>
      </c>
      <c r="CU48" s="982" t="n"/>
      <c r="CV48" s="15">
        <f>CU48*$D48</f>
        <v/>
      </c>
      <c r="CW48" s="982" t="n"/>
      <c r="CX48" s="15">
        <f>CW48*$D48</f>
        <v/>
      </c>
      <c r="CY48" s="982" t="n"/>
      <c r="CZ48" s="15">
        <f>CY48*$D48</f>
        <v/>
      </c>
      <c r="DA48" s="982" t="n"/>
      <c r="DB48" s="15">
        <f>DA48*$D48</f>
        <v/>
      </c>
      <c r="DC48" s="982" t="n"/>
      <c r="DD48" s="15">
        <f>DC48*$D48</f>
        <v/>
      </c>
      <c r="DE48" s="982" t="n"/>
      <c r="DF48" s="15">
        <f>DE48*$D48</f>
        <v/>
      </c>
      <c r="DG48" s="982" t="n"/>
      <c r="DH48" s="15">
        <f>DG48*$D48</f>
        <v/>
      </c>
      <c r="DI48" s="982" t="n"/>
      <c r="DJ48" s="15">
        <f>DI48*$D48</f>
        <v/>
      </c>
      <c r="DK48" s="983">
        <f>SUM(CM48,CO48,CQ48,CS48,CU48,CW48,CY48,DA48,DC48,DE48,DG48,DI48)</f>
        <v/>
      </c>
      <c r="DL48" s="984">
        <f>SUM(CN48,CP48,CR48,CT48,CV48,CX48,CZ48,DB48,DD48,DF48,DH48,DJ48)</f>
        <v/>
      </c>
      <c r="DP48" s="88">
        <f>DO48-CK48</f>
        <v/>
      </c>
      <c r="DQ48" s="1005">
        <f>DN48/CF48*100-100</f>
        <v/>
      </c>
      <c r="DR48" s="1005">
        <f>DN48/CH48*100-100</f>
        <v/>
      </c>
      <c r="DW48" s="52">
        <f>DV48*5</f>
        <v/>
      </c>
    </row>
    <row r="49" hidden="1">
      <c r="A49" s="7" t="n">
        <v>120</v>
      </c>
      <c r="B49" s="20" t="inlineStr">
        <is>
          <t>Golden Triangle</t>
        </is>
      </c>
      <c r="C49" s="20" t="inlineStr">
        <is>
          <t>ပုလင်း</t>
        </is>
      </c>
      <c r="D49" s="7" t="n">
        <v>0.7</v>
      </c>
      <c r="E49" s="30" t="inlineStr">
        <is>
          <t>1*6</t>
        </is>
      </c>
      <c r="F49" s="21" t="n"/>
      <c r="G49" s="975" t="n"/>
      <c r="H49" s="976">
        <f>G49*$D49</f>
        <v/>
      </c>
      <c r="I49" s="975" t="n"/>
      <c r="J49" s="976">
        <f>I49*$D49</f>
        <v/>
      </c>
      <c r="K49" s="975" t="n"/>
      <c r="L49" s="976">
        <f>K49*$D49</f>
        <v/>
      </c>
      <c r="M49" s="975" t="n"/>
      <c r="N49" s="976">
        <f>M49*$D49</f>
        <v/>
      </c>
      <c r="O49" s="975" t="n"/>
      <c r="P49" s="976">
        <f>O49*$D49</f>
        <v/>
      </c>
      <c r="Q49" s="975" t="n"/>
      <c r="R49" s="976">
        <f>Q49*$D49</f>
        <v/>
      </c>
      <c r="S49" s="975" t="n"/>
      <c r="T49" s="976">
        <f>S49*$D49</f>
        <v/>
      </c>
      <c r="U49" s="975" t="n"/>
      <c r="V49" s="976">
        <f>U49*$D49</f>
        <v/>
      </c>
      <c r="W49" s="975" t="n"/>
      <c r="X49" s="976">
        <f>W49*$D49</f>
        <v/>
      </c>
      <c r="Y49" s="975" t="n"/>
      <c r="Z49" s="976">
        <f>Y49*$D49</f>
        <v/>
      </c>
      <c r="AA49" s="975" t="n"/>
      <c r="AB49" s="976">
        <f>AA49*$D49</f>
        <v/>
      </c>
      <c r="AC49" s="975" t="n"/>
      <c r="AD49" s="976">
        <f>AC49*$D49</f>
        <v/>
      </c>
      <c r="AE49" s="977">
        <f>(AC49+AA49+Y49+W49+U49+S49+Q49+O49+M49+K49+I49+G49)/12</f>
        <v/>
      </c>
      <c r="AF49" s="978">
        <f>AE49*$D49</f>
        <v/>
      </c>
      <c r="AG49" s="975" t="n"/>
      <c r="AH49" s="976">
        <f>AG49*$D49</f>
        <v/>
      </c>
      <c r="AI49" s="975" t="n"/>
      <c r="AJ49" s="976">
        <f>AI49*$D49</f>
        <v/>
      </c>
      <c r="AK49" s="975" t="n"/>
      <c r="AL49" s="976">
        <f>AK49*$D49</f>
        <v/>
      </c>
      <c r="AM49" s="975" t="n"/>
      <c r="AN49" s="976">
        <f>AM49*$D49</f>
        <v/>
      </c>
      <c r="AO49" s="975" t="n"/>
      <c r="AP49" s="976">
        <f>AO49*$D49</f>
        <v/>
      </c>
      <c r="AQ49" s="975" t="n"/>
      <c r="AR49" s="976">
        <f>AQ49*$D49</f>
        <v/>
      </c>
      <c r="AS49" s="975" t="n"/>
      <c r="AT49" s="976">
        <f>AS49*$D49</f>
        <v/>
      </c>
      <c r="AU49" s="975" t="n"/>
      <c r="AV49" s="976">
        <f>AU49*$D49</f>
        <v/>
      </c>
      <c r="AW49" s="975" t="n"/>
      <c r="AX49" s="976">
        <f>AW49*$D49</f>
        <v/>
      </c>
      <c r="AY49" s="975" t="n"/>
      <c r="AZ49" s="976">
        <f>AY49*$D49</f>
        <v/>
      </c>
      <c r="BA49" s="975" t="n"/>
      <c r="BB49" s="976">
        <f>BA49*$D49</f>
        <v/>
      </c>
      <c r="BC49" s="975" t="n"/>
      <c r="BD49" s="976">
        <f>BC49*$D49</f>
        <v/>
      </c>
      <c r="BE49" s="977">
        <f>(BC49+BA49+AY49+AW49+AU49+AS49+AQ49+AO49+AM49+AK49+AI49+AG49)/12</f>
        <v/>
      </c>
      <c r="BF49" s="978">
        <f>BE49*$D49</f>
        <v/>
      </c>
      <c r="BG49" s="975" t="n"/>
      <c r="BH49" s="976">
        <f>BG49*$D49</f>
        <v/>
      </c>
      <c r="BI49" s="975" t="n"/>
      <c r="BJ49" s="976">
        <f>BI49*$D49</f>
        <v/>
      </c>
      <c r="BK49" s="975" t="n"/>
      <c r="BL49" s="976">
        <f>BK49*$D49</f>
        <v/>
      </c>
      <c r="BM49" s="975" t="n"/>
      <c r="BN49" s="976">
        <f>BM49*$D49</f>
        <v/>
      </c>
      <c r="BO49" s="975" t="n"/>
      <c r="BP49" s="976">
        <f>BO49*$D49</f>
        <v/>
      </c>
      <c r="BQ49" s="975" t="n"/>
      <c r="BR49" s="976">
        <f>BQ49*$D49</f>
        <v/>
      </c>
      <c r="BS49" s="975" t="n"/>
      <c r="BT49" s="976">
        <f>BS49*$D49</f>
        <v/>
      </c>
      <c r="BU49" s="975" t="n"/>
      <c r="BV49" s="976">
        <f>BU49*$D49</f>
        <v/>
      </c>
      <c r="BW49" s="975" t="n"/>
      <c r="BX49" s="976">
        <f>BW49*$D49</f>
        <v/>
      </c>
      <c r="BY49" s="975" t="n"/>
      <c r="BZ49" s="976">
        <f>BY49*$D49</f>
        <v/>
      </c>
      <c r="CA49" s="975" t="n"/>
      <c r="CB49" s="976">
        <f>CA49*$D49</f>
        <v/>
      </c>
      <c r="CC49" s="975" t="n"/>
      <c r="CD49" s="976">
        <f>CC49*$D49</f>
        <v/>
      </c>
      <c r="CE49" s="979">
        <f>(BG49+BI49+BK49+BM49+BO49)/5</f>
        <v/>
      </c>
      <c r="CF49" s="976">
        <f>(BH49+BJ49+BL49+BN49+BP49)/5</f>
        <v/>
      </c>
      <c r="CG49" s="977">
        <f>(CC49+CA49+BY49+BW49+BU49+BS49+BQ49+BO49+BM49+BK49+BI49+BG49)/12</f>
        <v/>
      </c>
      <c r="CH49" s="978">
        <f>CG49*$D49</f>
        <v/>
      </c>
      <c r="CI49" s="31" t="n"/>
      <c r="CJ49" s="976">
        <f>CI49*$D49</f>
        <v/>
      </c>
      <c r="CK49" s="976" t="n"/>
      <c r="CL49" s="976" t="n"/>
      <c r="CM49" s="975" t="n"/>
      <c r="CN49" s="976">
        <f>CM49*$D49</f>
        <v/>
      </c>
      <c r="CO49" s="975" t="n"/>
      <c r="CP49" s="976">
        <f>CO49*$D49</f>
        <v/>
      </c>
      <c r="CQ49" s="975" t="n"/>
      <c r="CR49" s="976">
        <f>CQ49*$D49</f>
        <v/>
      </c>
      <c r="CS49" s="975" t="n"/>
      <c r="CT49" s="976">
        <f>CS49*$D49</f>
        <v/>
      </c>
      <c r="CU49" s="975" t="n"/>
      <c r="CV49" s="976">
        <f>CU49*$D49</f>
        <v/>
      </c>
      <c r="CW49" s="975" t="n"/>
      <c r="CX49" s="976">
        <f>CW49*$D49</f>
        <v/>
      </c>
      <c r="CY49" s="975" t="n"/>
      <c r="CZ49" s="976">
        <f>CY49*$D49</f>
        <v/>
      </c>
      <c r="DA49" s="975" t="n"/>
      <c r="DB49" s="976">
        <f>DA49*$D49</f>
        <v/>
      </c>
      <c r="DC49" s="975" t="n"/>
      <c r="DD49" s="976">
        <f>DC49*$D49</f>
        <v/>
      </c>
      <c r="DE49" s="975" t="n"/>
      <c r="DF49" s="976">
        <f>DE49*$D49</f>
        <v/>
      </c>
      <c r="DG49" s="975" t="n"/>
      <c r="DH49" s="976">
        <f>DG49*$D49</f>
        <v/>
      </c>
      <c r="DI49" s="975" t="n"/>
      <c r="DJ49" s="976">
        <f>DI49*$D49</f>
        <v/>
      </c>
      <c r="DK49" s="979">
        <f>SUM(CM49,CO49,CQ49,CS49,CU49,CW49,CY49,DA49,DC49,DE49,DG49,DI49)</f>
        <v/>
      </c>
      <c r="DL49" s="976">
        <f>SUM(CN49,CP49,CR49,CT49,CV49,CX49,CZ49,DB49,DD49,DF49,DH49,DJ49)</f>
        <v/>
      </c>
      <c r="DP49" s="88">
        <f>DO49-CK49</f>
        <v/>
      </c>
      <c r="DQ49" s="1005">
        <f>DN49/CF49*100-100</f>
        <v/>
      </c>
      <c r="DR49" s="1005">
        <f>DN49/CH49*100-100</f>
        <v/>
      </c>
      <c r="DW49" s="52">
        <f>DV49*5</f>
        <v/>
      </c>
    </row>
    <row r="50" hidden="1">
      <c r="A50" s="32" t="n"/>
      <c r="B50" s="33" t="n"/>
      <c r="C50" s="33" t="n"/>
      <c r="D50" s="33" t="n"/>
      <c r="E50" s="34" t="n"/>
      <c r="F50" s="34" t="n"/>
      <c r="G50" s="975" t="n"/>
      <c r="H50" s="976" t="n"/>
      <c r="I50" s="975" t="n"/>
      <c r="J50" s="976" t="n"/>
      <c r="K50" s="975" t="n"/>
      <c r="L50" s="976" t="n"/>
      <c r="M50" s="975" t="n"/>
      <c r="N50" s="976" t="n"/>
      <c r="O50" s="975" t="n"/>
      <c r="P50" s="976" t="n"/>
      <c r="Q50" s="975" t="n"/>
      <c r="R50" s="976" t="n"/>
      <c r="S50" s="975" t="n"/>
      <c r="T50" s="976" t="n"/>
      <c r="U50" s="975" t="n"/>
      <c r="V50" s="976" t="n"/>
      <c r="W50" s="975" t="n"/>
      <c r="X50" s="976" t="n"/>
      <c r="Y50" s="975" t="n"/>
      <c r="Z50" s="976" t="n"/>
      <c r="AA50" s="975" t="n"/>
      <c r="AB50" s="976" t="n"/>
      <c r="AC50" s="975" t="n"/>
      <c r="AD50" s="976" t="n"/>
      <c r="AE50" s="977" t="n"/>
      <c r="AF50" s="978" t="n"/>
      <c r="AG50" s="975" t="n"/>
      <c r="AH50" s="976" t="n"/>
      <c r="AI50" s="975" t="n"/>
      <c r="AJ50" s="976" t="n"/>
      <c r="AK50" s="975" t="n"/>
      <c r="AL50" s="976" t="n"/>
      <c r="AM50" s="975" t="n"/>
      <c r="AN50" s="976" t="n"/>
      <c r="AO50" s="975" t="n"/>
      <c r="AP50" s="976" t="n"/>
      <c r="AQ50" s="975" t="n"/>
      <c r="AR50" s="976" t="n"/>
      <c r="AS50" s="975" t="n"/>
      <c r="AT50" s="976" t="n"/>
      <c r="AU50" s="975" t="n"/>
      <c r="AV50" s="976" t="n"/>
      <c r="AW50" s="975" t="n"/>
      <c r="AX50" s="976" t="n"/>
      <c r="AY50" s="975" t="n"/>
      <c r="AZ50" s="976" t="n"/>
      <c r="BA50" s="975" t="n"/>
      <c r="BB50" s="976" t="n"/>
      <c r="BC50" s="975" t="n"/>
      <c r="BD50" s="976" t="n"/>
      <c r="BE50" s="977" t="n"/>
      <c r="BF50" s="978" t="n"/>
      <c r="BG50" s="975" t="n"/>
      <c r="BH50" s="976" t="n"/>
      <c r="BI50" s="975" t="n"/>
      <c r="BJ50" s="976" t="n"/>
      <c r="BK50" s="975" t="n"/>
      <c r="BL50" s="976" t="n"/>
      <c r="BM50" s="975" t="n"/>
      <c r="BN50" s="976" t="n"/>
      <c r="BO50" s="975" t="n"/>
      <c r="BP50" s="976" t="n"/>
      <c r="BQ50" s="975" t="n"/>
      <c r="BR50" s="976" t="n"/>
      <c r="BS50" s="975" t="n"/>
      <c r="BT50" s="976" t="n"/>
      <c r="BU50" s="975" t="n"/>
      <c r="BV50" s="976" t="n"/>
      <c r="BW50" s="975" t="n"/>
      <c r="BX50" s="976" t="n"/>
      <c r="BY50" s="975" t="n"/>
      <c r="BZ50" s="976" t="n"/>
      <c r="CA50" s="975" t="n"/>
      <c r="CB50" s="976" t="n"/>
      <c r="CC50" s="975" t="n"/>
      <c r="CD50" s="976" t="n"/>
      <c r="CE50" s="979">
        <f>(BG50+BI50+BK50+BM50+BO50)/5</f>
        <v/>
      </c>
      <c r="CF50" s="976">
        <f>(BH50+BJ50+BL50+BN50+BP50)/5</f>
        <v/>
      </c>
      <c r="CG50" s="977" t="n"/>
      <c r="CH50" s="978" t="n"/>
      <c r="CI50" s="975" t="n"/>
      <c r="CJ50" s="976" t="n"/>
      <c r="CK50" s="984" t="n"/>
      <c r="CL50" s="984" t="n"/>
      <c r="CM50" s="982" t="n"/>
      <c r="CN50" s="976" t="n"/>
      <c r="CO50" s="982" t="n"/>
      <c r="CP50" s="984" t="n"/>
      <c r="CQ50" s="982" t="n"/>
      <c r="CR50" s="984" t="n"/>
      <c r="CS50" s="982" t="n"/>
      <c r="CT50" s="984" t="n"/>
      <c r="CU50" s="982" t="n"/>
      <c r="CV50" s="984" t="n"/>
      <c r="CW50" s="982" t="n"/>
      <c r="CX50" s="984" t="n"/>
      <c r="CY50" s="982" t="n"/>
      <c r="CZ50" s="984" t="n"/>
      <c r="DA50" s="982" t="n"/>
      <c r="DB50" s="984" t="n"/>
      <c r="DC50" s="982" t="n"/>
      <c r="DD50" s="984" t="n"/>
      <c r="DE50" s="982" t="n"/>
      <c r="DF50" s="984" t="n"/>
      <c r="DG50" s="982" t="n"/>
      <c r="DH50" s="984" t="n"/>
      <c r="DI50" s="982" t="n"/>
      <c r="DJ50" s="984" t="n"/>
      <c r="DK50" s="983" t="n"/>
      <c r="DL50" s="984" t="n"/>
      <c r="DP50" s="88">
        <f>DO50-CK50</f>
        <v/>
      </c>
      <c r="DQ50" s="1005">
        <f>DN50/CF50*100-100</f>
        <v/>
      </c>
      <c r="DR50" s="1005">
        <f>DN50/CH50*100-100</f>
        <v/>
      </c>
      <c r="DW50" s="52">
        <f>DV50*5</f>
        <v/>
      </c>
    </row>
    <row r="51" hidden="1">
      <c r="A51" s="35" t="n"/>
      <c r="B51" s="23" t="inlineStr">
        <is>
          <t>Whisky စုစုပေါင်း</t>
        </is>
      </c>
      <c r="C51" s="23" t="n"/>
      <c r="D51" s="23" t="n"/>
      <c r="E51" s="25" t="n"/>
      <c r="F51" s="25" t="n"/>
      <c r="G51" s="989">
        <f>SUM(G37:G50)</f>
        <v/>
      </c>
      <c r="H51" s="990">
        <f>SUM(H37:H50)</f>
        <v/>
      </c>
      <c r="I51" s="989">
        <f>SUM(I37:I50)</f>
        <v/>
      </c>
      <c r="J51" s="990">
        <f>SUM(J37:J50)</f>
        <v/>
      </c>
      <c r="K51" s="989">
        <f>SUM(K37:K50)</f>
        <v/>
      </c>
      <c r="L51" s="990">
        <f>SUM(L37:L50)</f>
        <v/>
      </c>
      <c r="M51" s="989">
        <f>SUM(M37:M50)</f>
        <v/>
      </c>
      <c r="N51" s="990">
        <f>SUM(N37:N50)</f>
        <v/>
      </c>
      <c r="O51" s="989">
        <f>SUM(O37:O50)</f>
        <v/>
      </c>
      <c r="P51" s="990">
        <f>SUM(P37:P50)</f>
        <v/>
      </c>
      <c r="Q51" s="989">
        <f>SUM(Q37:Q50)</f>
        <v/>
      </c>
      <c r="R51" s="990">
        <f>SUM(R37:R50)</f>
        <v/>
      </c>
      <c r="S51" s="989">
        <f>SUM(S37:S50)</f>
        <v/>
      </c>
      <c r="T51" s="990">
        <f>SUM(T37:T50)</f>
        <v/>
      </c>
      <c r="U51" s="989">
        <f>SUM(U37:U50)</f>
        <v/>
      </c>
      <c r="V51" s="990">
        <f>SUM(V37:V50)</f>
        <v/>
      </c>
      <c r="W51" s="989">
        <f>SUM(W37:W50)</f>
        <v/>
      </c>
      <c r="X51" s="990">
        <f>SUM(X37:X50)</f>
        <v/>
      </c>
      <c r="Y51" s="989">
        <f>SUM(Y37:Y50)</f>
        <v/>
      </c>
      <c r="Z51" s="990">
        <f>SUM(Z37:Z50)</f>
        <v/>
      </c>
      <c r="AA51" s="989">
        <f>SUM(AA37:AA50)</f>
        <v/>
      </c>
      <c r="AB51" s="990">
        <f>SUM(AB37:AB50)</f>
        <v/>
      </c>
      <c r="AC51" s="989">
        <f>SUM(AC37:AC50)</f>
        <v/>
      </c>
      <c r="AD51" s="990">
        <f>SUM(AD37:AD50)</f>
        <v/>
      </c>
      <c r="AE51" s="991">
        <f>SUM(AE37:AE50)</f>
        <v/>
      </c>
      <c r="AF51" s="992">
        <f>SUM(AF37:AF50)</f>
        <v/>
      </c>
      <c r="AG51" s="989">
        <f>SUM(AG37:AG50)</f>
        <v/>
      </c>
      <c r="AH51" s="990">
        <f>SUM(AH37:AH50)</f>
        <v/>
      </c>
      <c r="AI51" s="989">
        <f>SUM(AI37:AI50)</f>
        <v/>
      </c>
      <c r="AJ51" s="990">
        <f>SUM(AJ37:AJ50)</f>
        <v/>
      </c>
      <c r="AK51" s="989">
        <f>SUM(AK37:AK50)</f>
        <v/>
      </c>
      <c r="AL51" s="990">
        <f>SUM(AL37:AL50)</f>
        <v/>
      </c>
      <c r="AM51" s="989">
        <f>SUM(AM37:AM50)</f>
        <v/>
      </c>
      <c r="AN51" s="990">
        <f>SUM(AN37:AN50)</f>
        <v/>
      </c>
      <c r="AO51" s="989">
        <f>SUM(AO37:AO50)</f>
        <v/>
      </c>
      <c r="AP51" s="990">
        <f>SUM(AP37:AP50)</f>
        <v/>
      </c>
      <c r="AQ51" s="989">
        <f>SUM(AQ37:AQ50)</f>
        <v/>
      </c>
      <c r="AR51" s="990">
        <f>SUM(AR37:AR50)</f>
        <v/>
      </c>
      <c r="AS51" s="989">
        <f>SUM(AS37:AS50)</f>
        <v/>
      </c>
      <c r="AT51" s="990">
        <f>SUM(AT37:AT50)</f>
        <v/>
      </c>
      <c r="AU51" s="989">
        <f>SUM(AU37:AU50)</f>
        <v/>
      </c>
      <c r="AV51" s="990">
        <f>SUM(AV37:AV50)</f>
        <v/>
      </c>
      <c r="AW51" s="989">
        <f>SUM(AW37:AW50)</f>
        <v/>
      </c>
      <c r="AX51" s="990">
        <f>SUM(AX37:AX50)</f>
        <v/>
      </c>
      <c r="AY51" s="989">
        <f>SUM(AY37:AY50)</f>
        <v/>
      </c>
      <c r="AZ51" s="990">
        <f>SUM(AZ37:AZ50)</f>
        <v/>
      </c>
      <c r="BA51" s="989">
        <f>SUM(BA37:BA50)</f>
        <v/>
      </c>
      <c r="BB51" s="990">
        <f>SUM(BB37:BB50)</f>
        <v/>
      </c>
      <c r="BC51" s="989">
        <f>SUM(BC37:BC50)</f>
        <v/>
      </c>
      <c r="BD51" s="990">
        <f>SUM(BD37:BD50)</f>
        <v/>
      </c>
      <c r="BE51" s="991">
        <f>SUM(BE37:BE50)</f>
        <v/>
      </c>
      <c r="BF51" s="992">
        <f>SUM(BF37:BF50)</f>
        <v/>
      </c>
      <c r="BG51" s="989">
        <f>SUM(BG37:BG50)</f>
        <v/>
      </c>
      <c r="BH51" s="990">
        <f>SUM(BH37:BH50)</f>
        <v/>
      </c>
      <c r="BI51" s="989">
        <f>SUM(BI37:BI50)</f>
        <v/>
      </c>
      <c r="BJ51" s="990">
        <f>SUM(BJ37:BJ50)</f>
        <v/>
      </c>
      <c r="BK51" s="989">
        <f>SUM(BK37:BK50)</f>
        <v/>
      </c>
      <c r="BL51" s="990">
        <f>SUM(BL37:BL50)</f>
        <v/>
      </c>
      <c r="BM51" s="989">
        <f>SUM(BM37:BM50)</f>
        <v/>
      </c>
      <c r="BN51" s="990">
        <f>SUM(BN37:BN50)</f>
        <v/>
      </c>
      <c r="BO51" s="989">
        <f>SUM(BO37:BO50)</f>
        <v/>
      </c>
      <c r="BP51" s="990">
        <f>SUM(BP37:BP50)</f>
        <v/>
      </c>
      <c r="BQ51" s="989">
        <f>SUM(BQ37:BQ50)</f>
        <v/>
      </c>
      <c r="BR51" s="990">
        <f>SUM(BR37:BR50)</f>
        <v/>
      </c>
      <c r="BS51" s="989">
        <f>SUM(BS37:BS50)</f>
        <v/>
      </c>
      <c r="BT51" s="990">
        <f>SUM(BT37:BT50)</f>
        <v/>
      </c>
      <c r="BU51" s="989">
        <f>SUM(BU37:BU50)</f>
        <v/>
      </c>
      <c r="BV51" s="990">
        <f>SUM(BV37:BV50)</f>
        <v/>
      </c>
      <c r="BW51" s="989">
        <f>SUM(BW37:BW50)</f>
        <v/>
      </c>
      <c r="BX51" s="990">
        <f>SUM(BX37:BX50)</f>
        <v/>
      </c>
      <c r="BY51" s="989">
        <f>SUM(BY37:BY50)</f>
        <v/>
      </c>
      <c r="BZ51" s="990">
        <f>SUM(BZ37:BZ50)</f>
        <v/>
      </c>
      <c r="CA51" s="989">
        <f>SUM(CA37:CA50)</f>
        <v/>
      </c>
      <c r="CB51" s="990">
        <f>SUM(CB37:CB50)</f>
        <v/>
      </c>
      <c r="CC51" s="989">
        <f>SUM(CC37:CC50)</f>
        <v/>
      </c>
      <c r="CD51" s="990">
        <f>SUM(CD37:CD50)</f>
        <v/>
      </c>
      <c r="CE51" s="979">
        <f>(BG51+BI51+BK51+BM51+BO51)/5</f>
        <v/>
      </c>
      <c r="CF51" s="976">
        <f>(BH51+BJ51+BL51+BN51+BP51)/5</f>
        <v/>
      </c>
      <c r="CG51" s="991">
        <f>SUM(CG37:CG50)</f>
        <v/>
      </c>
      <c r="CH51" s="992">
        <f>SUM(CH37:CH50)</f>
        <v/>
      </c>
      <c r="CI51" s="989">
        <f>SUM(CI37:CI50)</f>
        <v/>
      </c>
      <c r="CJ51" s="990">
        <f>SUM(CJ37:CJ50)</f>
        <v/>
      </c>
      <c r="CK51" s="990" t="n"/>
      <c r="CL51" s="990" t="n"/>
      <c r="CM51" s="989">
        <f>SUM(CM37:CM50)</f>
        <v/>
      </c>
      <c r="CN51" s="990">
        <f>SUM(CN37:CN50)</f>
        <v/>
      </c>
      <c r="CO51" s="989">
        <f>SUM(CO37:CO50)</f>
        <v/>
      </c>
      <c r="CP51" s="990">
        <f>SUM(CP37:CP50)</f>
        <v/>
      </c>
      <c r="CQ51" s="989">
        <f>SUM(CQ37:CQ50)</f>
        <v/>
      </c>
      <c r="CR51" s="990">
        <f>SUM(CR37:CR50)</f>
        <v/>
      </c>
      <c r="CS51" s="989">
        <f>SUM(CS37:CS50)</f>
        <v/>
      </c>
      <c r="CT51" s="990">
        <f>SUM(CT37:CT50)</f>
        <v/>
      </c>
      <c r="CU51" s="989">
        <f>SUM(CU37:CU50)</f>
        <v/>
      </c>
      <c r="CV51" s="990">
        <f>SUM(CV37:CV50)</f>
        <v/>
      </c>
      <c r="CW51" s="989">
        <f>SUM(CW37:CW50)</f>
        <v/>
      </c>
      <c r="CX51" s="990">
        <f>SUM(CX37:CX50)</f>
        <v/>
      </c>
      <c r="CY51" s="989">
        <f>SUM(CY37:CY50)</f>
        <v/>
      </c>
      <c r="CZ51" s="990">
        <f>SUM(CZ37:CZ50)</f>
        <v/>
      </c>
      <c r="DA51" s="989">
        <f>SUM(DA37:DA50)</f>
        <v/>
      </c>
      <c r="DB51" s="990">
        <f>SUM(DB37:DB50)</f>
        <v/>
      </c>
      <c r="DC51" s="989">
        <f>SUM(DC37:DC50)</f>
        <v/>
      </c>
      <c r="DD51" s="990">
        <f>SUM(DD37:DD50)</f>
        <v/>
      </c>
      <c r="DE51" s="989">
        <f>SUM(DE37:DE50)</f>
        <v/>
      </c>
      <c r="DF51" s="990">
        <f>SUM(DF37:DF50)</f>
        <v/>
      </c>
      <c r="DG51" s="989">
        <f>SUM(DG37:DG50)</f>
        <v/>
      </c>
      <c r="DH51" s="990">
        <f>SUM(DH37:DH50)</f>
        <v/>
      </c>
      <c r="DI51" s="989">
        <f>SUM(DI37:DI50)</f>
        <v/>
      </c>
      <c r="DJ51" s="990">
        <f>SUM(DJ37:DJ50)</f>
        <v/>
      </c>
      <c r="DK51" s="989">
        <f>SUM(DK37:DK50)</f>
        <v/>
      </c>
      <c r="DL51" s="990">
        <f>SUM(DL37:DL50)</f>
        <v/>
      </c>
      <c r="DP51" s="88">
        <f>DO51-CK51</f>
        <v/>
      </c>
      <c r="DQ51" s="1005">
        <f>DN51/CF51*100-100</f>
        <v/>
      </c>
      <c r="DR51" s="1005">
        <f>DN51/CH51*100-100</f>
        <v/>
      </c>
      <c r="DW51" s="52">
        <f>DV51*5</f>
        <v/>
      </c>
    </row>
    <row r="52" hidden="1">
      <c r="A52" s="36" t="n"/>
      <c r="B52" s="24" t="inlineStr">
        <is>
          <t>All Total</t>
        </is>
      </c>
      <c r="C52" s="24" t="n"/>
      <c r="D52" s="24" t="n"/>
      <c r="E52" s="24" t="n"/>
      <c r="F52" s="24" t="n"/>
      <c r="G52" s="1006">
        <f>+G36+G51</f>
        <v/>
      </c>
      <c r="H52" s="1007">
        <f>+H36+H51</f>
        <v/>
      </c>
      <c r="I52" s="1006">
        <f>+I36+I51</f>
        <v/>
      </c>
      <c r="J52" s="1007">
        <f>+J36+J51</f>
        <v/>
      </c>
      <c r="K52" s="1006">
        <f>+K36+K51</f>
        <v/>
      </c>
      <c r="L52" s="1007">
        <f>+L36+L51</f>
        <v/>
      </c>
      <c r="M52" s="1006">
        <f>+M36+M51</f>
        <v/>
      </c>
      <c r="N52" s="1007">
        <f>+N36+N51</f>
        <v/>
      </c>
      <c r="O52" s="1006">
        <f>+O36+O51</f>
        <v/>
      </c>
      <c r="P52" s="1007">
        <f>+P36+P51</f>
        <v/>
      </c>
      <c r="Q52" s="1006">
        <f>+Q36+Q51</f>
        <v/>
      </c>
      <c r="R52" s="1007">
        <f>+R36+R51</f>
        <v/>
      </c>
      <c r="S52" s="1006">
        <f>+S36+S51</f>
        <v/>
      </c>
      <c r="T52" s="1007">
        <f>+T36+T51</f>
        <v/>
      </c>
      <c r="U52" s="1006">
        <f>+U36+U51</f>
        <v/>
      </c>
      <c r="V52" s="1007">
        <f>+V36+V51</f>
        <v/>
      </c>
      <c r="W52" s="1006">
        <f>+W36+W51</f>
        <v/>
      </c>
      <c r="X52" s="1007">
        <f>+X36+X51</f>
        <v/>
      </c>
      <c r="Y52" s="1006">
        <f>+Y36+Y51</f>
        <v/>
      </c>
      <c r="Z52" s="1007">
        <f>+Z36+Z51</f>
        <v/>
      </c>
      <c r="AA52" s="1006">
        <f>+AA36+AA51</f>
        <v/>
      </c>
      <c r="AB52" s="1007">
        <f>+AB36+AB51</f>
        <v/>
      </c>
      <c r="AC52" s="1006">
        <f>+AC36+AC51</f>
        <v/>
      </c>
      <c r="AD52" s="1007">
        <f>+AD36+AD51</f>
        <v/>
      </c>
      <c r="AE52" s="1008">
        <f>+AE36+AE51</f>
        <v/>
      </c>
      <c r="AF52" s="992">
        <f>+AF36+AF51</f>
        <v/>
      </c>
      <c r="AG52" s="1006">
        <f>+AG36+AG51</f>
        <v/>
      </c>
      <c r="AH52" s="1007">
        <f>+AH36+AH51</f>
        <v/>
      </c>
      <c r="AI52" s="1006">
        <f>+AI36+AI51</f>
        <v/>
      </c>
      <c r="AJ52" s="1007">
        <f>+AJ36+AJ51</f>
        <v/>
      </c>
      <c r="AK52" s="1006">
        <f>+AK36+AK51</f>
        <v/>
      </c>
      <c r="AL52" s="1007">
        <f>+AL36+AL51</f>
        <v/>
      </c>
      <c r="AM52" s="1006">
        <f>+AM36+AM51</f>
        <v/>
      </c>
      <c r="AN52" s="1007">
        <f>+AN36+AN51</f>
        <v/>
      </c>
      <c r="AO52" s="1006">
        <f>+AO36+AO51</f>
        <v/>
      </c>
      <c r="AP52" s="1007">
        <f>+AP36+AP51</f>
        <v/>
      </c>
      <c r="AQ52" s="1006">
        <f>+AQ36+AQ51</f>
        <v/>
      </c>
      <c r="AR52" s="1007">
        <f>+AR36+AR51</f>
        <v/>
      </c>
      <c r="AS52" s="1006">
        <f>+AS36+AS51</f>
        <v/>
      </c>
      <c r="AT52" s="1007">
        <f>+AT36+AT51</f>
        <v/>
      </c>
      <c r="AU52" s="1006">
        <f>+AU36+AU51</f>
        <v/>
      </c>
      <c r="AV52" s="1007">
        <f>+AV36+AV51</f>
        <v/>
      </c>
      <c r="AW52" s="1006">
        <f>+AW36+AW51</f>
        <v/>
      </c>
      <c r="AX52" s="1007">
        <f>+AX36+AX51</f>
        <v/>
      </c>
      <c r="AY52" s="1006">
        <f>+AY36+AY51</f>
        <v/>
      </c>
      <c r="AZ52" s="1007">
        <f>+AZ36+AZ51</f>
        <v/>
      </c>
      <c r="BA52" s="1006">
        <f>+BA36+BA51</f>
        <v/>
      </c>
      <c r="BB52" s="1007">
        <f>+BB36+BB51</f>
        <v/>
      </c>
      <c r="BC52" s="1006">
        <f>+BC36+BC51</f>
        <v/>
      </c>
      <c r="BD52" s="1007">
        <f>+BD36+BD51</f>
        <v/>
      </c>
      <c r="BE52" s="1008">
        <f>+BE36+BE51</f>
        <v/>
      </c>
      <c r="BF52" s="992">
        <f>+BF36+BF51</f>
        <v/>
      </c>
      <c r="BG52" s="1006">
        <f>+BG36+BG51</f>
        <v/>
      </c>
      <c r="BH52" s="1007">
        <f>+BH36+BH51</f>
        <v/>
      </c>
      <c r="BI52" s="1006">
        <f>+BI36+BI51</f>
        <v/>
      </c>
      <c r="BJ52" s="1007">
        <f>+BJ36+BJ51</f>
        <v/>
      </c>
      <c r="BK52" s="1006">
        <f>+BK36+BK51</f>
        <v/>
      </c>
      <c r="BL52" s="1007">
        <f>+BL36+BL51</f>
        <v/>
      </c>
      <c r="BM52" s="1006">
        <f>+BM36+BM51</f>
        <v/>
      </c>
      <c r="BN52" s="1007">
        <f>+BN36+BN51</f>
        <v/>
      </c>
      <c r="BO52" s="1006">
        <f>+BO36+BO51</f>
        <v/>
      </c>
      <c r="BP52" s="1007">
        <f>+BP36+BP51</f>
        <v/>
      </c>
      <c r="BQ52" s="1006">
        <f>+BQ36+BQ51</f>
        <v/>
      </c>
      <c r="BR52" s="1007">
        <f>+BR36+BR51</f>
        <v/>
      </c>
      <c r="BS52" s="1006">
        <f>+BS36+BS51</f>
        <v/>
      </c>
      <c r="BT52" s="1007">
        <f>+BT36+BT51</f>
        <v/>
      </c>
      <c r="BU52" s="1006">
        <f>+BU36+BU51</f>
        <v/>
      </c>
      <c r="BV52" s="1007">
        <f>+BV36+BV51</f>
        <v/>
      </c>
      <c r="BW52" s="1006">
        <f>+BW36+BW51</f>
        <v/>
      </c>
      <c r="BX52" s="1007">
        <f>+BX36+BX51</f>
        <v/>
      </c>
      <c r="BY52" s="1006">
        <f>+BY36+BY51</f>
        <v/>
      </c>
      <c r="BZ52" s="1007">
        <f>+BZ36+BZ51</f>
        <v/>
      </c>
      <c r="CA52" s="1006">
        <f>+CA36+CA51</f>
        <v/>
      </c>
      <c r="CB52" s="1007">
        <f>+CB36+CB51</f>
        <v/>
      </c>
      <c r="CC52" s="1006">
        <f>+CC36+CC51</f>
        <v/>
      </c>
      <c r="CD52" s="1007">
        <f>+CD36+CD51</f>
        <v/>
      </c>
      <c r="CE52" s="979">
        <f>(BG52+BI52+BK52+BM52+BO52)/5</f>
        <v/>
      </c>
      <c r="CF52" s="976">
        <f>(BH52+BJ52+BL52+BN52+BP52)/5</f>
        <v/>
      </c>
      <c r="CG52" s="1008">
        <f>+CG36+CG51</f>
        <v/>
      </c>
      <c r="CH52" s="992">
        <f>+CH36+CH51</f>
        <v/>
      </c>
      <c r="CI52" s="1006">
        <f>+CI36+CI51</f>
        <v/>
      </c>
      <c r="CJ52" s="1007">
        <f>+CJ36+CJ51</f>
        <v/>
      </c>
      <c r="CK52" s="1007" t="n"/>
      <c r="CL52" s="1007" t="n"/>
      <c r="CM52" s="1006">
        <f>+CM36+CM51</f>
        <v/>
      </c>
      <c r="CN52" s="1007">
        <f>+CN36+CN51</f>
        <v/>
      </c>
      <c r="CO52" s="1006">
        <f>+CO36+CO51</f>
        <v/>
      </c>
      <c r="CP52" s="1007">
        <f>+CP36+CP51</f>
        <v/>
      </c>
      <c r="CQ52" s="1006">
        <f>+CQ36+CQ51</f>
        <v/>
      </c>
      <c r="CR52" s="1007">
        <f>+CR36+CR51</f>
        <v/>
      </c>
      <c r="CS52" s="1006">
        <f>+CS36+CS51</f>
        <v/>
      </c>
      <c r="CT52" s="1007">
        <f>+CT36+CT51</f>
        <v/>
      </c>
      <c r="CU52" s="1006">
        <f>+CU36+CU51</f>
        <v/>
      </c>
      <c r="CV52" s="1007">
        <f>+CV36+CV51</f>
        <v/>
      </c>
      <c r="CW52" s="1006">
        <f>+CW36+CW51</f>
        <v/>
      </c>
      <c r="CX52" s="1007">
        <f>+CX36+CX51</f>
        <v/>
      </c>
      <c r="CY52" s="1006">
        <f>+CY36+CY51</f>
        <v/>
      </c>
      <c r="CZ52" s="1007">
        <f>+CZ36+CZ51</f>
        <v/>
      </c>
      <c r="DA52" s="1006">
        <f>+DA36+DA51</f>
        <v/>
      </c>
      <c r="DB52" s="1007">
        <f>+DB36+DB51</f>
        <v/>
      </c>
      <c r="DC52" s="1006">
        <f>+DC36+DC51</f>
        <v/>
      </c>
      <c r="DD52" s="1007">
        <f>+DD36+DD51</f>
        <v/>
      </c>
      <c r="DE52" s="1006">
        <f>+DE36+DE51</f>
        <v/>
      </c>
      <c r="DF52" s="1007">
        <f>+DF36+DF51</f>
        <v/>
      </c>
      <c r="DG52" s="1006">
        <f>+DG36+DG51</f>
        <v/>
      </c>
      <c r="DH52" s="1007">
        <f>+DH36+DH51</f>
        <v/>
      </c>
      <c r="DI52" s="1006">
        <f>+DI36+DI51</f>
        <v/>
      </c>
      <c r="DJ52" s="1007">
        <f>+DJ36+DJ51</f>
        <v/>
      </c>
      <c r="DK52" s="1006">
        <f>+DK36+DK51</f>
        <v/>
      </c>
      <c r="DL52" s="1007">
        <f>+DL36+DL51</f>
        <v/>
      </c>
      <c r="DP52" s="88">
        <f>DO52-CK52</f>
        <v/>
      </c>
      <c r="DQ52" s="1005">
        <f>DN52/CF52*100-100</f>
        <v/>
      </c>
      <c r="DR52" s="1005">
        <f>DN52/CH52*100-100</f>
        <v/>
      </c>
      <c r="DW52" s="52">
        <f>DV52*5</f>
        <v/>
      </c>
    </row>
    <row r="53" ht="21.75" customHeight="1">
      <c r="DS53" s="1009" t="n"/>
    </row>
    <row r="54" ht="21.75" customHeight="1"/>
    <row r="55">
      <c r="CO55" s="1010" t="n"/>
      <c r="CP55" s="1011" t="n"/>
      <c r="CQ55" s="1010" t="n"/>
      <c r="CR55" s="1011" t="n"/>
      <c r="CS55" s="1010" t="n"/>
      <c r="CT55" s="1011" t="n"/>
      <c r="CU55" s="1010" t="n"/>
      <c r="CV55" s="1011" t="n"/>
      <c r="CY55" s="1012" t="n"/>
      <c r="CZ55" s="1013" t="n"/>
      <c r="DA55" s="1010" t="n"/>
      <c r="DB55" s="1011" t="n"/>
    </row>
    <row r="56">
      <c r="DE56" s="1010" t="n"/>
      <c r="DF56" s="1011" t="n"/>
    </row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</sheetData>
  <autoFilter ref="A3:DL36"/>
  <mergeCells count="66">
    <mergeCell ref="DW1:DW3"/>
    <mergeCell ref="AM2:AN2"/>
    <mergeCell ref="G2:H2"/>
    <mergeCell ref="AO2:AP2"/>
    <mergeCell ref="I2:J2"/>
    <mergeCell ref="AW2:AX2"/>
    <mergeCell ref="BI2:BJ2"/>
    <mergeCell ref="BA2:BB2"/>
    <mergeCell ref="BC2:BD2"/>
    <mergeCell ref="B2:B3"/>
    <mergeCell ref="DC2:DD2"/>
    <mergeCell ref="D2:D3"/>
    <mergeCell ref="BU2:BV2"/>
    <mergeCell ref="F2:F3"/>
    <mergeCell ref="DE2:DF2"/>
    <mergeCell ref="M2:N2"/>
    <mergeCell ref="S2:T2"/>
    <mergeCell ref="U2:V2"/>
    <mergeCell ref="Y2:Z2"/>
    <mergeCell ref="DS1:DV1"/>
    <mergeCell ref="BW2:BX2"/>
    <mergeCell ref="BY2:BZ2"/>
    <mergeCell ref="AE2:AF2"/>
    <mergeCell ref="AG2:AH2"/>
    <mergeCell ref="BM2:BN2"/>
    <mergeCell ref="CA2:CB2"/>
    <mergeCell ref="CG2:CH2"/>
    <mergeCell ref="A2:A3"/>
    <mergeCell ref="CI2:CJ2"/>
    <mergeCell ref="BO2:BP2"/>
    <mergeCell ref="C2:C3"/>
    <mergeCell ref="E2:E3"/>
    <mergeCell ref="CM2:CN2"/>
    <mergeCell ref="CS2:CT2"/>
    <mergeCell ref="CU2:CV2"/>
    <mergeCell ref="CW2:CX2"/>
    <mergeCell ref="AQ2:AR2"/>
    <mergeCell ref="AS2:AT2"/>
    <mergeCell ref="K2:L2"/>
    <mergeCell ref="AY2:AZ2"/>
    <mergeCell ref="BE2:BF2"/>
    <mergeCell ref="BQ2:BR2"/>
    <mergeCell ref="BG2:BH2"/>
    <mergeCell ref="CY2:CZ2"/>
    <mergeCell ref="DA2:DB2"/>
    <mergeCell ref="DG2:DH2"/>
    <mergeCell ref="DS2:DT2"/>
    <mergeCell ref="DI2:DJ2"/>
    <mergeCell ref="DK2:DL2"/>
    <mergeCell ref="DM2:DN2"/>
    <mergeCell ref="O2:P2"/>
    <mergeCell ref="Q2:R2"/>
    <mergeCell ref="W2:X2"/>
    <mergeCell ref="DP2:DP3"/>
    <mergeCell ref="BS2:BT2"/>
    <mergeCell ref="A1:F1"/>
    <mergeCell ref="BK2:BL2"/>
    <mergeCell ref="AA2:AB2"/>
    <mergeCell ref="AC2:AD2"/>
    <mergeCell ref="AU2:AV2"/>
    <mergeCell ref="AI2:AJ2"/>
    <mergeCell ref="AK2:AL2"/>
    <mergeCell ref="CE2:CF2"/>
    <mergeCell ref="CC2:CD2"/>
    <mergeCell ref="CO2:CP2"/>
    <mergeCell ref="CQ2:CR2"/>
  </mergeCells>
  <pageMargins left="0" right="0" top="0" bottom="0" header="0.3" footer="0.3"/>
  <pageSetup orientation="portrait" paperSize="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tabSelected="1" topLeftCell="A16" zoomScale="70" zoomScaleNormal="70" workbookViewId="0">
      <selection activeCell="K33" sqref="K33"/>
    </sheetView>
  </sheetViews>
  <sheetFormatPr baseColWidth="8" defaultRowHeight="20.4"/>
  <cols>
    <col width="15.6640625" bestFit="1" customWidth="1" min="2" max="2"/>
    <col width="16.88671875" bestFit="1" customWidth="1" min="3" max="3"/>
    <col width="38.88671875" bestFit="1" customWidth="1" min="4" max="4"/>
    <col width="49.77734375" bestFit="1" customWidth="1" min="5" max="5"/>
    <col width="7.88671875" bestFit="1" customWidth="1" min="6" max="10"/>
    <col width="9.33203125" bestFit="1" customWidth="1" min="11" max="12"/>
    <col width="11" bestFit="1" customWidth="1" min="13" max="13"/>
    <col width="9.33203125" bestFit="1" customWidth="1" min="14" max="14"/>
    <col width="11.6640625" bestFit="1" customWidth="1" min="15" max="15"/>
    <col width="13.33203125" bestFit="1" customWidth="1" min="16" max="16"/>
    <col width="10.6640625" bestFit="1" customWidth="1" min="17" max="17"/>
  </cols>
  <sheetData>
    <row r="1">
      <c r="B1" s="379" t="n"/>
      <c r="C1" s="380" t="n"/>
      <c r="D1" s="380" t="n"/>
      <c r="E1" s="380" t="n"/>
      <c r="F1" s="380" t="n"/>
      <c r="G1" s="380" t="n"/>
      <c r="H1" s="380" t="n"/>
      <c r="I1" s="380" t="n"/>
      <c r="J1" s="380" t="n"/>
      <c r="K1" s="380" t="n"/>
      <c r="L1" s="380" t="n"/>
      <c r="M1" s="380" t="n"/>
      <c r="N1" s="380" t="n"/>
      <c r="O1" s="381" t="n"/>
      <c r="P1" s="382" t="n"/>
      <c r="Q1" s="367" t="n"/>
    </row>
    <row r="2">
      <c r="B2" s="1014" t="inlineStr">
        <is>
          <t>MTL</t>
        </is>
      </c>
      <c r="C2" s="835" t="inlineStr">
        <is>
          <t>Q1</t>
        </is>
      </c>
      <c r="D2" s="970" t="n"/>
      <c r="E2" s="971" t="n"/>
      <c r="F2" s="836" t="inlineStr">
        <is>
          <t>Q2</t>
        </is>
      </c>
      <c r="G2" s="970" t="n"/>
      <c r="H2" s="971" t="n"/>
      <c r="I2" s="837" t="inlineStr">
        <is>
          <t>Q3</t>
        </is>
      </c>
      <c r="J2" s="970" t="n"/>
      <c r="K2" s="971" t="n"/>
      <c r="L2" s="838" t="inlineStr">
        <is>
          <t>Q4</t>
        </is>
      </c>
      <c r="M2" s="970" t="n"/>
      <c r="N2" s="971" t="n"/>
      <c r="O2" s="364" t="n"/>
      <c r="P2" s="366" t="n"/>
      <c r="Q2" s="368" t="n"/>
    </row>
    <row r="3" ht="21" customHeight="1" thickBot="1">
      <c r="B3" s="1015" t="n"/>
      <c r="C3" s="383" t="inlineStr">
        <is>
          <t>January</t>
        </is>
      </c>
      <c r="D3" s="1016" t="inlineStr">
        <is>
          <t>February</t>
        </is>
      </c>
      <c r="E3" s="1016" t="inlineStr">
        <is>
          <t xml:space="preserve">March </t>
        </is>
      </c>
      <c r="F3" s="1017" t="inlineStr">
        <is>
          <t xml:space="preserve">April </t>
        </is>
      </c>
      <c r="G3" s="1017" t="inlineStr">
        <is>
          <t xml:space="preserve">May </t>
        </is>
      </c>
      <c r="H3" s="1017" t="inlineStr">
        <is>
          <t xml:space="preserve">June </t>
        </is>
      </c>
      <c r="I3" s="386" t="inlineStr">
        <is>
          <t xml:space="preserve">July </t>
        </is>
      </c>
      <c r="J3" s="386" t="inlineStr">
        <is>
          <t xml:space="preserve">August </t>
        </is>
      </c>
      <c r="K3" s="386" t="inlineStr">
        <is>
          <t>September</t>
        </is>
      </c>
      <c r="L3" s="387" t="inlineStr">
        <is>
          <t>October</t>
        </is>
      </c>
      <c r="M3" s="387" t="inlineStr">
        <is>
          <t>November</t>
        </is>
      </c>
      <c r="N3" s="388" t="inlineStr">
        <is>
          <t>December</t>
        </is>
      </c>
      <c r="O3" s="387" t="inlineStr">
        <is>
          <t>Jan-Dec Total</t>
        </is>
      </c>
      <c r="P3" s="388" t="inlineStr">
        <is>
          <t>Average</t>
        </is>
      </c>
      <c r="Q3" s="389" t="inlineStr">
        <is>
          <t>Contribution</t>
        </is>
      </c>
    </row>
    <row r="4">
      <c r="B4" s="371" t="inlineStr">
        <is>
          <t>Target (Bot)</t>
        </is>
      </c>
      <c r="C4" s="1018" t="n">
        <v>1003246.676472554</v>
      </c>
      <c r="D4" s="1018" t="n">
        <v>1003247</v>
      </c>
      <c r="E4" s="1018" t="n"/>
      <c r="F4" s="1019" t="n"/>
      <c r="G4" s="1019" t="n"/>
      <c r="H4" s="1019" t="n"/>
      <c r="I4" s="1020" t="n"/>
      <c r="J4" s="1020" t="n"/>
      <c r="K4" s="1020" t="n"/>
      <c r="L4" s="1021" t="n"/>
      <c r="M4" s="1021" t="n"/>
      <c r="N4" s="1022" t="n"/>
      <c r="O4" s="1023">
        <f>SUM(C4:N4)</f>
        <v/>
      </c>
      <c r="P4" s="1024">
        <f>O4/2</f>
        <v/>
      </c>
      <c r="Q4" s="378" t="n"/>
    </row>
    <row r="5">
      <c r="B5" s="340" t="inlineStr">
        <is>
          <t>Target (Liter)</t>
        </is>
      </c>
      <c r="C5" s="1025" t="n">
        <v>664538.2464239999</v>
      </c>
      <c r="D5" s="1025" t="n">
        <v>664538</v>
      </c>
      <c r="E5" s="1025" t="n"/>
      <c r="F5" s="1026" t="n"/>
      <c r="G5" s="1026" t="n"/>
      <c r="H5" s="1026" t="n"/>
      <c r="I5" s="1027" t="n"/>
      <c r="J5" s="1027" t="n"/>
      <c r="K5" s="1027" t="n"/>
      <c r="L5" s="1028" t="n"/>
      <c r="M5" s="1028" t="n"/>
      <c r="N5" s="1029" t="n"/>
      <c r="O5" s="1030">
        <f>SUM(C5:N5)</f>
        <v/>
      </c>
      <c r="P5" s="1024">
        <f>O5/2</f>
        <v/>
      </c>
      <c r="Q5" s="368" t="n"/>
    </row>
    <row r="6">
      <c r="B6" s="341" t="inlineStr">
        <is>
          <t xml:space="preserve">WS (Bot) </t>
        </is>
      </c>
      <c r="C6" s="1031" t="n">
        <v>729352</v>
      </c>
      <c r="D6" s="1031" t="n">
        <v>650576</v>
      </c>
      <c r="E6" s="1032" t="n"/>
      <c r="F6" s="1033" t="n"/>
      <c r="G6" s="1033" t="n"/>
      <c r="H6" s="1033" t="n"/>
      <c r="I6" s="1034" t="n"/>
      <c r="J6" s="1035" t="n"/>
      <c r="K6" s="1035" t="n"/>
      <c r="L6" s="1036" t="n"/>
      <c r="M6" s="1037" t="n"/>
      <c r="N6" s="358" t="n"/>
      <c r="O6" s="1030">
        <f>SUM(C6:N6)</f>
        <v/>
      </c>
      <c r="P6" s="1024">
        <f>O6/2</f>
        <v/>
      </c>
      <c r="Q6" s="369">
        <f>P6/P10%</f>
        <v/>
      </c>
    </row>
    <row r="7">
      <c r="B7" s="341" t="inlineStr">
        <is>
          <t>Semi WS</t>
        </is>
      </c>
      <c r="C7" s="1031" t="n">
        <v>28054</v>
      </c>
      <c r="D7" s="1031" t="n">
        <v>21814</v>
      </c>
      <c r="E7" s="1032" t="n"/>
      <c r="F7" s="1033" t="n"/>
      <c r="G7" s="1033" t="n"/>
      <c r="H7" s="1033" t="n"/>
      <c r="I7" s="1034" t="n"/>
      <c r="J7" s="1035" t="n"/>
      <c r="K7" s="1035" t="n"/>
      <c r="L7" s="1036" t="n"/>
      <c r="M7" s="1037" t="n"/>
      <c r="N7" s="358" t="n"/>
      <c r="O7" s="1030">
        <f>SUM(C7:N7)</f>
        <v/>
      </c>
      <c r="P7" s="1024">
        <f>O7/2</f>
        <v/>
      </c>
      <c r="Q7" s="369">
        <f>P7/P10%</f>
        <v/>
      </c>
    </row>
    <row r="8">
      <c r="B8" s="341" t="n"/>
      <c r="C8" s="1031" t="n"/>
      <c r="D8" s="1031" t="n"/>
      <c r="E8" s="345" t="n"/>
      <c r="F8" s="326" t="n"/>
      <c r="G8" s="326" t="n"/>
      <c r="H8" s="326" t="n"/>
      <c r="I8" s="346" t="n"/>
      <c r="J8" s="327" t="n"/>
      <c r="K8" s="327" t="n"/>
      <c r="L8" s="328" t="n"/>
      <c r="M8" s="328" t="n"/>
      <c r="N8" s="359" t="n"/>
      <c r="O8" s="1030">
        <f>SUM(C8:N8)</f>
        <v/>
      </c>
      <c r="P8" s="1024">
        <f>O8/2</f>
        <v/>
      </c>
      <c r="Q8" s="369" t="n"/>
    </row>
    <row r="9">
      <c r="B9" s="341" t="inlineStr">
        <is>
          <t>Van (Bot)</t>
        </is>
      </c>
      <c r="C9" s="1031" t="n">
        <v>65581</v>
      </c>
      <c r="D9" s="1031" t="n">
        <v>57351</v>
      </c>
      <c r="E9" s="1032" t="n"/>
      <c r="F9" s="1033" t="n"/>
      <c r="G9" s="1033" t="n"/>
      <c r="H9" s="1033" t="n"/>
      <c r="I9" s="1034" t="n"/>
      <c r="J9" s="1035" t="n"/>
      <c r="K9" s="1035" t="n"/>
      <c r="L9" s="1038" t="n"/>
      <c r="M9" s="328" t="n"/>
      <c r="N9" s="359" t="n"/>
      <c r="O9" s="1030">
        <f>SUM(C9:N9)</f>
        <v/>
      </c>
      <c r="P9" s="1024">
        <f>O9/2</f>
        <v/>
      </c>
      <c r="Q9" s="369">
        <f>P9/P10%</f>
        <v/>
      </c>
    </row>
    <row r="10">
      <c r="B10" s="348" t="inlineStr">
        <is>
          <t>Total Sales  (BOT)</t>
        </is>
      </c>
      <c r="C10" s="1039" t="n">
        <v>822987</v>
      </c>
      <c r="D10" s="1039" t="n">
        <v>729741</v>
      </c>
      <c r="E10" s="1039" t="n"/>
      <c r="F10" s="1040" t="n"/>
      <c r="G10" s="1040" t="n"/>
      <c r="H10" s="1040" t="n"/>
      <c r="I10" s="1041" t="n"/>
      <c r="J10" s="1041" t="n"/>
      <c r="K10" s="1041" t="n"/>
      <c r="L10" s="1042" t="n"/>
      <c r="M10" s="1042" t="n"/>
      <c r="N10" s="1043" t="n"/>
      <c r="O10" s="1030">
        <f>SUM(C10:N10)</f>
        <v/>
      </c>
      <c r="P10" s="1024">
        <f>O10/2</f>
        <v/>
      </c>
      <c r="Q10" s="369">
        <f>SUM(Q6:Q9)</f>
        <v/>
      </c>
    </row>
    <row r="11">
      <c r="B11" s="340" t="inlineStr">
        <is>
          <t>Total Sales  (Liter)</t>
        </is>
      </c>
      <c r="C11" s="1044" t="n">
        <v>549147.5999999999</v>
      </c>
      <c r="D11" s="1045" t="n">
        <v>486294.3199999999</v>
      </c>
      <c r="E11" s="1046" t="n"/>
      <c r="F11" s="1047" t="n"/>
      <c r="G11" s="1047" t="n"/>
      <c r="H11" s="1047" t="n"/>
      <c r="I11" s="1048" t="n"/>
      <c r="J11" s="1048" t="n"/>
      <c r="K11" s="1048" t="n"/>
      <c r="L11" s="1049" t="n"/>
      <c r="M11" s="1050" t="n"/>
      <c r="N11" s="361" t="n"/>
      <c r="O11" s="1030">
        <f>SUM(C11:N11)</f>
        <v/>
      </c>
      <c r="P11" s="1024">
        <f>O11/2</f>
        <v/>
      </c>
      <c r="Q11" s="368" t="n"/>
    </row>
    <row r="12">
      <c r="B12" s="348" t="inlineStr">
        <is>
          <t>Ach % (Bot)</t>
        </is>
      </c>
      <c r="C12" s="336" t="n">
        <v>0.8203236744263607</v>
      </c>
      <c r="D12" s="336" t="n">
        <v>0.7273791997384492</v>
      </c>
      <c r="E12" s="336" t="n"/>
      <c r="F12" s="337" t="n"/>
      <c r="G12" s="337" t="n"/>
      <c r="H12" s="337" t="n"/>
      <c r="I12" s="338" t="n"/>
      <c r="J12" s="338" t="n"/>
      <c r="K12" s="338" t="n"/>
      <c r="L12" s="339" t="n"/>
      <c r="M12" s="339" t="n"/>
      <c r="N12" s="362" t="n"/>
      <c r="O12" s="364" t="n"/>
      <c r="P12" s="366" t="n"/>
      <c r="Q12" s="368" t="n"/>
    </row>
    <row r="13" ht="21" customHeight="1" thickBot="1">
      <c r="B13" s="352" t="inlineStr">
        <is>
          <t>Ach % (Liter)</t>
        </is>
      </c>
      <c r="C13" s="353" t="n">
        <v>0.826359660945118</v>
      </c>
      <c r="D13" s="353" t="n">
        <v>0.7317780473050449</v>
      </c>
      <c r="E13" s="353" t="n"/>
      <c r="F13" s="354" t="n"/>
      <c r="G13" s="354" t="n"/>
      <c r="H13" s="354" t="n"/>
      <c r="I13" s="355" t="n"/>
      <c r="J13" s="355" t="n"/>
      <c r="K13" s="355" t="n"/>
      <c r="L13" s="356" t="n"/>
      <c r="M13" s="356" t="n"/>
      <c r="N13" s="363" t="n"/>
      <c r="O13" s="364" t="n"/>
      <c r="P13" s="366" t="n"/>
      <c r="Q13" s="370" t="n"/>
    </row>
    <row r="14" ht="21" customHeight="1" thickBot="1"/>
    <row r="15" ht="61.2" customHeight="1">
      <c r="B15" s="597" t="inlineStr">
        <is>
          <t>Region</t>
        </is>
      </c>
      <c r="C15" s="598" t="inlineStr">
        <is>
          <t>Township</t>
        </is>
      </c>
      <c r="D15" s="599" t="inlineStr">
        <is>
          <t>Zay Vodka</t>
        </is>
      </c>
      <c r="E15" s="598" t="inlineStr">
        <is>
          <t>Zay</t>
        </is>
      </c>
      <c r="F15" s="599" t="inlineStr">
        <is>
          <t>Dagon Magi</t>
        </is>
      </c>
      <c r="G15" s="599" t="inlineStr">
        <is>
          <t>Dagon Pineapple</t>
        </is>
      </c>
      <c r="H15" s="599" t="inlineStr">
        <is>
          <t>Dagon Pure</t>
        </is>
      </c>
      <c r="I15" s="599" t="inlineStr">
        <is>
          <t>2 in 1 Magi</t>
        </is>
      </c>
      <c r="J15" s="599" t="inlineStr">
        <is>
          <t>Zayawaddy</t>
        </is>
      </c>
      <c r="K15" s="598" t="inlineStr">
        <is>
          <t>Kaung Kyi</t>
        </is>
      </c>
      <c r="L15" s="598" t="inlineStr">
        <is>
          <t>Cherry</t>
        </is>
      </c>
      <c r="M15" s="598" t="inlineStr">
        <is>
          <t>Lime</t>
        </is>
      </c>
      <c r="N15" s="599" t="inlineStr">
        <is>
          <t>White Orange</t>
        </is>
      </c>
      <c r="O15" s="599" t="inlineStr">
        <is>
          <t>Myanmar Shoukpyar</t>
        </is>
      </c>
      <c r="P15" s="599" t="inlineStr">
        <is>
          <t>Shwe Minthar</t>
        </is>
      </c>
      <c r="Q15" s="599" t="inlineStr">
        <is>
          <t>Moe Nae Kon Ki</t>
        </is>
      </c>
      <c r="R15" s="598" t="inlineStr">
        <is>
          <t>Formula</t>
        </is>
      </c>
      <c r="S15" s="598" t="inlineStr">
        <is>
          <t>Shwe Man</t>
        </is>
      </c>
      <c r="T15" s="598" t="inlineStr">
        <is>
          <t>Black cat</t>
        </is>
      </c>
      <c r="U15" s="598" t="inlineStr">
        <is>
          <t>Scropian</t>
        </is>
      </c>
      <c r="V15" s="600" t="inlineStr">
        <is>
          <t>SKU Total %</t>
        </is>
      </c>
    </row>
    <row r="16">
      <c r="B16" s="601" t="inlineStr">
        <is>
          <t>Meiktila</t>
        </is>
      </c>
      <c r="C16" s="602" t="inlineStr">
        <is>
          <t>Total</t>
        </is>
      </c>
      <c r="D16" s="603" t="n">
        <v>0.1560236264348601</v>
      </c>
      <c r="E16" s="604" t="n">
        <v>15.02232186756347</v>
      </c>
      <c r="F16" s="604" t="n">
        <v>0.02447429434272316</v>
      </c>
      <c r="G16" s="604" t="n">
        <v>1.44048703845742</v>
      </c>
      <c r="H16" s="604" t="n">
        <v>2.331584441050093</v>
      </c>
      <c r="I16" s="604" t="n">
        <v>0.6640691864992216</v>
      </c>
      <c r="J16" s="604" t="n">
        <v>6.172577281590595</v>
      </c>
      <c r="K16" s="604" t="n">
        <v>16.18833260857372</v>
      </c>
      <c r="L16" s="604" t="n">
        <v>5.115783079084748</v>
      </c>
      <c r="M16" s="604" t="n">
        <v>6.83811783935685</v>
      </c>
      <c r="N16" s="604" t="n">
        <v>21.62688501233548</v>
      </c>
      <c r="O16" s="604" t="n">
        <v>15.0908498917231</v>
      </c>
      <c r="P16" s="604" t="n">
        <v>1.769520617043578</v>
      </c>
      <c r="Q16" s="604" t="n">
        <v>6.111435249830828</v>
      </c>
      <c r="R16" s="604" t="n">
        <v>0.01529643396420197</v>
      </c>
      <c r="S16" s="604" t="n">
        <v>0.1901128221265102</v>
      </c>
      <c r="T16" s="604" t="n">
        <v>0.8195392277049011</v>
      </c>
      <c r="U16" s="604" t="n">
        <v>0.4225894823176864</v>
      </c>
      <c r="V16" s="612" t="n">
        <v>100</v>
      </c>
    </row>
    <row r="17">
      <c r="B17" s="605" t="inlineStr">
        <is>
          <t>Meiktila</t>
        </is>
      </c>
      <c r="C17" s="606" t="inlineStr">
        <is>
          <t>Meiktila</t>
        </is>
      </c>
      <c r="D17" s="607" t="n"/>
      <c r="E17" s="608" t="n">
        <v>8.443062001252148</v>
      </c>
      <c r="F17" s="608" t="n"/>
      <c r="G17" s="608" t="n">
        <v>0.6132974819311487</v>
      </c>
      <c r="H17" s="608" t="n">
        <v>4.046627644667931</v>
      </c>
      <c r="I17" s="608" t="n"/>
      <c r="J17" s="608" t="n">
        <v>5.12188577618333</v>
      </c>
      <c r="K17" s="608" t="n">
        <v>17.91502990535059</v>
      </c>
      <c r="L17" s="608" t="n">
        <v>0.3737281530517937</v>
      </c>
      <c r="M17" s="608" t="n">
        <v>5.064247170242578</v>
      </c>
      <c r="N17" s="608" t="n">
        <v>36.53890109016466</v>
      </c>
      <c r="O17" s="608" t="n">
        <v>14.37785087501366</v>
      </c>
      <c r="P17" s="608" t="n">
        <v>0.3207034749264965</v>
      </c>
      <c r="Q17" s="608" t="n">
        <v>4.90637985544919</v>
      </c>
      <c r="R17" s="608" t="n"/>
      <c r="S17" s="608" t="n"/>
      <c r="T17" s="608" t="n">
        <v>1.68997528354361</v>
      </c>
      <c r="U17" s="608" t="n">
        <v>0.5883112882228426</v>
      </c>
      <c r="V17" s="613" t="n">
        <v>99.99999999999999</v>
      </c>
    </row>
    <row r="18">
      <c r="B18" s="605" t="inlineStr">
        <is>
          <t>Meiktila</t>
        </is>
      </c>
      <c r="C18" s="606" t="inlineStr">
        <is>
          <t>Tarzi</t>
        </is>
      </c>
      <c r="D18" s="609" t="n"/>
      <c r="E18" s="608" t="n">
        <v>1.701067723758752</v>
      </c>
      <c r="F18" s="608" t="n"/>
      <c r="G18" s="608" t="n"/>
      <c r="H18" s="608" t="n">
        <v>2.551601585638128</v>
      </c>
      <c r="I18" s="608" t="n"/>
      <c r="J18" s="608" t="n">
        <v>17.1807840099634</v>
      </c>
      <c r="K18" s="608" t="n">
        <v>9.553317841466566</v>
      </c>
      <c r="L18" s="608" t="n">
        <v>5.148767485305509</v>
      </c>
      <c r="M18" s="608" t="n">
        <v>1.701067723758752</v>
      </c>
      <c r="N18" s="608" t="n">
        <v>15.01799790404156</v>
      </c>
      <c r="O18" s="608" t="n">
        <v>1.275800792819064</v>
      </c>
      <c r="P18" s="608" t="n">
        <v>40.34112483103234</v>
      </c>
      <c r="Q18" s="608" t="n">
        <v>5.528470102215945</v>
      </c>
      <c r="R18" s="608" t="n"/>
      <c r="S18" s="608" t="n"/>
      <c r="T18" s="608" t="n"/>
      <c r="U18" s="608" t="n"/>
      <c r="V18" s="613" t="n">
        <v>100</v>
      </c>
    </row>
    <row r="19">
      <c r="B19" s="605" t="inlineStr">
        <is>
          <t>Meiktila</t>
        </is>
      </c>
      <c r="C19" s="606" t="inlineStr">
        <is>
          <t>Pyawbwe</t>
        </is>
      </c>
      <c r="D19" s="609" t="n"/>
      <c r="E19" s="608" t="n"/>
      <c r="F19" s="608" t="n"/>
      <c r="G19" s="608" t="n"/>
      <c r="H19" s="608" t="n"/>
      <c r="I19" s="608" t="n"/>
      <c r="J19" s="608" t="n">
        <v>18.17030499572806</v>
      </c>
      <c r="K19" s="608" t="n">
        <v>7.898320789110388</v>
      </c>
      <c r="L19" s="608" t="n">
        <v>2.182531830044209</v>
      </c>
      <c r="M19" s="608" t="n">
        <v>5.866645559158834</v>
      </c>
      <c r="N19" s="608" t="n">
        <v>14.81747049798974</v>
      </c>
      <c r="O19" s="608" t="n">
        <v>48.01523465418219</v>
      </c>
      <c r="P19" s="608" t="n">
        <v>1.94856441786347</v>
      </c>
      <c r="Q19" s="608" t="n">
        <v>0.4304534777335193</v>
      </c>
      <c r="R19" s="608" t="n"/>
      <c r="S19" s="608" t="n"/>
      <c r="T19" s="608" t="n">
        <v>0.6704737781895811</v>
      </c>
      <c r="U19" s="608" t="n"/>
      <c r="V19" s="613" t="n">
        <v>99.99999999999999</v>
      </c>
    </row>
    <row r="20">
      <c r="B20" s="605" t="inlineStr">
        <is>
          <t>Meiktila</t>
        </is>
      </c>
      <c r="C20" s="606" t="inlineStr">
        <is>
          <t xml:space="preserve">Wantwin	</t>
        </is>
      </c>
      <c r="D20" s="609" t="n"/>
      <c r="E20" s="608" t="n">
        <v>7.339256811920802</v>
      </c>
      <c r="F20" s="608" t="n">
        <v>0.2005261424022077</v>
      </c>
      <c r="G20" s="608" t="n">
        <v>4.377199222722478</v>
      </c>
      <c r="H20" s="608" t="n">
        <v>1.884945738580753</v>
      </c>
      <c r="I20" s="608" t="n">
        <v>0.7619993411283894</v>
      </c>
      <c r="J20" s="608" t="n">
        <v>1.501081408839384</v>
      </c>
      <c r="K20" s="608" t="n">
        <v>23.51503229903222</v>
      </c>
      <c r="L20" s="608" t="n">
        <v>12.38607011730779</v>
      </c>
      <c r="M20" s="608" t="n">
        <v>13.59567245486968</v>
      </c>
      <c r="N20" s="608" t="n">
        <v>11.91698217704549</v>
      </c>
      <c r="O20" s="608" t="n">
        <v>20.64082425793391</v>
      </c>
      <c r="P20" s="608" t="n">
        <v>0.4280278253894744</v>
      </c>
      <c r="Q20" s="608" t="n">
        <v>0.4101237055321343</v>
      </c>
      <c r="R20" s="608" t="n"/>
      <c r="S20" s="608" t="n">
        <v>0.8952059928669988</v>
      </c>
      <c r="T20" s="608" t="n"/>
      <c r="U20" s="608" t="n">
        <v>0.1470525044282857</v>
      </c>
      <c r="V20" s="613" t="n">
        <v>100</v>
      </c>
    </row>
    <row r="21">
      <c r="B21" s="605" t="inlineStr">
        <is>
          <t>Meiktila</t>
        </is>
      </c>
      <c r="C21" s="606" t="inlineStr">
        <is>
          <t xml:space="preserve">Mahlaing	</t>
        </is>
      </c>
      <c r="D21" s="609" t="n">
        <v>0.4296155777492606</v>
      </c>
      <c r="E21" s="608" t="n">
        <v>20.72569696293403</v>
      </c>
      <c r="F21" s="608" t="n"/>
      <c r="G21" s="608" t="n"/>
      <c r="H21" s="608" t="n">
        <v>4.999163086536852</v>
      </c>
      <c r="I21" s="608" t="n"/>
      <c r="J21" s="608" t="n">
        <v>8.540236939500454</v>
      </c>
      <c r="K21" s="608" t="n">
        <v>12.01063810002046</v>
      </c>
      <c r="L21" s="608" t="n"/>
      <c r="M21" s="608" t="n">
        <v>16.24728003124477</v>
      </c>
      <c r="N21" s="608" t="n">
        <v>29.63789544161134</v>
      </c>
      <c r="O21" s="608" t="n">
        <v>1.874686157451319</v>
      </c>
      <c r="P21" s="608" t="n">
        <v>0.6248953858171065</v>
      </c>
      <c r="Q21" s="608" t="n">
        <v>2.29128308132939</v>
      </c>
      <c r="R21" s="608" t="n"/>
      <c r="S21" s="608" t="n"/>
      <c r="T21" s="608" t="n">
        <v>0.5356246164146626</v>
      </c>
      <c r="U21" s="608" t="n">
        <v>2.082984619390355</v>
      </c>
      <c r="V21" s="613" t="n">
        <v>100</v>
      </c>
    </row>
    <row r="22">
      <c r="B22" s="605" t="inlineStr">
        <is>
          <t>Meiktila</t>
        </is>
      </c>
      <c r="C22" s="606" t="inlineStr">
        <is>
          <t xml:space="preserve">Yamethin	</t>
        </is>
      </c>
      <c r="D22" s="609" t="n"/>
      <c r="E22" s="608" t="n">
        <v>9.426685786047008</v>
      </c>
      <c r="F22" s="608" t="n"/>
      <c r="G22" s="608" t="n">
        <v>0.7695253702895517</v>
      </c>
      <c r="H22" s="608" t="n"/>
      <c r="I22" s="608" t="n"/>
      <c r="J22" s="608" t="n"/>
      <c r="K22" s="608" t="n">
        <v>8.650480508029249</v>
      </c>
      <c r="L22" s="608" t="n">
        <v>21.90341744079375</v>
      </c>
      <c r="M22" s="608" t="n">
        <v>32.41981884090241</v>
      </c>
      <c r="N22" s="608" t="n">
        <v>0.1710056378421226</v>
      </c>
      <c r="O22" s="608" t="n">
        <v>14.96299331118573</v>
      </c>
      <c r="P22" s="608" t="n">
        <v>4.298297959510853</v>
      </c>
      <c r="Q22" s="608" t="n">
        <v>7.264176990835167</v>
      </c>
      <c r="R22" s="608" t="n"/>
      <c r="S22" s="608" t="n">
        <v>0.1335981545641583</v>
      </c>
      <c r="T22" s="608" t="n"/>
      <c r="U22" s="608" t="n"/>
      <c r="V22" s="613" t="n">
        <v>99.99999999999999</v>
      </c>
    </row>
    <row r="23">
      <c r="B23" s="605" t="inlineStr">
        <is>
          <t>Meiktila</t>
        </is>
      </c>
      <c r="C23" s="606" t="inlineStr">
        <is>
          <t xml:space="preserve">Kyaukpandaung	</t>
        </is>
      </c>
      <c r="D23" s="609" t="n">
        <v>0.2954353826544728</v>
      </c>
      <c r="E23" s="608" t="n">
        <v>40.75695234486594</v>
      </c>
      <c r="F23" s="610" t="n"/>
      <c r="G23" s="608" t="n"/>
      <c r="H23" s="608" t="n"/>
      <c r="I23" s="608" t="n"/>
      <c r="J23" s="608" t="n">
        <v>0.8042407638927316</v>
      </c>
      <c r="K23" s="608" t="n">
        <v>19.95830140599105</v>
      </c>
      <c r="L23" s="608" t="n">
        <v>9.580547408937905</v>
      </c>
      <c r="M23" s="608" t="n"/>
      <c r="N23" s="608" t="n">
        <v>4.537887477572703</v>
      </c>
      <c r="O23" s="608" t="n"/>
      <c r="P23" s="608" t="n">
        <v>1.625363549651433</v>
      </c>
      <c r="Q23" s="608" t="n">
        <v>22.34279320554893</v>
      </c>
      <c r="R23" s="608" t="n">
        <v>0.09847846088482427</v>
      </c>
      <c r="S23" s="608" t="n"/>
      <c r="T23" s="608" t="n"/>
      <c r="U23" s="608" t="n"/>
      <c r="V23" s="613" t="n">
        <v>100</v>
      </c>
    </row>
    <row r="24">
      <c r="B24" s="605" t="inlineStr">
        <is>
          <t>Meiktila</t>
        </is>
      </c>
      <c r="C24" s="606" t="inlineStr">
        <is>
          <t xml:space="preserve">Taugthar	</t>
        </is>
      </c>
      <c r="D24" s="609" t="n"/>
      <c r="E24" s="608" t="n"/>
      <c r="F24" s="608" t="n"/>
      <c r="G24" s="608" t="n"/>
      <c r="H24" s="608" t="n"/>
      <c r="I24" s="608" t="n"/>
      <c r="J24" s="608" t="n"/>
      <c r="K24" s="608" t="n">
        <v>100</v>
      </c>
      <c r="L24" s="608" t="n"/>
      <c r="M24" s="608" t="n"/>
      <c r="N24" s="608" t="n"/>
      <c r="O24" s="608" t="n"/>
      <c r="P24" s="608" t="n"/>
      <c r="Q24" s="608" t="n"/>
      <c r="R24" s="608" t="n"/>
      <c r="S24" s="608" t="n"/>
      <c r="T24" s="608" t="n"/>
      <c r="U24" s="608" t="n"/>
      <c r="V24" s="613" t="n">
        <v>100</v>
      </c>
    </row>
    <row r="25">
      <c r="B25" s="605" t="inlineStr">
        <is>
          <t>Meiktila</t>
        </is>
      </c>
      <c r="C25" s="606" t="inlineStr">
        <is>
          <t xml:space="preserve">Myingan	</t>
        </is>
      </c>
      <c r="D25" s="609" t="n">
        <v>5.255781359495446</v>
      </c>
      <c r="E25" s="608" t="n">
        <v>38.68255080588649</v>
      </c>
      <c r="F25" s="608" t="n"/>
      <c r="G25" s="608" t="n">
        <v>43.24757232956252</v>
      </c>
      <c r="H25" s="608" t="n"/>
      <c r="I25" s="608" t="n"/>
      <c r="J25" s="608" t="n"/>
      <c r="K25" s="608" t="n">
        <v>8.969866853538894</v>
      </c>
      <c r="L25" s="608" t="n"/>
      <c r="M25" s="608" t="n"/>
      <c r="N25" s="608" t="n"/>
      <c r="O25" s="608" t="n"/>
      <c r="P25" s="608" t="n">
        <v>3.844228651516668</v>
      </c>
      <c r="Q25" s="608" t="n"/>
      <c r="R25" s="608" t="n"/>
      <c r="S25" s="608" t="n"/>
      <c r="T25" s="608" t="n"/>
      <c r="U25" s="608" t="n"/>
      <c r="V25" s="613" t="n">
        <v>100</v>
      </c>
    </row>
    <row r="26">
      <c r="B26" s="605" t="inlineStr">
        <is>
          <t>Meiktila</t>
        </is>
      </c>
      <c r="C26" s="606" t="inlineStr">
        <is>
          <t xml:space="preserve">Bagan	</t>
        </is>
      </c>
      <c r="D26" s="611" t="n"/>
      <c r="E26" s="608" t="n">
        <v>26.48953301127214</v>
      </c>
      <c r="F26" s="608" t="n"/>
      <c r="G26" s="608" t="n"/>
      <c r="H26" s="608" t="n"/>
      <c r="I26" s="608" t="n">
        <v>2.254428341384863</v>
      </c>
      <c r="J26" s="608" t="n"/>
      <c r="K26" s="608" t="n">
        <v>8.303140096618357</v>
      </c>
      <c r="L26" s="608" t="n">
        <v>52.83816425120773</v>
      </c>
      <c r="M26" s="608" t="n"/>
      <c r="N26" s="608" t="n"/>
      <c r="O26" s="608" t="n"/>
      <c r="P26" s="608" t="n">
        <v>4.830917874396135</v>
      </c>
      <c r="Q26" s="608" t="n"/>
      <c r="R26" s="608" t="n"/>
      <c r="S26" s="608" t="n">
        <v>5.283816425120773</v>
      </c>
      <c r="T26" s="608" t="n"/>
      <c r="U26" s="608" t="n"/>
      <c r="V26" s="613" t="n">
        <v>100</v>
      </c>
    </row>
    <row r="27">
      <c r="B27" s="605" t="inlineStr">
        <is>
          <t>Meiktila</t>
        </is>
      </c>
      <c r="C27" s="606" t="inlineStr">
        <is>
          <t xml:space="preserve">Pakoku	</t>
        </is>
      </c>
      <c r="D27" s="609" t="n"/>
      <c r="E27" s="608" t="n">
        <v>55.52136752136752</v>
      </c>
      <c r="F27" s="608" t="n"/>
      <c r="G27" s="608" t="n"/>
      <c r="H27" s="608" t="n"/>
      <c r="I27" s="608" t="n">
        <v>21.05982905982906</v>
      </c>
      <c r="J27" s="608" t="n">
        <v>19.14529914529914</v>
      </c>
      <c r="K27" s="608" t="n"/>
      <c r="L27" s="608" t="n">
        <v>4.273504273504273</v>
      </c>
      <c r="M27" s="608" t="n"/>
      <c r="N27" s="608" t="n"/>
      <c r="O27" s="608" t="n"/>
      <c r="P27" s="608" t="n"/>
      <c r="Q27" s="608" t="n"/>
      <c r="R27" s="608" t="n"/>
      <c r="S27" s="608" t="n"/>
      <c r="T27" s="608" t="n"/>
      <c r="U27" s="608" t="n"/>
      <c r="V27" s="613" t="n">
        <v>100</v>
      </c>
    </row>
    <row r="29">
      <c r="B29" s="852" t="inlineStr">
        <is>
          <t>Region</t>
        </is>
      </c>
      <c r="C29" s="852" t="inlineStr">
        <is>
          <t>Township</t>
        </is>
      </c>
      <c r="D29" s="615" t="inlineStr">
        <is>
          <t>Primary Focus Products</t>
        </is>
      </c>
      <c r="E29" s="614" t="inlineStr">
        <is>
          <t>Secondary Focus Products</t>
        </is>
      </c>
    </row>
    <row r="30">
      <c r="B30" s="616" t="inlineStr">
        <is>
          <t>Meiktila</t>
        </is>
      </c>
      <c r="C30" s="602" t="inlineStr">
        <is>
          <t>Total</t>
        </is>
      </c>
      <c r="D30" s="364" t="inlineStr">
        <is>
          <t>Zayawaddy, cherry, Lime, Moe Nae Kon ki</t>
        </is>
      </c>
      <c r="E30" s="364" t="inlineStr">
        <is>
          <t>Zay, White Orange &amp; Kaung Kyi, Myanmar Shoukpyar</t>
        </is>
      </c>
    </row>
    <row r="31">
      <c r="B31" s="617" t="inlineStr">
        <is>
          <t>Meiktila</t>
        </is>
      </c>
      <c r="C31" s="606" t="inlineStr">
        <is>
          <t>Meiktila</t>
        </is>
      </c>
      <c r="D31" s="364" t="inlineStr">
        <is>
          <t>Zayawaddy, cherry, Lime, Moe Nae Kon ki</t>
        </is>
      </c>
      <c r="E31" s="364" t="inlineStr">
        <is>
          <t>Zay, White Orange &amp; Kaung Kyi, Myanmar Shoukpyar</t>
        </is>
      </c>
    </row>
    <row r="32">
      <c r="B32" s="617" t="inlineStr">
        <is>
          <t>Meiktila</t>
        </is>
      </c>
      <c r="C32" s="606" t="inlineStr">
        <is>
          <t>Tarzi</t>
        </is>
      </c>
      <c r="D32" s="364" t="inlineStr">
        <is>
          <t>Zayawaddy, cherry, Lime, Moe Nae Kon ki</t>
        </is>
      </c>
      <c r="E32" s="364" t="inlineStr">
        <is>
          <t>Zay, White Orange &amp; Kaung Kyi, Myanmar Shoukpyar</t>
        </is>
      </c>
    </row>
    <row r="33">
      <c r="B33" s="617" t="inlineStr">
        <is>
          <t>Meiktila</t>
        </is>
      </c>
      <c r="C33" s="606" t="inlineStr">
        <is>
          <t>Pyawbwe</t>
        </is>
      </c>
      <c r="D33" s="364" t="inlineStr">
        <is>
          <t>Zayawaddy, cherry, Lime, Moe Nae Kon ki</t>
        </is>
      </c>
      <c r="E33" s="364" t="inlineStr">
        <is>
          <t>Zay, White Orange &amp; Kaung Kyi, Myanmar Shoukpyar</t>
        </is>
      </c>
    </row>
    <row r="34">
      <c r="B34" s="617" t="inlineStr">
        <is>
          <t>Meiktila</t>
        </is>
      </c>
      <c r="C34" s="606" t="inlineStr">
        <is>
          <t xml:space="preserve">Wantwin	</t>
        </is>
      </c>
      <c r="D34" s="364" t="inlineStr">
        <is>
          <t>Zayawaddy, cherry, Lime, Moe Nae Kon ki</t>
        </is>
      </c>
      <c r="E34" s="364" t="inlineStr">
        <is>
          <t>Zay, White Orange &amp; Kaung Kyi, Myanmar Shoukpyar</t>
        </is>
      </c>
    </row>
    <row r="35">
      <c r="B35" s="617" t="inlineStr">
        <is>
          <t>Meiktila</t>
        </is>
      </c>
      <c r="C35" s="606" t="inlineStr">
        <is>
          <t xml:space="preserve">Mahlaing	</t>
        </is>
      </c>
      <c r="D35" s="364" t="inlineStr">
        <is>
          <t>Zayawaddy, cherry, Lime, Moe Nae Kon ki</t>
        </is>
      </c>
      <c r="E35" s="364" t="inlineStr">
        <is>
          <t>Zay, White Orange &amp; Kaung Kyi, Myanmar Shoukpyar</t>
        </is>
      </c>
    </row>
    <row r="36">
      <c r="B36" s="617" t="inlineStr">
        <is>
          <t>Meiktila</t>
        </is>
      </c>
      <c r="C36" s="606" t="inlineStr">
        <is>
          <t xml:space="preserve">Yamethin	</t>
        </is>
      </c>
      <c r="D36" s="364" t="inlineStr">
        <is>
          <t>Zayawaddy, cherry, Lime, Moe Nae Kon ki</t>
        </is>
      </c>
      <c r="E36" s="364" t="inlineStr">
        <is>
          <t>Zay, White Orange &amp; Kaung Kyi, Myanmar Shoukpyar</t>
        </is>
      </c>
    </row>
    <row r="37">
      <c r="B37" s="617" t="inlineStr">
        <is>
          <t>Meiktila</t>
        </is>
      </c>
      <c r="C37" s="606" t="inlineStr">
        <is>
          <t xml:space="preserve">Kyaukpandaung	</t>
        </is>
      </c>
      <c r="D37" s="364" t="inlineStr">
        <is>
          <t>Zayawaddy, cherry, Lime, Moe Nae Kon ki</t>
        </is>
      </c>
      <c r="E37" s="364" t="inlineStr">
        <is>
          <t>Zay, White Orange &amp; Kaung Kyi, Myanmar Shoukpyar</t>
        </is>
      </c>
    </row>
    <row r="38">
      <c r="B38" s="617" t="inlineStr">
        <is>
          <t>Meiktila</t>
        </is>
      </c>
      <c r="C38" s="606" t="inlineStr">
        <is>
          <t xml:space="preserve">Taugthar	</t>
        </is>
      </c>
      <c r="D38" s="364" t="inlineStr">
        <is>
          <t>Zayawaddy, cherry, Lime, Moe Nae Kon ki</t>
        </is>
      </c>
      <c r="E38" s="364" t="inlineStr">
        <is>
          <t>Zay, White Orange &amp; Kaung Kyi, Myanmar Shoukpyar</t>
        </is>
      </c>
    </row>
    <row r="39">
      <c r="B39" s="617" t="inlineStr">
        <is>
          <t>Meiktila</t>
        </is>
      </c>
      <c r="C39" s="606" t="inlineStr">
        <is>
          <t xml:space="preserve">Myingan	</t>
        </is>
      </c>
      <c r="D39" s="364" t="inlineStr">
        <is>
          <t>Zayawaddy, cherry, Lime, Moe Nae Kon ki</t>
        </is>
      </c>
      <c r="E39" s="364" t="inlineStr">
        <is>
          <t>Zay, White Orange &amp; Kaung Kyi, Myanmar Shoukpyar</t>
        </is>
      </c>
    </row>
    <row r="40">
      <c r="B40" s="617" t="inlineStr">
        <is>
          <t>Meiktila</t>
        </is>
      </c>
      <c r="C40" s="606" t="inlineStr">
        <is>
          <t xml:space="preserve">Bagan	</t>
        </is>
      </c>
      <c r="D40" s="364" t="inlineStr">
        <is>
          <t>Zayawaddy, cherry, Lime, Moe Nae Kon ki</t>
        </is>
      </c>
      <c r="E40" s="364" t="inlineStr">
        <is>
          <t>Zay, White Orange &amp; Kaung Kyi, Myanmar Shoukpyar</t>
        </is>
      </c>
    </row>
    <row r="41">
      <c r="B41" s="617" t="inlineStr">
        <is>
          <t>Meiktila</t>
        </is>
      </c>
      <c r="C41" s="606" t="inlineStr">
        <is>
          <t xml:space="preserve">Pakoku	</t>
        </is>
      </c>
      <c r="D41" s="364" t="inlineStr">
        <is>
          <t>Zayawaddy, cherry, Lime, Moe Nae Kon ki</t>
        </is>
      </c>
      <c r="E41" s="364" t="inlineStr">
        <is>
          <t>Zay, White Orange &amp; Kaung Kyi, Myanmar Shoukpyar</t>
        </is>
      </c>
    </row>
  </sheetData>
  <mergeCells count="5">
    <mergeCell ref="C2:E2"/>
    <mergeCell ref="I2:K2"/>
    <mergeCell ref="F2:H2"/>
    <mergeCell ref="B2:B3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2"/>
  <sheetViews>
    <sheetView zoomScale="80" zoomScaleNormal="80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AJ52" sqref="AJ52"/>
    </sheetView>
  </sheetViews>
  <sheetFormatPr baseColWidth="8" defaultColWidth="9.109375" defaultRowHeight="20.4"/>
  <cols>
    <col width="6" customWidth="1" style="390" min="1" max="1"/>
    <col hidden="1" width="16.33203125" customWidth="1" style="390" min="2" max="2"/>
    <col width="19.33203125" bestFit="1" customWidth="1" style="390" min="3" max="3"/>
    <col hidden="1" width="24.6640625" customWidth="1" style="390" min="4" max="4"/>
    <col width="18.88671875" customWidth="1" style="390" min="5" max="5"/>
    <col width="18.5546875" bestFit="1" customWidth="1" style="390" min="6" max="6"/>
    <col hidden="1" width="8.5546875" customWidth="1" style="390" min="7" max="7"/>
    <col hidden="1" width="9.44140625" customWidth="1" style="390" min="8" max="8"/>
    <col hidden="1" width="8.5546875" customWidth="1" style="390" min="9" max="9"/>
    <col hidden="1" width="9.33203125" customWidth="1" style="390" min="10" max="10"/>
    <col hidden="1" width="9.109375" customWidth="1" style="390" min="11" max="11"/>
    <col hidden="1" width="10.44140625" customWidth="1" style="390" min="12" max="12"/>
    <col hidden="1" width="8.44140625" customWidth="1" style="390" min="13" max="13"/>
    <col hidden="1" width="9.88671875" customWidth="1" style="390" min="14" max="14"/>
    <col hidden="1" width="9.5546875" customWidth="1" style="390" min="15" max="15"/>
    <col hidden="1" width="10.5546875" customWidth="1" style="390" min="16" max="16"/>
    <col hidden="1" width="9.44140625" customWidth="1" style="390" min="17" max="17"/>
    <col hidden="1" width="10.44140625" customWidth="1" style="390" min="18" max="18"/>
    <col hidden="1" width="8.44140625" customWidth="1" style="390" min="19" max="19"/>
    <col hidden="1" width="9.88671875" customWidth="1" style="390" min="20" max="20"/>
    <col hidden="1" width="8.109375" customWidth="1" style="390" min="21" max="21"/>
    <col hidden="1" width="9.33203125" customWidth="1" style="390" min="22" max="22"/>
    <col hidden="1" width="9.6640625" customWidth="1" style="390" min="23" max="23"/>
    <col hidden="1" width="9.109375" customWidth="1" style="390" min="24" max="24"/>
    <col hidden="1" width="9.6640625" customWidth="1" style="390" min="25" max="25"/>
    <col hidden="1" width="10.88671875" customWidth="1" style="390" min="26" max="26"/>
    <col hidden="1" width="8.109375" customWidth="1" style="390" min="27" max="27"/>
    <col hidden="1" width="9.109375" customWidth="1" style="390" min="28" max="28"/>
    <col hidden="1" width="10.88671875" customWidth="1" style="390" min="29" max="30"/>
    <col hidden="1" width="8.33203125" customWidth="1" style="390" min="31" max="31"/>
    <col hidden="1" width="11.44140625" customWidth="1" style="390" min="32" max="32"/>
    <col hidden="1" width="13.44140625" customWidth="1" style="390" min="33" max="33"/>
    <col hidden="1" width="11.6640625" customWidth="1" style="390" min="34" max="34"/>
    <col width="11.6640625" customWidth="1" style="390" min="35" max="36"/>
    <col hidden="1" width="10" customWidth="1" style="390" min="37" max="43"/>
    <col hidden="1" width="10.88671875" customWidth="1" style="390" min="44" max="44"/>
    <col hidden="1" width="10" customWidth="1" style="390" min="45" max="72"/>
    <col hidden="1" width="10.5546875" customWidth="1" style="390" min="73" max="73"/>
    <col hidden="1" width="12.109375" customWidth="1" style="390" min="74" max="74"/>
    <col hidden="1" width="12" customWidth="1" style="390" min="75" max="75"/>
    <col width="10.5546875" bestFit="1" customWidth="1" style="390" min="76" max="76"/>
    <col width="10.44140625" bestFit="1" customWidth="1" style="390" min="77" max="78"/>
    <col width="9.44140625" bestFit="1" customWidth="1" style="390" min="79" max="79"/>
    <col width="12.33203125" customWidth="1" style="390" min="80" max="80"/>
    <col width="9.109375" customWidth="1" style="390" min="81" max="16384"/>
  </cols>
  <sheetData>
    <row r="1">
      <c r="A1" s="421" t="n"/>
      <c r="B1" s="422" t="n"/>
      <c r="C1" s="423" t="n"/>
      <c r="F1" s="414" t="n"/>
      <c r="AC1" s="421" t="n"/>
      <c r="AD1" s="423" t="n"/>
      <c r="BX1" s="421" t="n"/>
      <c r="BY1" s="422" t="n"/>
      <c r="BZ1" s="422" t="n"/>
      <c r="CA1" s="421" t="n"/>
      <c r="CB1" s="423" t="n"/>
    </row>
    <row r="2" ht="29.25" customHeight="1">
      <c r="A2" s="861" t="inlineStr">
        <is>
          <t>Master File Meikhtila  2025</t>
        </is>
      </c>
      <c r="B2" s="970" t="n"/>
      <c r="C2" s="970" t="n"/>
      <c r="D2" s="970" t="n"/>
      <c r="E2" s="970" t="n"/>
      <c r="F2" s="971" t="n"/>
      <c r="G2" s="846" t="n">
        <v>45292</v>
      </c>
      <c r="H2" s="971" t="n"/>
      <c r="I2" s="844" t="n">
        <v>45323</v>
      </c>
      <c r="J2" s="971" t="n"/>
      <c r="K2" s="844" t="n">
        <v>45352</v>
      </c>
      <c r="L2" s="971" t="n"/>
      <c r="M2" s="844" t="n">
        <v>45383</v>
      </c>
      <c r="N2" s="971" t="n"/>
      <c r="O2" s="844" t="n">
        <v>45413</v>
      </c>
      <c r="P2" s="971" t="n"/>
      <c r="Q2" s="844" t="n">
        <v>45444</v>
      </c>
      <c r="R2" s="971" t="n"/>
      <c r="S2" s="844" t="n">
        <v>45474</v>
      </c>
      <c r="T2" s="971" t="n"/>
      <c r="U2" s="844" t="n">
        <v>45505</v>
      </c>
      <c r="V2" s="971" t="n"/>
      <c r="W2" s="844" t="n">
        <v>45536</v>
      </c>
      <c r="X2" s="971" t="n"/>
      <c r="Y2" s="844" t="n">
        <v>45566</v>
      </c>
      <c r="Z2" s="971" t="n"/>
      <c r="AA2" s="846" t="n">
        <v>45597</v>
      </c>
      <c r="AB2" s="971" t="n"/>
      <c r="AC2" s="859" t="inlineStr">
        <is>
          <t>2024 Jan-Nov AVG</t>
        </is>
      </c>
      <c r="AD2" s="971" t="n"/>
      <c r="AE2" s="844" t="n">
        <v>45627</v>
      </c>
      <c r="AF2" s="971" t="n"/>
      <c r="AG2" s="845" t="inlineStr">
        <is>
          <t>2024-Total</t>
        </is>
      </c>
      <c r="AH2" s="971" t="n"/>
      <c r="AI2" s="845" t="inlineStr">
        <is>
          <t>Jan-Dec 2024 AVG</t>
        </is>
      </c>
      <c r="AJ2" s="971" t="n"/>
      <c r="AK2" s="842" t="n">
        <v>45658</v>
      </c>
      <c r="AL2" s="970" t="n"/>
      <c r="AM2" s="971" t="n"/>
      <c r="AN2" s="842" t="n">
        <v>45689</v>
      </c>
      <c r="AO2" s="970" t="n"/>
      <c r="AP2" s="971" t="n"/>
      <c r="AQ2" s="842" t="n">
        <v>45717</v>
      </c>
      <c r="AR2" s="970" t="n"/>
      <c r="AS2" s="971" t="n"/>
      <c r="AT2" s="842" t="n">
        <v>45748</v>
      </c>
      <c r="AU2" s="970" t="n"/>
      <c r="AV2" s="971" t="n"/>
      <c r="AW2" s="842" t="n">
        <v>45778</v>
      </c>
      <c r="AX2" s="970" t="n"/>
      <c r="AY2" s="971" t="n"/>
      <c r="AZ2" s="842" t="n">
        <v>45809</v>
      </c>
      <c r="BA2" s="970" t="n"/>
      <c r="BB2" s="971" t="n"/>
      <c r="BC2" s="842" t="n">
        <v>45839</v>
      </c>
      <c r="BD2" s="970" t="n"/>
      <c r="BE2" s="971" t="n"/>
      <c r="BF2" s="842" t="n">
        <v>45870</v>
      </c>
      <c r="BG2" s="970" t="n"/>
      <c r="BH2" s="971" t="n"/>
      <c r="BI2" s="842" t="n">
        <v>45901</v>
      </c>
      <c r="BJ2" s="970" t="n"/>
      <c r="BK2" s="971" t="n"/>
      <c r="BL2" s="842" t="n">
        <v>45931</v>
      </c>
      <c r="BM2" s="970" t="n"/>
      <c r="BN2" s="971" t="n"/>
      <c r="BO2" s="842" t="n">
        <v>45962</v>
      </c>
      <c r="BP2" s="970" t="n"/>
      <c r="BQ2" s="971" t="n"/>
      <c r="BR2" s="842" t="n">
        <v>45992</v>
      </c>
      <c r="BS2" s="970" t="n"/>
      <c r="BT2" s="971" t="n"/>
      <c r="BU2" s="845" t="inlineStr">
        <is>
          <t>2025-Total</t>
        </is>
      </c>
      <c r="BV2" s="970" t="n"/>
      <c r="BW2" s="971" t="n"/>
      <c r="BX2" s="847" t="inlineStr">
        <is>
          <t>Jan-Dec AVG 2025</t>
        </is>
      </c>
      <c r="BY2" s="970" t="n"/>
      <c r="BZ2" s="971" t="n"/>
      <c r="CA2" s="432" t="inlineStr">
        <is>
          <t>PKT</t>
        </is>
      </c>
      <c r="CB2" s="428" t="n"/>
    </row>
    <row r="3" ht="21" customHeight="1" thickBot="1">
      <c r="A3" s="424" t="inlineStr">
        <is>
          <t>Sr.No</t>
        </is>
      </c>
      <c r="B3" s="849" t="inlineStr">
        <is>
          <t>Customer Name</t>
        </is>
      </c>
      <c r="C3" s="1051" t="n"/>
      <c r="D3" s="851" t="inlineStr">
        <is>
          <t>Area</t>
        </is>
      </c>
      <c r="E3" s="971" t="n"/>
      <c r="F3" s="425" t="inlineStr">
        <is>
          <t>Outlet Type</t>
        </is>
      </c>
      <c r="G3" s="417" t="inlineStr">
        <is>
          <t>PKT</t>
        </is>
      </c>
      <c r="H3" s="392" t="inlineStr">
        <is>
          <t>BOT</t>
        </is>
      </c>
      <c r="I3" s="392" t="inlineStr">
        <is>
          <t>PKT</t>
        </is>
      </c>
      <c r="J3" s="392" t="inlineStr">
        <is>
          <t>BOT</t>
        </is>
      </c>
      <c r="K3" s="392" t="inlineStr">
        <is>
          <t>PKT</t>
        </is>
      </c>
      <c r="L3" s="392" t="inlineStr">
        <is>
          <t>BOT</t>
        </is>
      </c>
      <c r="M3" s="392" t="inlineStr">
        <is>
          <t>PKT</t>
        </is>
      </c>
      <c r="N3" s="392" t="inlineStr">
        <is>
          <t>BOT</t>
        </is>
      </c>
      <c r="O3" s="392" t="inlineStr">
        <is>
          <t>PKT</t>
        </is>
      </c>
      <c r="P3" s="392" t="inlineStr">
        <is>
          <t>BOT</t>
        </is>
      </c>
      <c r="Q3" s="392" t="inlineStr">
        <is>
          <t>PKT</t>
        </is>
      </c>
      <c r="R3" s="392" t="inlineStr">
        <is>
          <t>BOT</t>
        </is>
      </c>
      <c r="S3" s="392" t="inlineStr">
        <is>
          <t>PKT</t>
        </is>
      </c>
      <c r="T3" s="392" t="inlineStr">
        <is>
          <t>BOT</t>
        </is>
      </c>
      <c r="U3" s="392" t="inlineStr">
        <is>
          <t>PKT</t>
        </is>
      </c>
      <c r="V3" s="392" t="inlineStr">
        <is>
          <t>BOT</t>
        </is>
      </c>
      <c r="W3" s="392" t="inlineStr">
        <is>
          <t>PKT</t>
        </is>
      </c>
      <c r="X3" s="392" t="inlineStr">
        <is>
          <t>BOT</t>
        </is>
      </c>
      <c r="Y3" s="392" t="inlineStr">
        <is>
          <t>PKT</t>
        </is>
      </c>
      <c r="Z3" s="392" t="inlineStr">
        <is>
          <t>BOT</t>
        </is>
      </c>
      <c r="AA3" s="417" t="inlineStr">
        <is>
          <t>PKT</t>
        </is>
      </c>
      <c r="AB3" s="392" t="inlineStr">
        <is>
          <t>BOT</t>
        </is>
      </c>
      <c r="AC3" s="426" t="inlineStr">
        <is>
          <t>PKT</t>
        </is>
      </c>
      <c r="AD3" s="427" t="inlineStr">
        <is>
          <t>BOT</t>
        </is>
      </c>
      <c r="AE3" s="392" t="inlineStr">
        <is>
          <t>PKT</t>
        </is>
      </c>
      <c r="AF3" s="392" t="inlineStr">
        <is>
          <t>BOT</t>
        </is>
      </c>
      <c r="AG3" s="392" t="inlineStr">
        <is>
          <t>PKT</t>
        </is>
      </c>
      <c r="AH3" s="392" t="inlineStr">
        <is>
          <t>BOT</t>
        </is>
      </c>
      <c r="AI3" s="392" t="inlineStr">
        <is>
          <t>PKT</t>
        </is>
      </c>
      <c r="AJ3" s="392" t="inlineStr">
        <is>
          <t>BOT</t>
        </is>
      </c>
      <c r="AK3" s="392" t="inlineStr">
        <is>
          <t>PKT</t>
        </is>
      </c>
      <c r="AL3" s="392" t="inlineStr">
        <is>
          <t>BOT</t>
        </is>
      </c>
      <c r="AM3" s="392" t="inlineStr">
        <is>
          <t>Lit</t>
        </is>
      </c>
      <c r="AN3" s="392" t="inlineStr">
        <is>
          <t>PKT</t>
        </is>
      </c>
      <c r="AO3" s="392" t="inlineStr">
        <is>
          <t>BOT</t>
        </is>
      </c>
      <c r="AP3" s="392" t="inlineStr">
        <is>
          <t>Lit</t>
        </is>
      </c>
      <c r="AQ3" s="392" t="inlineStr">
        <is>
          <t>PKT</t>
        </is>
      </c>
      <c r="AR3" s="392" t="inlineStr">
        <is>
          <t>BOT</t>
        </is>
      </c>
      <c r="AS3" s="392" t="inlineStr">
        <is>
          <t>Lit</t>
        </is>
      </c>
      <c r="AT3" s="392" t="inlineStr">
        <is>
          <t>PKT</t>
        </is>
      </c>
      <c r="AU3" s="392" t="inlineStr">
        <is>
          <t>BOT</t>
        </is>
      </c>
      <c r="AV3" s="392" t="inlineStr">
        <is>
          <t>Lit</t>
        </is>
      </c>
      <c r="AW3" s="392" t="inlineStr">
        <is>
          <t>PKT</t>
        </is>
      </c>
      <c r="AX3" s="392" t="inlineStr">
        <is>
          <t>BOT</t>
        </is>
      </c>
      <c r="AY3" s="392" t="inlineStr">
        <is>
          <t>Lit</t>
        </is>
      </c>
      <c r="AZ3" s="392" t="inlineStr">
        <is>
          <t>PKT</t>
        </is>
      </c>
      <c r="BA3" s="392" t="inlineStr">
        <is>
          <t>BOT</t>
        </is>
      </c>
      <c r="BB3" s="392" t="inlineStr">
        <is>
          <t>Lit</t>
        </is>
      </c>
      <c r="BC3" s="392" t="inlineStr">
        <is>
          <t>PKT</t>
        </is>
      </c>
      <c r="BD3" s="392" t="inlineStr">
        <is>
          <t>BOT</t>
        </is>
      </c>
      <c r="BE3" s="392" t="inlineStr">
        <is>
          <t>Lit</t>
        </is>
      </c>
      <c r="BF3" s="392" t="inlineStr">
        <is>
          <t>PKT</t>
        </is>
      </c>
      <c r="BG3" s="392" t="inlineStr">
        <is>
          <t>BOT</t>
        </is>
      </c>
      <c r="BH3" s="392" t="inlineStr">
        <is>
          <t>Lit</t>
        </is>
      </c>
      <c r="BI3" s="392" t="inlineStr">
        <is>
          <t>PKT</t>
        </is>
      </c>
      <c r="BJ3" s="392" t="inlineStr">
        <is>
          <t>BOT</t>
        </is>
      </c>
      <c r="BK3" s="392" t="inlineStr">
        <is>
          <t>Lit</t>
        </is>
      </c>
      <c r="BL3" s="392" t="inlineStr">
        <is>
          <t>PKT</t>
        </is>
      </c>
      <c r="BM3" s="392" t="inlineStr">
        <is>
          <t>BOT</t>
        </is>
      </c>
      <c r="BN3" s="392" t="inlineStr">
        <is>
          <t>Lit</t>
        </is>
      </c>
      <c r="BO3" s="392" t="inlineStr">
        <is>
          <t>PKT</t>
        </is>
      </c>
      <c r="BP3" s="392" t="inlineStr">
        <is>
          <t>BOT</t>
        </is>
      </c>
      <c r="BQ3" s="392" t="inlineStr">
        <is>
          <t>Lit</t>
        </is>
      </c>
      <c r="BR3" s="392" t="inlineStr">
        <is>
          <t>PKT</t>
        </is>
      </c>
      <c r="BS3" s="392" t="inlineStr">
        <is>
          <t>BOT</t>
        </is>
      </c>
      <c r="BT3" s="392" t="inlineStr">
        <is>
          <t>Lit</t>
        </is>
      </c>
      <c r="BU3" s="392" t="inlineStr">
        <is>
          <t>PKT</t>
        </is>
      </c>
      <c r="BV3" s="392" t="inlineStr">
        <is>
          <t>BOT</t>
        </is>
      </c>
      <c r="BW3" s="392" t="inlineStr">
        <is>
          <t>Lit</t>
        </is>
      </c>
      <c r="BX3" s="426" t="inlineStr">
        <is>
          <t>PKT</t>
        </is>
      </c>
      <c r="BY3" s="429" t="inlineStr">
        <is>
          <t>BOT</t>
        </is>
      </c>
      <c r="BZ3" s="431" t="inlineStr">
        <is>
          <t>Lit</t>
        </is>
      </c>
      <c r="CA3" s="433" t="inlineStr">
        <is>
          <t>Growth</t>
        </is>
      </c>
      <c r="CB3" s="430" t="inlineStr">
        <is>
          <t>Remarks</t>
        </is>
      </c>
    </row>
    <row r="4" ht="21" customHeight="1" thickBot="1">
      <c r="A4" s="418" t="n">
        <v>1</v>
      </c>
      <c r="B4" s="418" t="inlineStr">
        <is>
          <t>ရွှေမြင်း</t>
        </is>
      </c>
      <c r="C4" s="418" t="inlineStr">
        <is>
          <t>Golden Horse</t>
        </is>
      </c>
      <c r="D4" s="852" t="inlineStr">
        <is>
          <t>မိတ္ထီလာ</t>
        </is>
      </c>
      <c r="E4" s="852" t="inlineStr">
        <is>
          <t>Meikhtila</t>
        </is>
      </c>
      <c r="F4" s="418" t="inlineStr">
        <is>
          <t>ContractWholesales</t>
        </is>
      </c>
      <c r="G4" s="1052" t="n">
        <v>12031</v>
      </c>
      <c r="H4" s="1052" t="n">
        <v>198014</v>
      </c>
      <c r="I4" s="1052" t="n">
        <v>11110</v>
      </c>
      <c r="J4" s="1052" t="n">
        <v>182120</v>
      </c>
      <c r="K4" s="1052" t="n">
        <v>12250</v>
      </c>
      <c r="L4" s="1052" t="n">
        <v>199906</v>
      </c>
      <c r="M4" s="1052" t="n">
        <v>10615</v>
      </c>
      <c r="N4" s="1052" t="n">
        <v>175860</v>
      </c>
      <c r="O4" s="1052" t="n">
        <v>10324</v>
      </c>
      <c r="P4" s="1052" t="n">
        <v>169560</v>
      </c>
      <c r="Q4" s="1052" t="n">
        <v>11201</v>
      </c>
      <c r="R4" s="1052" t="n">
        <v>185414</v>
      </c>
      <c r="S4" s="1052" t="n">
        <v>12184</v>
      </c>
      <c r="T4" s="1052" t="n">
        <v>198826</v>
      </c>
      <c r="U4" s="1052" t="n">
        <v>9687</v>
      </c>
      <c r="V4" s="1052" t="n">
        <v>163388</v>
      </c>
      <c r="W4" s="1052" t="n">
        <v>13358</v>
      </c>
      <c r="X4" s="1052" t="n">
        <v>216802</v>
      </c>
      <c r="Y4" s="1052" t="n">
        <v>11203</v>
      </c>
      <c r="Z4" s="1053" t="n">
        <v>183792</v>
      </c>
      <c r="AA4" s="1054" t="n">
        <v>10964</v>
      </c>
      <c r="AB4" s="1052" t="n">
        <v>179636</v>
      </c>
      <c r="AC4" s="1055">
        <f>(Y4+W4+U4+S4+Q4+O4+M4+K4+I4+G4+AA4)/11</f>
        <v/>
      </c>
      <c r="AD4" s="1056">
        <f>(Z4+X4+V4+T4+R4+P4+N4+L4+J4+H4+AB4)/11</f>
        <v/>
      </c>
      <c r="AE4" s="1052" t="n">
        <v>13115</v>
      </c>
      <c r="AF4" s="1052" t="n">
        <v>214850</v>
      </c>
      <c r="AG4" s="1057" t="n">
        <v>138042</v>
      </c>
      <c r="AH4" s="1057" t="n">
        <v>2268168</v>
      </c>
      <c r="AI4" s="1057">
        <f>AG4/12</f>
        <v/>
      </c>
      <c r="AJ4" s="1057">
        <f>AH4/12</f>
        <v/>
      </c>
      <c r="AK4" s="1058" t="n">
        <v>12414</v>
      </c>
      <c r="AL4" s="1058" t="n">
        <v>202626</v>
      </c>
      <c r="AM4" s="1058" t="n">
        <v>133364.64</v>
      </c>
      <c r="AN4" s="1058" t="n">
        <v>8906</v>
      </c>
      <c r="AO4" s="1058" t="n">
        <v>152794</v>
      </c>
      <c r="AP4" s="1058" t="n">
        <v>99067.35999999999</v>
      </c>
      <c r="AQ4" s="1058" t="n">
        <v>12246</v>
      </c>
      <c r="AR4" s="1058" t="n">
        <v>205094</v>
      </c>
      <c r="AS4" s="1058" t="n">
        <v>134008.16</v>
      </c>
      <c r="AT4" s="1058" t="n">
        <v>10332</v>
      </c>
      <c r="AU4" s="1058" t="n">
        <v>171198</v>
      </c>
      <c r="AV4" s="1058" t="n">
        <v>113284.8</v>
      </c>
      <c r="AW4" s="1058" t="n">
        <v>11079</v>
      </c>
      <c r="AX4" s="1058" t="n">
        <v>181346</v>
      </c>
      <c r="AY4" s="1058" t="n">
        <v>119599.04</v>
      </c>
      <c r="AZ4" s="1058" t="n">
        <v>10685</v>
      </c>
      <c r="BA4" s="1058" t="n">
        <v>178630</v>
      </c>
      <c r="BB4" s="1058" t="n">
        <v>117920.8</v>
      </c>
      <c r="BC4" s="1058" t="n">
        <v>12128</v>
      </c>
      <c r="BD4" s="1058" t="n">
        <v>201622</v>
      </c>
      <c r="BE4" s="1058" t="n">
        <v>133010.08</v>
      </c>
      <c r="BF4" s="1058" t="n">
        <v>8978</v>
      </c>
      <c r="BG4" s="1058" t="n">
        <v>149522</v>
      </c>
      <c r="BH4" s="1058" t="n">
        <v>99457.28</v>
      </c>
      <c r="BI4" s="1058" t="n">
        <v>9559</v>
      </c>
      <c r="BJ4" s="1058" t="n">
        <v>158076</v>
      </c>
      <c r="BK4" s="1058" t="n">
        <v>105366.24</v>
      </c>
      <c r="BL4" s="1058" t="n">
        <v>9461</v>
      </c>
      <c r="BM4" s="1058" t="n">
        <v>161164</v>
      </c>
      <c r="BN4" s="1058" t="n">
        <v>106548.16</v>
      </c>
      <c r="BO4" s="1058" t="n">
        <v>9441</v>
      </c>
      <c r="BP4" s="1058" t="n">
        <v>156534</v>
      </c>
      <c r="BQ4" s="1058" t="n">
        <v>104300.16</v>
      </c>
      <c r="BR4" s="1058" t="n">
        <v>9331</v>
      </c>
      <c r="BS4" s="1058" t="n">
        <v>157064</v>
      </c>
      <c r="BT4" s="1058" t="n">
        <v>103484.96</v>
      </c>
      <c r="BU4" s="1059">
        <f>BR4+BO4+BL4+BI4+BF4+BC4+AZ4+AW4+AT4+AQ4+AN4+AK4</f>
        <v/>
      </c>
      <c r="BV4" s="1059">
        <f>BS4+BP4+BM4+BJ4+BG4+BD4+BA4+AX4+AU4+AR4+AO4+AL4</f>
        <v/>
      </c>
      <c r="BW4" s="1059">
        <f>BT4+BQ4+BN4+BK4+BH4+BE4+BB4+AY4+AV4+AS4+AP4+AM4</f>
        <v/>
      </c>
      <c r="BX4" s="1060">
        <f>BU4/12</f>
        <v/>
      </c>
      <c r="BY4" s="1060">
        <f>BV4/12</f>
        <v/>
      </c>
      <c r="BZ4" s="1060">
        <f>BW4/12</f>
        <v/>
      </c>
      <c r="CA4" s="434">
        <f>BX4/AI4*100-100</f>
        <v/>
      </c>
      <c r="CB4" s="416" t="inlineStr">
        <is>
          <t>Must Grow</t>
        </is>
      </c>
    </row>
    <row r="5" ht="21" customHeight="1" thickBot="1">
      <c r="A5" s="852" t="n">
        <v>2</v>
      </c>
      <c r="B5" s="852" t="inlineStr">
        <is>
          <t>Summer-1</t>
        </is>
      </c>
      <c r="C5" s="852" t="inlineStr">
        <is>
          <t>Summer-1</t>
        </is>
      </c>
      <c r="D5" s="852" t="inlineStr">
        <is>
          <t>မိတ္ထီလာ</t>
        </is>
      </c>
      <c r="E5" s="852" t="inlineStr">
        <is>
          <t>Meikhtila</t>
        </is>
      </c>
      <c r="F5" s="852" t="inlineStr">
        <is>
          <t>Wholesales</t>
        </is>
      </c>
      <c r="G5" s="1052" t="n">
        <v>1984</v>
      </c>
      <c r="H5" s="1052" t="n">
        <v>33356</v>
      </c>
      <c r="I5" s="1052" t="n">
        <v>699</v>
      </c>
      <c r="J5" s="1052" t="n">
        <v>13206</v>
      </c>
      <c r="K5" s="1052" t="n">
        <v>1415</v>
      </c>
      <c r="L5" s="1052" t="n">
        <v>23520</v>
      </c>
      <c r="M5" s="1052" t="n">
        <v>930</v>
      </c>
      <c r="N5" s="1052" t="n">
        <v>15920</v>
      </c>
      <c r="O5" s="1052" t="n">
        <v>2040</v>
      </c>
      <c r="P5" s="1052" t="n">
        <v>35040</v>
      </c>
      <c r="Q5" s="1052" t="n">
        <v>665</v>
      </c>
      <c r="R5" s="1052" t="n">
        <v>9660</v>
      </c>
      <c r="S5" s="1052" t="n">
        <v>1290</v>
      </c>
      <c r="T5" s="1052" t="n">
        <v>22820</v>
      </c>
      <c r="U5" s="1052" t="n">
        <v>923</v>
      </c>
      <c r="V5" s="1052" t="n">
        <v>14922</v>
      </c>
      <c r="W5" s="1052" t="n">
        <v>865</v>
      </c>
      <c r="X5" s="1052" t="n">
        <v>15610</v>
      </c>
      <c r="Y5" s="1052" t="n">
        <v>1517</v>
      </c>
      <c r="Z5" s="1053" t="n">
        <v>24138</v>
      </c>
      <c r="AA5" s="1054" t="n">
        <v>1180</v>
      </c>
      <c r="AB5" s="1052" t="n">
        <v>22420</v>
      </c>
      <c r="AC5" s="1055">
        <f>(Y5+W5+U5+S5+Q5+O5+M5+K5+I5+G5+AA5)/11</f>
        <v/>
      </c>
      <c r="AD5" s="1056">
        <f>(Z5+X5+V5+T5+R5+P5+N5+L5+J5+H5+AB5)/11</f>
        <v/>
      </c>
      <c r="AE5" s="1052" t="n">
        <v>1993</v>
      </c>
      <c r="AF5" s="1052" t="n">
        <v>31182</v>
      </c>
      <c r="AG5" s="1057" t="n">
        <v>15501</v>
      </c>
      <c r="AH5" s="1057" t="n">
        <v>261794</v>
      </c>
      <c r="AI5" s="1057">
        <f>AG5/12</f>
        <v/>
      </c>
      <c r="AJ5" s="1057">
        <f>AH5/12</f>
        <v/>
      </c>
      <c r="AK5" s="1058" t="n">
        <v>1030</v>
      </c>
      <c r="AL5" s="1058" t="n">
        <v>16720</v>
      </c>
      <c r="AM5" s="1058" t="n">
        <v>10700.8</v>
      </c>
      <c r="AN5" s="1058" t="n">
        <v>1110</v>
      </c>
      <c r="AO5" s="1058" t="n">
        <v>18230</v>
      </c>
      <c r="AP5" s="1058" t="n">
        <v>11670.8</v>
      </c>
      <c r="AQ5" s="1058" t="n">
        <v>2180</v>
      </c>
      <c r="AR5" s="1058" t="n">
        <v>37340</v>
      </c>
      <c r="AS5" s="1058" t="n">
        <v>23962.4</v>
      </c>
      <c r="AT5" s="1058" t="n">
        <v>485</v>
      </c>
      <c r="AU5" s="1058" t="n">
        <v>6840</v>
      </c>
      <c r="AV5" s="1058" t="n">
        <v>4377.6</v>
      </c>
      <c r="AW5" s="1058" t="n">
        <v>973</v>
      </c>
      <c r="AX5" s="1058" t="n">
        <v>14622</v>
      </c>
      <c r="AY5" s="1058" t="n">
        <v>9358.08</v>
      </c>
      <c r="AZ5" s="1058" t="n">
        <v>1035</v>
      </c>
      <c r="BA5" s="1058" t="n">
        <v>14960</v>
      </c>
      <c r="BB5" s="1058" t="n">
        <v>9771.200000000001</v>
      </c>
      <c r="BC5" s="1058" t="n">
        <v>1785</v>
      </c>
      <c r="BD5" s="1058" t="n">
        <v>29580</v>
      </c>
      <c r="BE5" s="1058" t="n">
        <v>18916.8</v>
      </c>
      <c r="BF5" s="1058" t="n">
        <v>790</v>
      </c>
      <c r="BG5" s="1058" t="n">
        <v>15260</v>
      </c>
      <c r="BH5" s="1058" t="n">
        <v>9766.4</v>
      </c>
      <c r="BI5" s="1058" t="n">
        <v>2170</v>
      </c>
      <c r="BJ5" s="1058" t="n">
        <v>38140</v>
      </c>
      <c r="BK5" s="1058" t="n">
        <v>24496</v>
      </c>
      <c r="BL5" s="1058" t="n">
        <v>1920</v>
      </c>
      <c r="BM5" s="1058" t="n">
        <v>33880</v>
      </c>
      <c r="BN5" s="1058" t="n">
        <v>21683.2</v>
      </c>
      <c r="BO5" s="1058" t="n">
        <v>1990</v>
      </c>
      <c r="BP5" s="1058" t="n">
        <v>35660</v>
      </c>
      <c r="BQ5" s="1058" t="n">
        <v>22822.4</v>
      </c>
      <c r="BR5" s="1058" t="n">
        <v>2130</v>
      </c>
      <c r="BS5" s="1058" t="n">
        <v>37840</v>
      </c>
      <c r="BT5" s="1058" t="n">
        <v>24390.4</v>
      </c>
      <c r="BU5" s="1059">
        <f>BR5+BO5+BL5+BI5+BF5+BC5+AZ5+AW5+AT5+AQ5+AN5+AK5</f>
        <v/>
      </c>
      <c r="BV5" s="1059">
        <f>BS5+BP5+BM5+BJ5+BG5+BD5+BA5+AX5+AU5+AR5+AO5+AL5</f>
        <v/>
      </c>
      <c r="BW5" s="1059">
        <f>BT5+BQ5+BN5+BK5+BH5+BE5+BB5+AY5+AV5+AS5+AP5+AM5</f>
        <v/>
      </c>
      <c r="BX5" s="1060">
        <f>BU5/12</f>
        <v/>
      </c>
      <c r="BY5" s="1060">
        <f>BV5/12</f>
        <v/>
      </c>
      <c r="BZ5" s="1060">
        <f>BW5/12</f>
        <v/>
      </c>
      <c r="CA5" s="434">
        <f>BX5/AI5*100-100</f>
        <v/>
      </c>
    </row>
    <row r="6">
      <c r="A6" s="852" t="n">
        <v>3</v>
      </c>
      <c r="B6" s="852" t="inlineStr">
        <is>
          <t>Summer-2</t>
        </is>
      </c>
      <c r="C6" s="852" t="inlineStr">
        <is>
          <t>Summer-2</t>
        </is>
      </c>
      <c r="D6" s="852" t="inlineStr">
        <is>
          <t>မိတ္ထီလာ</t>
        </is>
      </c>
      <c r="E6" s="852" t="inlineStr">
        <is>
          <t>Meikhtila</t>
        </is>
      </c>
      <c r="F6" s="852" t="inlineStr">
        <is>
          <t>Wholesales</t>
        </is>
      </c>
      <c r="G6" s="1052" t="n">
        <v>1805</v>
      </c>
      <c r="H6" s="1052" t="n">
        <v>31720</v>
      </c>
      <c r="I6" s="1052" t="n">
        <v>1590</v>
      </c>
      <c r="J6" s="1052" t="n">
        <v>28010</v>
      </c>
      <c r="K6" s="1052" t="n">
        <v>1280</v>
      </c>
      <c r="L6" s="1052" t="n">
        <v>22500</v>
      </c>
      <c r="M6" s="1052" t="n">
        <v>1555</v>
      </c>
      <c r="N6" s="1052" t="n">
        <v>26940</v>
      </c>
      <c r="O6" s="1052" t="n">
        <v>1365</v>
      </c>
      <c r="P6" s="1052" t="n">
        <v>23600</v>
      </c>
      <c r="Q6" s="1052" t="n">
        <v>1295</v>
      </c>
      <c r="R6" s="1052" t="n">
        <v>22900</v>
      </c>
      <c r="S6" s="1052" t="n">
        <v>1395</v>
      </c>
      <c r="T6" s="1052" t="n">
        <v>24420</v>
      </c>
      <c r="U6" s="1052" t="n">
        <v>1360</v>
      </c>
      <c r="V6" s="1052" t="n">
        <v>25120</v>
      </c>
      <c r="W6" s="1052" t="n">
        <v>1435</v>
      </c>
      <c r="X6" s="1052" t="n">
        <v>25200</v>
      </c>
      <c r="Y6" s="1052" t="n">
        <v>1495</v>
      </c>
      <c r="Z6" s="1053" t="n">
        <v>26440</v>
      </c>
      <c r="AA6" s="1054" t="n">
        <v>1530</v>
      </c>
      <c r="AB6" s="1052" t="n">
        <v>26680</v>
      </c>
      <c r="AC6" s="1055">
        <f>(Y6+W6+U6+S6+Q6+O6+M6+K6+I6+G6+AA6)/11</f>
        <v/>
      </c>
      <c r="AD6" s="1056">
        <f>(Z6+X6+V6+T6+R6+P6+N6+L6+J6+H6+AB6)/11</f>
        <v/>
      </c>
      <c r="AE6" s="1052" t="n">
        <v>1665</v>
      </c>
      <c r="AF6" s="1052" t="n">
        <v>29220</v>
      </c>
      <c r="AG6" s="1057" t="n">
        <v>17770</v>
      </c>
      <c r="AH6" s="1057" t="n">
        <v>312750</v>
      </c>
      <c r="AI6" s="1057">
        <f>AG6/12</f>
        <v/>
      </c>
      <c r="AJ6" s="1057">
        <f>AH6/12</f>
        <v/>
      </c>
      <c r="AK6" s="1058" t="n">
        <v>1375</v>
      </c>
      <c r="AL6" s="1058" t="n">
        <v>24100</v>
      </c>
      <c r="AM6" s="1058" t="n">
        <v>16072</v>
      </c>
      <c r="AN6" s="1058" t="n">
        <v>1230</v>
      </c>
      <c r="AO6" s="1058" t="n">
        <v>21740</v>
      </c>
      <c r="AP6" s="1058" t="n">
        <v>14302.4</v>
      </c>
      <c r="AQ6" s="1058" t="n">
        <v>1485</v>
      </c>
      <c r="AR6" s="1058" t="n">
        <v>26340</v>
      </c>
      <c r="AS6" s="1058" t="n">
        <v>17505.6</v>
      </c>
      <c r="AT6" s="1058" t="n">
        <v>1303</v>
      </c>
      <c r="AU6" s="1058" t="n">
        <v>23132</v>
      </c>
      <c r="AV6" s="1058" t="n">
        <v>15106.88</v>
      </c>
      <c r="AW6" s="1058" t="n">
        <v>1355</v>
      </c>
      <c r="AX6" s="1058" t="n">
        <v>23920</v>
      </c>
      <c r="AY6" s="1058" t="n">
        <v>15956.8</v>
      </c>
      <c r="AZ6" s="1058" t="n">
        <v>905</v>
      </c>
      <c r="BA6" s="1058" t="n">
        <v>16520</v>
      </c>
      <c r="BB6" s="1058" t="n">
        <v>11004.8</v>
      </c>
      <c r="BC6" s="1058" t="n">
        <v>1205</v>
      </c>
      <c r="BD6" s="1058" t="n">
        <v>20760</v>
      </c>
      <c r="BE6" s="1058" t="n">
        <v>13632</v>
      </c>
      <c r="BF6" s="1058" t="n">
        <v>1250</v>
      </c>
      <c r="BG6" s="1058" t="n">
        <v>21640</v>
      </c>
      <c r="BH6" s="1058" t="n">
        <v>14411.2</v>
      </c>
      <c r="BI6" s="1058" t="n">
        <v>1740</v>
      </c>
      <c r="BJ6" s="1058" t="n">
        <v>29880</v>
      </c>
      <c r="BK6" s="1058" t="n">
        <v>20160</v>
      </c>
      <c r="BL6" s="1058" t="n">
        <v>1695</v>
      </c>
      <c r="BM6" s="1058" t="n">
        <v>28260</v>
      </c>
      <c r="BN6" s="1058" t="n">
        <v>19641.60000000001</v>
      </c>
      <c r="BO6" s="1058" t="n">
        <v>1686</v>
      </c>
      <c r="BP6" s="1058" t="n">
        <v>29152</v>
      </c>
      <c r="BQ6" s="1058" t="n">
        <v>19417.60000000001</v>
      </c>
      <c r="BR6" s="1058" t="n">
        <v>1910</v>
      </c>
      <c r="BS6" s="1058" t="n">
        <v>32560</v>
      </c>
      <c r="BT6" s="1058" t="n">
        <v>22091.2</v>
      </c>
      <c r="BU6" s="1059">
        <f>BR6+BO6+BL6+BI6+BF6+BC6+AZ6+AW6+AT6+AQ6+AN6+AK6</f>
        <v/>
      </c>
      <c r="BV6" s="1059">
        <f>BS6+BP6+BM6+BJ6+BG6+BD6+BA6+AX6+AU6+AR6+AO6+AL6</f>
        <v/>
      </c>
      <c r="BW6" s="1059">
        <f>BT6+BQ6+BN6+BK6+BH6+BE6+BB6+AY6+AV6+AS6+AP6+AM6</f>
        <v/>
      </c>
      <c r="BX6" s="1060">
        <f>BU6/12</f>
        <v/>
      </c>
      <c r="BY6" s="1060">
        <f>BV6/12</f>
        <v/>
      </c>
      <c r="BZ6" s="1060">
        <f>BW6/12</f>
        <v/>
      </c>
      <c r="CA6" s="434">
        <f>BX6/AI6*100-100</f>
        <v/>
      </c>
      <c r="CB6" s="414" t="inlineStr">
        <is>
          <t>Must Grow</t>
        </is>
      </c>
    </row>
    <row r="7">
      <c r="A7" s="852" t="n">
        <v>4</v>
      </c>
      <c r="B7" s="852" t="inlineStr">
        <is>
          <t>ဦးအေးခင်မောင်</t>
        </is>
      </c>
      <c r="C7" s="852" t="inlineStr">
        <is>
          <t>U Aye Khin Maung</t>
        </is>
      </c>
      <c r="D7" s="852" t="inlineStr">
        <is>
          <t>မိတ္ထီလာ</t>
        </is>
      </c>
      <c r="E7" s="852" t="inlineStr">
        <is>
          <t>Meikhtila</t>
        </is>
      </c>
      <c r="F7" s="852" t="inlineStr">
        <is>
          <t>Wholesales</t>
        </is>
      </c>
      <c r="G7" s="1052" t="n">
        <v>680</v>
      </c>
      <c r="H7" s="1052" t="n">
        <v>11720</v>
      </c>
      <c r="I7" s="1052" t="n">
        <v>550</v>
      </c>
      <c r="J7" s="1052" t="n">
        <v>9700</v>
      </c>
      <c r="K7" s="1052" t="n">
        <v>655</v>
      </c>
      <c r="L7" s="1052" t="n">
        <v>10920</v>
      </c>
      <c r="M7" s="1052" t="n">
        <v>500</v>
      </c>
      <c r="N7" s="1052" t="n">
        <v>8250</v>
      </c>
      <c r="O7" s="1052" t="n">
        <v>375</v>
      </c>
      <c r="P7" s="1052" t="n">
        <v>6850</v>
      </c>
      <c r="Q7" s="1052" t="n">
        <v>595</v>
      </c>
      <c r="R7" s="1052" t="n">
        <v>10030</v>
      </c>
      <c r="S7" s="1052" t="n">
        <v>635</v>
      </c>
      <c r="T7" s="1052" t="n">
        <v>10690</v>
      </c>
      <c r="U7" s="1052" t="n">
        <v>690</v>
      </c>
      <c r="V7" s="1052" t="n">
        <v>11360</v>
      </c>
      <c r="W7" s="1052" t="n">
        <v>530</v>
      </c>
      <c r="X7" s="1052" t="n">
        <v>9050</v>
      </c>
      <c r="Y7" s="1052" t="n">
        <v>610</v>
      </c>
      <c r="Z7" s="1053" t="n">
        <v>10340</v>
      </c>
      <c r="AA7" s="1054" t="n">
        <v>565</v>
      </c>
      <c r="AB7" s="1052" t="n">
        <v>9660</v>
      </c>
      <c r="AC7" s="1055">
        <f>(Y7+W7+U7+S7+Q7+O7+M7+K7+I7+G7+AA7)/11</f>
        <v/>
      </c>
      <c r="AD7" s="1056">
        <f>(Z7+X7+V7+T7+R7+P7+N7+L7+J7+H7+AB7)/11</f>
        <v/>
      </c>
      <c r="AE7" s="1052" t="n">
        <v>655</v>
      </c>
      <c r="AF7" s="1052" t="n">
        <v>11220</v>
      </c>
      <c r="AG7" s="1057" t="n">
        <v>7040</v>
      </c>
      <c r="AH7" s="1057" t="n">
        <v>119790</v>
      </c>
      <c r="AI7" s="1057">
        <f>AG7/12</f>
        <v/>
      </c>
      <c r="AJ7" s="1057">
        <f>AH7/12</f>
        <v/>
      </c>
      <c r="AK7" s="1058" t="n">
        <v>515</v>
      </c>
      <c r="AL7" s="1058" t="n">
        <v>8860</v>
      </c>
      <c r="AM7" s="1058" t="n">
        <v>5670.4</v>
      </c>
      <c r="AN7" s="1058" t="n">
        <v>670</v>
      </c>
      <c r="AO7" s="1058" t="n">
        <v>11080</v>
      </c>
      <c r="AP7" s="1058" t="n">
        <v>7091.199999999999</v>
      </c>
      <c r="AQ7" s="1058" t="n">
        <v>495</v>
      </c>
      <c r="AR7" s="1058" t="n">
        <v>8630</v>
      </c>
      <c r="AS7" s="1058" t="n">
        <v>5523.200000000001</v>
      </c>
      <c r="AT7" s="1058" t="n">
        <v>410</v>
      </c>
      <c r="AU7" s="1058" t="n">
        <v>7390</v>
      </c>
      <c r="AV7" s="1058" t="n">
        <v>4729.6</v>
      </c>
      <c r="AW7" s="1058" t="n">
        <v>605</v>
      </c>
      <c r="AX7" s="1058" t="n">
        <v>10970</v>
      </c>
      <c r="AY7" s="1058" t="n">
        <v>7280</v>
      </c>
      <c r="AZ7" s="1058" t="n">
        <v>480</v>
      </c>
      <c r="BA7" s="1058" t="n">
        <v>8420</v>
      </c>
      <c r="BB7" s="1058" t="n">
        <v>5388.8</v>
      </c>
      <c r="BC7" s="1058" t="n">
        <v>595</v>
      </c>
      <c r="BD7" s="1058" t="n">
        <v>10480</v>
      </c>
      <c r="BE7" s="1058" t="n">
        <v>6707.200000000001</v>
      </c>
      <c r="BF7" s="1058" t="n">
        <v>445</v>
      </c>
      <c r="BG7" s="1058" t="n">
        <v>7930</v>
      </c>
      <c r="BH7" s="1058" t="n">
        <v>5075.200000000001</v>
      </c>
      <c r="BI7" s="1058" t="n">
        <v>470</v>
      </c>
      <c r="BJ7" s="1058" t="n">
        <v>8230</v>
      </c>
      <c r="BK7" s="1058" t="n">
        <v>5267.2</v>
      </c>
      <c r="BL7" s="1058" t="n">
        <v>500</v>
      </c>
      <c r="BM7" s="1058" t="n">
        <v>9000</v>
      </c>
      <c r="BN7" s="1058" t="n">
        <v>5760</v>
      </c>
      <c r="BO7" s="1058" t="n">
        <v>615</v>
      </c>
      <c r="BP7" s="1058" t="n">
        <v>10460</v>
      </c>
      <c r="BQ7" s="1058" t="n">
        <v>6694.400000000001</v>
      </c>
      <c r="BR7" s="1058" t="n">
        <v>410</v>
      </c>
      <c r="BS7" s="1058" t="n">
        <v>7340</v>
      </c>
      <c r="BT7" s="1058" t="n">
        <v>4697.6</v>
      </c>
      <c r="BU7" s="1059">
        <f>BR7+BO7+BL7+BI7+BF7+BC7+AZ7+AW7+AT7+AQ7+AN7+AK7</f>
        <v/>
      </c>
      <c r="BV7" s="1059">
        <f>BS7+BP7+BM7+BJ7+BG7+BD7+BA7+AX7+AU7+AR7+AO7+AL7</f>
        <v/>
      </c>
      <c r="BW7" s="1059">
        <f>BT7+BQ7+BN7+BK7+BH7+BE7+BB7+AY7+AV7+AS7+AP7+AM7</f>
        <v/>
      </c>
      <c r="BX7" s="1060">
        <f>BU7/12</f>
        <v/>
      </c>
      <c r="BY7" s="1060">
        <f>BV7/12</f>
        <v/>
      </c>
      <c r="BZ7" s="1060">
        <f>BW7/12</f>
        <v/>
      </c>
      <c r="CA7" s="434">
        <f>BX7/AI7*100-100</f>
        <v/>
      </c>
      <c r="CB7" s="415" t="inlineStr">
        <is>
          <t>Must Grow</t>
        </is>
      </c>
    </row>
    <row r="8">
      <c r="A8" s="852" t="n">
        <v>5</v>
      </c>
      <c r="B8" s="852" t="inlineStr">
        <is>
          <t>ဦးကျော်လှ</t>
        </is>
      </c>
      <c r="C8" s="852" t="inlineStr">
        <is>
          <t>U Kyaw Hla</t>
        </is>
      </c>
      <c r="D8" s="852" t="inlineStr">
        <is>
          <t>သာစည်</t>
        </is>
      </c>
      <c r="E8" s="852" t="inlineStr">
        <is>
          <t>Tharzi</t>
        </is>
      </c>
      <c r="F8" s="852" t="inlineStr">
        <is>
          <t>Wholesales</t>
        </is>
      </c>
      <c r="G8" s="1052" t="n">
        <v>820</v>
      </c>
      <c r="H8" s="1052" t="n">
        <v>12240</v>
      </c>
      <c r="I8" s="1052" t="n">
        <v>1091</v>
      </c>
      <c r="J8" s="1052" t="n">
        <v>15944</v>
      </c>
      <c r="K8" s="1052" t="n">
        <v>1010</v>
      </c>
      <c r="L8" s="1052" t="n">
        <v>14850</v>
      </c>
      <c r="M8" s="1052" t="n">
        <v>1210</v>
      </c>
      <c r="N8" s="1052" t="n">
        <v>17820</v>
      </c>
      <c r="O8" s="1052" t="n">
        <v>1050</v>
      </c>
      <c r="P8" s="1052" t="n">
        <v>15550</v>
      </c>
      <c r="Q8" s="1052" t="n">
        <v>830</v>
      </c>
      <c r="R8" s="1052" t="n">
        <v>12290</v>
      </c>
      <c r="S8" s="1052" t="n">
        <v>1315</v>
      </c>
      <c r="T8" s="1052" t="n">
        <v>19480</v>
      </c>
      <c r="U8" s="1052" t="n">
        <v>1150</v>
      </c>
      <c r="V8" s="1052" t="n">
        <v>17060</v>
      </c>
      <c r="W8" s="1052" t="n">
        <v>1185</v>
      </c>
      <c r="X8" s="1052" t="n">
        <v>17750</v>
      </c>
      <c r="Y8" s="1052" t="n">
        <v>1055</v>
      </c>
      <c r="Z8" s="1053" t="n">
        <v>15730</v>
      </c>
      <c r="AA8" s="1054" t="n">
        <v>880</v>
      </c>
      <c r="AB8" s="1052" t="n">
        <v>13380</v>
      </c>
      <c r="AC8" s="1055">
        <f>(Y8+W8+U8+S8+Q8+O8+M8+K8+I8+G8+AA8)/11</f>
        <v/>
      </c>
      <c r="AD8" s="1056">
        <f>(Z8+X8+V8+T8+R8+P8+N8+L8+J8+H8+AB8)/11</f>
        <v/>
      </c>
      <c r="AE8" s="1052" t="n">
        <v>695</v>
      </c>
      <c r="AF8" s="1052" t="n">
        <v>10370</v>
      </c>
      <c r="AG8" s="1057" t="n">
        <v>12291</v>
      </c>
      <c r="AH8" s="1057" t="n">
        <v>182464</v>
      </c>
      <c r="AI8" s="1057">
        <f>AG8/12</f>
        <v/>
      </c>
      <c r="AJ8" s="1057">
        <f>AH8/12</f>
        <v/>
      </c>
      <c r="AK8" s="1058" t="n">
        <v>820</v>
      </c>
      <c r="AL8" s="1058" t="n">
        <v>12290</v>
      </c>
      <c r="AM8" s="1058" t="n">
        <v>7898</v>
      </c>
      <c r="AN8" s="1058" t="n">
        <v>525</v>
      </c>
      <c r="AO8" s="1058" t="n">
        <v>8050</v>
      </c>
      <c r="AP8" s="1058" t="n">
        <v>5170</v>
      </c>
      <c r="AQ8" s="1058" t="n">
        <v>790</v>
      </c>
      <c r="AR8" s="1058" t="n">
        <v>12280</v>
      </c>
      <c r="AS8" s="1058" t="n">
        <v>7870</v>
      </c>
      <c r="AT8" s="1058" t="n">
        <v>668</v>
      </c>
      <c r="AU8" s="1058" t="n">
        <v>10932</v>
      </c>
      <c r="AV8" s="1058" t="n">
        <v>7003.68</v>
      </c>
      <c r="AW8" s="1058" t="n">
        <v>660</v>
      </c>
      <c r="AX8" s="1058" t="n">
        <v>10920</v>
      </c>
      <c r="AY8" s="1058" t="n">
        <v>7014.000000000001</v>
      </c>
      <c r="AZ8" s="1058" t="n">
        <v>510</v>
      </c>
      <c r="BA8" s="1058" t="n">
        <v>7630</v>
      </c>
      <c r="BB8" s="1058" t="n">
        <v>4886.8</v>
      </c>
      <c r="BC8" s="1058" t="n">
        <v>595</v>
      </c>
      <c r="BD8" s="1058" t="n">
        <v>8560</v>
      </c>
      <c r="BE8" s="1058" t="n">
        <v>5467.6</v>
      </c>
      <c r="BF8" s="1058" t="n">
        <v>575</v>
      </c>
      <c r="BG8" s="1058" t="n">
        <v>8500</v>
      </c>
      <c r="BH8" s="1058" t="n">
        <v>5440</v>
      </c>
      <c r="BI8" s="1058" t="n">
        <v>530</v>
      </c>
      <c r="BJ8" s="1058" t="n">
        <v>7860</v>
      </c>
      <c r="BK8" s="1058" t="n">
        <v>5034</v>
      </c>
      <c r="BL8" s="1058" t="n">
        <v>695</v>
      </c>
      <c r="BM8" s="1058" t="n">
        <v>10220</v>
      </c>
      <c r="BN8" s="1058" t="n">
        <v>6544.4</v>
      </c>
      <c r="BO8" s="1058" t="n">
        <v>535</v>
      </c>
      <c r="BP8" s="1058" t="n">
        <v>8090</v>
      </c>
      <c r="BQ8" s="1058" t="n">
        <v>5177.6</v>
      </c>
      <c r="BR8" s="1058" t="n">
        <v>445</v>
      </c>
      <c r="BS8" s="1058" t="n">
        <v>6820</v>
      </c>
      <c r="BT8" s="1058" t="n">
        <v>4368.4</v>
      </c>
      <c r="BU8" s="1059">
        <f>BR8+BO8+BL8+BI8+BF8+BC8+AZ8+AW8+AT8+AQ8+AN8+AK8</f>
        <v/>
      </c>
      <c r="BV8" s="1059">
        <f>BS8+BP8+BM8+BJ8+BG8+BD8+BA8+AX8+AU8+AR8+AO8+AL8</f>
        <v/>
      </c>
      <c r="BW8" s="1059">
        <f>BT8+BQ8+BN8+BK8+BH8+BE8+BB8+AY8+AV8+AS8+AP8+AM8</f>
        <v/>
      </c>
      <c r="BX8" s="1060">
        <f>BU8/12</f>
        <v/>
      </c>
      <c r="BY8" s="1060">
        <f>BV8/12</f>
        <v/>
      </c>
      <c r="BZ8" s="1060">
        <f>BW8/12</f>
        <v/>
      </c>
      <c r="CA8" s="434">
        <f>BX8/AI8*100-100</f>
        <v/>
      </c>
      <c r="CB8" s="415" t="inlineStr">
        <is>
          <t>Must Grow</t>
        </is>
      </c>
    </row>
    <row r="9" ht="21" customHeight="1" thickBot="1">
      <c r="A9" s="852" t="n">
        <v>6</v>
      </c>
      <c r="B9" s="852" t="inlineStr">
        <is>
          <t>ဦးဝင်းအောင်ကြွယ်</t>
        </is>
      </c>
      <c r="C9" s="852" t="inlineStr">
        <is>
          <t>U Win Aung Kyawe</t>
        </is>
      </c>
      <c r="D9" s="852" t="inlineStr">
        <is>
          <t>ပျော်ဘွယ်</t>
        </is>
      </c>
      <c r="E9" s="852" t="inlineStr">
        <is>
          <t>Pyawbwe</t>
        </is>
      </c>
      <c r="F9" s="852" t="inlineStr">
        <is>
          <t>Wholesales</t>
        </is>
      </c>
      <c r="G9" s="1052" t="n">
        <v>600</v>
      </c>
      <c r="H9" s="1052" t="n">
        <v>8000</v>
      </c>
      <c r="I9" s="1052" t="n">
        <v>420</v>
      </c>
      <c r="J9" s="1052" t="n">
        <v>6120</v>
      </c>
      <c r="K9" s="1052" t="n">
        <v>710</v>
      </c>
      <c r="L9" s="1052" t="n">
        <v>10520</v>
      </c>
      <c r="M9" s="1052" t="n">
        <v>530</v>
      </c>
      <c r="N9" s="1052" t="n">
        <v>7560</v>
      </c>
      <c r="O9" s="1052" t="n">
        <v>350</v>
      </c>
      <c r="P9" s="1052" t="n">
        <v>5300</v>
      </c>
      <c r="Q9" s="1052" t="n">
        <v>410</v>
      </c>
      <c r="R9" s="1052" t="n">
        <v>5580</v>
      </c>
      <c r="S9" s="1052" t="n">
        <v>600</v>
      </c>
      <c r="T9" s="1052" t="n">
        <v>8580</v>
      </c>
      <c r="U9" s="1052" t="n">
        <v>580</v>
      </c>
      <c r="V9" s="1052" t="n">
        <v>8380</v>
      </c>
      <c r="W9" s="1052" t="n">
        <v>590</v>
      </c>
      <c r="X9" s="1052" t="n">
        <v>8060</v>
      </c>
      <c r="Y9" s="1052" t="n">
        <v>540</v>
      </c>
      <c r="Z9" s="1053" t="n">
        <v>7680</v>
      </c>
      <c r="AA9" s="1054" t="n">
        <v>630</v>
      </c>
      <c r="AB9" s="1052" t="n">
        <v>8920</v>
      </c>
      <c r="AC9" s="1055">
        <f>(Y9+W9+U9+S9+Q9+O9+M9+K9+I9+G9+AA9)/11</f>
        <v/>
      </c>
      <c r="AD9" s="1056">
        <f>(Z9+X9+V9+T9+R9+P9+N9+L9+J9+H9+AB9)/11</f>
        <v/>
      </c>
      <c r="AE9" s="1052" t="n">
        <v>580</v>
      </c>
      <c r="AF9" s="1052" t="n">
        <v>8480</v>
      </c>
      <c r="AG9" s="1057" t="n">
        <v>6540</v>
      </c>
      <c r="AH9" s="1057" t="n">
        <v>93180</v>
      </c>
      <c r="AI9" s="1057">
        <f>AG9/12</f>
        <v/>
      </c>
      <c r="AJ9" s="1057">
        <f>AH9/12</f>
        <v/>
      </c>
      <c r="AK9" s="1058" t="n">
        <v>710</v>
      </c>
      <c r="AL9" s="1058" t="n">
        <v>10540</v>
      </c>
      <c r="AM9" s="1058" t="n">
        <v>6817.6</v>
      </c>
      <c r="AN9" s="1058" t="n">
        <v>410</v>
      </c>
      <c r="AO9" s="1058" t="n">
        <v>5580</v>
      </c>
      <c r="AP9" s="1058" t="n">
        <v>3664.8</v>
      </c>
      <c r="AQ9" s="1058" t="n">
        <v>680</v>
      </c>
      <c r="AR9" s="1058" t="n">
        <v>9720</v>
      </c>
      <c r="AS9" s="1058" t="n">
        <v>6328.8</v>
      </c>
      <c r="AT9" s="1058" t="n">
        <v>490</v>
      </c>
      <c r="AU9" s="1058" t="n">
        <v>7160</v>
      </c>
      <c r="AV9" s="1058" t="n">
        <v>4582.4</v>
      </c>
      <c r="AW9" s="1058" t="n">
        <v>200</v>
      </c>
      <c r="AX9" s="1058" t="n">
        <v>2900</v>
      </c>
      <c r="AY9" s="1058" t="n">
        <v>1892</v>
      </c>
      <c r="AZ9" s="1058" t="n">
        <v>250</v>
      </c>
      <c r="BA9" s="1058" t="n">
        <v>3400</v>
      </c>
      <c r="BB9" s="1058" t="n">
        <v>2212</v>
      </c>
      <c r="BC9" s="1058" t="n">
        <v>250</v>
      </c>
      <c r="BD9" s="1058" t="n">
        <v>3300</v>
      </c>
      <c r="BE9" s="1058" t="n">
        <v>2184</v>
      </c>
      <c r="BF9" s="1058" t="n">
        <v>270</v>
      </c>
      <c r="BG9" s="1058" t="n">
        <v>3980</v>
      </c>
      <c r="BH9" s="1058" t="n">
        <v>2547.2</v>
      </c>
      <c r="BI9" s="1058" t="n">
        <v>200</v>
      </c>
      <c r="BJ9" s="1058" t="n">
        <v>2700</v>
      </c>
      <c r="BK9" s="1058" t="n">
        <v>1764</v>
      </c>
      <c r="BL9" s="1058" t="n">
        <v>540</v>
      </c>
      <c r="BM9" s="1058" t="n">
        <v>7510</v>
      </c>
      <c r="BN9" s="1058" t="n">
        <v>4896.4</v>
      </c>
      <c r="BO9" s="1058" t="n">
        <v>570</v>
      </c>
      <c r="BP9" s="1058" t="n">
        <v>8080</v>
      </c>
      <c r="BQ9" s="1058" t="n">
        <v>5207.2</v>
      </c>
      <c r="BR9" s="1058" t="n">
        <v>350</v>
      </c>
      <c r="BS9" s="1058" t="n">
        <v>4800</v>
      </c>
      <c r="BT9" s="1058" t="n">
        <v>3108</v>
      </c>
      <c r="BU9" s="1059">
        <f>BR9+BO9+BL9+BI9+BF9+BC9+AZ9+AW9+AT9+AQ9+AN9+AK9</f>
        <v/>
      </c>
      <c r="BV9" s="1059">
        <f>BS9+BP9+BM9+BJ9+BG9+BD9+BA9+AX9+AU9+AR9+AO9+AL9</f>
        <v/>
      </c>
      <c r="BW9" s="1059">
        <f>BT9+BQ9+BN9+BK9+BH9+BE9+BB9+AY9+AV9+AS9+AP9+AM9</f>
        <v/>
      </c>
      <c r="BX9" s="1060">
        <f>BU9/12</f>
        <v/>
      </c>
      <c r="BY9" s="1060">
        <f>BV9/12</f>
        <v/>
      </c>
      <c r="BZ9" s="1060">
        <f>BW9/12</f>
        <v/>
      </c>
      <c r="CA9" s="434">
        <f>BX9/AI9*100-100</f>
        <v/>
      </c>
      <c r="CB9" s="416" t="inlineStr">
        <is>
          <t>Must Grow</t>
        </is>
      </c>
    </row>
    <row r="10" ht="21" customHeight="1" thickBot="1">
      <c r="A10" s="852" t="n">
        <v>7</v>
      </c>
      <c r="B10" s="852" t="inlineStr">
        <is>
          <t>ဦးဝင်းနိုင်</t>
        </is>
      </c>
      <c r="C10" s="852" t="inlineStr">
        <is>
          <t>U Win Naing</t>
        </is>
      </c>
      <c r="D10" s="852" t="inlineStr">
        <is>
          <t>လျှော်ပင်</t>
        </is>
      </c>
      <c r="E10" s="852" t="inlineStr">
        <is>
          <t>Wundwin</t>
        </is>
      </c>
      <c r="F10" s="852" t="inlineStr">
        <is>
          <t>ContractWholesales</t>
        </is>
      </c>
      <c r="G10" s="1052" t="n">
        <v>6516</v>
      </c>
      <c r="H10" s="1052" t="n">
        <v>98691</v>
      </c>
      <c r="I10" s="1052" t="n">
        <v>5647</v>
      </c>
      <c r="J10" s="1052" t="n">
        <v>85230</v>
      </c>
      <c r="K10" s="1052" t="n">
        <v>5710</v>
      </c>
      <c r="L10" s="1052" t="n">
        <v>88118</v>
      </c>
      <c r="M10" s="1052" t="n">
        <v>5365</v>
      </c>
      <c r="N10" s="1052" t="n">
        <v>72126</v>
      </c>
      <c r="O10" s="1052" t="n">
        <v>6023</v>
      </c>
      <c r="P10" s="1052" t="n">
        <v>91184</v>
      </c>
      <c r="Q10" s="1052" t="n">
        <v>4894</v>
      </c>
      <c r="R10" s="1052" t="n">
        <v>74732</v>
      </c>
      <c r="S10" s="1052" t="n">
        <v>6323</v>
      </c>
      <c r="T10" s="1052" t="n">
        <v>96882</v>
      </c>
      <c r="U10" s="1052" t="n">
        <v>5935</v>
      </c>
      <c r="V10" s="1052" t="n">
        <v>91352</v>
      </c>
      <c r="W10" s="1052" t="n">
        <v>5317</v>
      </c>
      <c r="X10" s="1052" t="n">
        <v>82814</v>
      </c>
      <c r="Y10" s="1052" t="n">
        <v>7035</v>
      </c>
      <c r="Z10" s="1053" t="n">
        <v>107706</v>
      </c>
      <c r="AA10" s="1054" t="n">
        <v>6748</v>
      </c>
      <c r="AB10" s="1052" t="n">
        <v>103760</v>
      </c>
      <c r="AC10" s="1055">
        <f>(Y10+W10+U10+S10+Q10+O10+M10+K10+I10+G10+AA10)/11</f>
        <v/>
      </c>
      <c r="AD10" s="1056">
        <f>(Z10+X10+V10+T10+R10+P10+N10+L10+J10+H10+AB10)/11</f>
        <v/>
      </c>
      <c r="AE10" s="1052" t="n">
        <v>6983</v>
      </c>
      <c r="AF10" s="1052" t="n">
        <v>110426</v>
      </c>
      <c r="AG10" s="1057" t="n">
        <v>72496</v>
      </c>
      <c r="AH10" s="1057" t="n">
        <v>1103021</v>
      </c>
      <c r="AI10" s="1057">
        <f>AG10/12</f>
        <v/>
      </c>
      <c r="AJ10" s="1057">
        <f>AH10/12</f>
        <v/>
      </c>
      <c r="AK10" s="1058" t="n">
        <v>5679</v>
      </c>
      <c r="AL10" s="1058" t="n">
        <v>91044</v>
      </c>
      <c r="AM10" s="1058" t="n">
        <v>59232.71999999999</v>
      </c>
      <c r="AN10" s="1058" t="n">
        <v>5524</v>
      </c>
      <c r="AO10" s="1058" t="n">
        <v>85900</v>
      </c>
      <c r="AP10" s="1058" t="n">
        <v>56079.76000000001</v>
      </c>
      <c r="AQ10" s="1058" t="n">
        <v>9718.642857142857</v>
      </c>
      <c r="AR10" s="1058" t="n">
        <v>150353</v>
      </c>
      <c r="AS10" s="1058" t="n">
        <v>97036.88</v>
      </c>
      <c r="AT10" s="1058" t="n">
        <v>5446</v>
      </c>
      <c r="AU10" s="1058" t="n">
        <v>86797</v>
      </c>
      <c r="AV10" s="1058" t="n">
        <v>56531.49999999999</v>
      </c>
      <c r="AW10" s="1058" t="n">
        <v>6013.25</v>
      </c>
      <c r="AX10" s="1058" t="n">
        <v>95492</v>
      </c>
      <c r="AY10" s="1058" t="n">
        <v>61728.5</v>
      </c>
      <c r="AZ10" s="1058" t="n">
        <v>5801</v>
      </c>
      <c r="BA10" s="1058" t="n">
        <v>91868</v>
      </c>
      <c r="BB10" s="1058" t="n">
        <v>59636.48</v>
      </c>
      <c r="BC10" s="1058" t="n">
        <v>5860</v>
      </c>
      <c r="BD10" s="1058" t="n">
        <v>92652</v>
      </c>
      <c r="BE10" s="1058" t="n">
        <v>60025.68000000002</v>
      </c>
      <c r="BF10" s="1058" t="n">
        <v>6328</v>
      </c>
      <c r="BG10" s="1058" t="n">
        <v>99700</v>
      </c>
      <c r="BH10" s="1058" t="n">
        <v>64743.52</v>
      </c>
      <c r="BI10" s="1058" t="n">
        <v>5447</v>
      </c>
      <c r="BJ10" s="1058" t="n">
        <v>86272</v>
      </c>
      <c r="BK10" s="1058" t="n">
        <v>56440.24000000001</v>
      </c>
      <c r="BL10" s="1058" t="n">
        <v>6337</v>
      </c>
      <c r="BM10" s="1058" t="n">
        <v>99162</v>
      </c>
      <c r="BN10" s="1058" t="n">
        <v>65068.31999999999</v>
      </c>
      <c r="BO10" s="1058" t="n">
        <v>5405</v>
      </c>
      <c r="BP10" s="1058" t="n">
        <v>84154</v>
      </c>
      <c r="BQ10" s="1058" t="n">
        <v>55391.20000000001</v>
      </c>
      <c r="BR10" s="1058" t="n">
        <v>6894</v>
      </c>
      <c r="BS10" s="1058" t="n">
        <v>108108</v>
      </c>
      <c r="BT10" s="1058" t="n">
        <v>71232.96000000001</v>
      </c>
      <c r="BU10" s="1059">
        <f>BR10+BO10+BL10+BI10+BF10+BC10+AZ10+AW10+AT10+AQ10+AN10+AK10</f>
        <v/>
      </c>
      <c r="BV10" s="1059">
        <f>BS10+BP10+BM10+BJ10+BG10+BD10+BA10+AX10+AU10+AR10+AO10+AL10</f>
        <v/>
      </c>
      <c r="BW10" s="1059">
        <f>BT10+BQ10+BN10+BK10+BH10+BE10+BB10+AY10+AV10+AS10+AP10+AM10</f>
        <v/>
      </c>
      <c r="BX10" s="1060">
        <f>BU10/12</f>
        <v/>
      </c>
      <c r="BY10" s="1060">
        <f>BV10/12</f>
        <v/>
      </c>
      <c r="BZ10" s="1060">
        <f>BW10/12</f>
        <v/>
      </c>
      <c r="CA10" s="434">
        <f>BX10/AI10*100-100</f>
        <v/>
      </c>
    </row>
    <row r="11">
      <c r="A11" s="852" t="n">
        <v>8</v>
      </c>
      <c r="B11" s="852" t="inlineStr">
        <is>
          <t>ကျော်ကြား</t>
        </is>
      </c>
      <c r="C11" s="852" t="inlineStr">
        <is>
          <t>Kyaw Kyar</t>
        </is>
      </c>
      <c r="D11" s="852" t="inlineStr">
        <is>
          <t>မလှိုင်</t>
        </is>
      </c>
      <c r="E11" s="852" t="inlineStr">
        <is>
          <t>Mahlaing</t>
        </is>
      </c>
      <c r="F11" s="852" t="inlineStr">
        <is>
          <t>ContractWholesales</t>
        </is>
      </c>
      <c r="G11" s="1052" t="n">
        <v>2190</v>
      </c>
      <c r="H11" s="1052" t="n">
        <v>36320</v>
      </c>
      <c r="I11" s="1052" t="n">
        <v>1835</v>
      </c>
      <c r="J11" s="1052" t="n">
        <v>30600</v>
      </c>
      <c r="K11" s="1052" t="n">
        <v>1680</v>
      </c>
      <c r="L11" s="1052" t="n">
        <v>27970</v>
      </c>
      <c r="M11" s="1052" t="n">
        <v>1220</v>
      </c>
      <c r="N11" s="1052" t="n">
        <v>21340</v>
      </c>
      <c r="O11" s="1052" t="n">
        <v>1935</v>
      </c>
      <c r="P11" s="1052" t="n">
        <v>32790</v>
      </c>
      <c r="Q11" s="1052" t="n">
        <v>1670</v>
      </c>
      <c r="R11" s="1052" t="n">
        <v>27630</v>
      </c>
      <c r="S11" s="1052" t="n">
        <v>1850</v>
      </c>
      <c r="T11" s="1052" t="n">
        <v>31070</v>
      </c>
      <c r="U11" s="1052" t="n">
        <v>1745</v>
      </c>
      <c r="V11" s="1052" t="n">
        <v>28830</v>
      </c>
      <c r="W11" s="1052" t="n">
        <v>1530</v>
      </c>
      <c r="X11" s="1052" t="n">
        <v>26620</v>
      </c>
      <c r="Y11" s="1052" t="n">
        <v>2110</v>
      </c>
      <c r="Z11" s="1053" t="n">
        <v>34710</v>
      </c>
      <c r="AA11" s="1054" t="n">
        <v>1680</v>
      </c>
      <c r="AB11" s="1052" t="n">
        <v>28690</v>
      </c>
      <c r="AC11" s="1055">
        <f>(Y11+W11+U11+S11+Q11+O11+M11+K11+I11+G11+AA11)/11</f>
        <v/>
      </c>
      <c r="AD11" s="1056">
        <f>(Z11+X11+V11+T11+R11+P11+N11+L11+J11+H11+AB11)/11</f>
        <v/>
      </c>
      <c r="AE11" s="1052" t="n">
        <v>2085</v>
      </c>
      <c r="AF11" s="1052" t="n">
        <v>33990</v>
      </c>
      <c r="AG11" s="1057" t="n">
        <v>21530</v>
      </c>
      <c r="AH11" s="1057" t="n">
        <v>360560</v>
      </c>
      <c r="AI11" s="1057">
        <f>AG11/12</f>
        <v/>
      </c>
      <c r="AJ11" s="1057">
        <f>AH11/12</f>
        <v/>
      </c>
      <c r="AK11" s="1058" t="n">
        <v>2081</v>
      </c>
      <c r="AL11" s="1058" t="n">
        <v>35334</v>
      </c>
      <c r="AM11" s="1058" t="n">
        <v>22613.76</v>
      </c>
      <c r="AN11" s="1058" t="n">
        <v>1760</v>
      </c>
      <c r="AO11" s="1058" t="n">
        <v>29590</v>
      </c>
      <c r="AP11" s="1058" t="n">
        <v>18937.6</v>
      </c>
      <c r="AQ11" s="1058" t="n">
        <v>2085</v>
      </c>
      <c r="AR11" s="1058" t="n">
        <v>35120</v>
      </c>
      <c r="AS11" s="1058" t="n">
        <v>22754</v>
      </c>
      <c r="AT11" s="1058" t="n">
        <v>1620</v>
      </c>
      <c r="AU11" s="1058" t="n">
        <v>27840</v>
      </c>
      <c r="AV11" s="1058" t="n">
        <v>17904</v>
      </c>
      <c r="AW11" s="1058" t="n">
        <v>1309</v>
      </c>
      <c r="AX11" s="1058" t="n">
        <v>22476</v>
      </c>
      <c r="AY11" s="1058" t="n">
        <v>14492.64</v>
      </c>
      <c r="AZ11" s="1058" t="n">
        <v>2830</v>
      </c>
      <c r="BA11" s="1058" t="n">
        <v>46070</v>
      </c>
      <c r="BB11" s="1058" t="n">
        <v>30024.8</v>
      </c>
      <c r="BC11" s="1058" t="n">
        <v>880</v>
      </c>
      <c r="BD11" s="1058" t="n">
        <v>15060</v>
      </c>
      <c r="BE11" s="1058" t="n">
        <v>9656.4</v>
      </c>
      <c r="BF11" s="1058" t="n">
        <v>1515</v>
      </c>
      <c r="BG11" s="1058" t="n">
        <v>26220</v>
      </c>
      <c r="BH11" s="1058" t="n">
        <v>16795.2</v>
      </c>
      <c r="BI11" s="1058" t="n">
        <v>1320</v>
      </c>
      <c r="BJ11" s="1058" t="n">
        <v>22680</v>
      </c>
      <c r="BK11" s="1058" t="n">
        <v>14515.2</v>
      </c>
      <c r="BL11" s="1058" t="n">
        <v>1704</v>
      </c>
      <c r="BM11" s="1058" t="n">
        <v>28436</v>
      </c>
      <c r="BN11" s="1058" t="n">
        <v>18458.24</v>
      </c>
      <c r="BO11" s="1058" t="n">
        <v>1800</v>
      </c>
      <c r="BP11" s="1058" t="n">
        <v>29370</v>
      </c>
      <c r="BQ11" s="1058" t="n">
        <v>18807.6</v>
      </c>
      <c r="BR11" s="1058" t="n">
        <v>1900</v>
      </c>
      <c r="BS11" s="1058" t="n">
        <v>31750</v>
      </c>
      <c r="BT11" s="1058" t="n">
        <v>20536</v>
      </c>
      <c r="BU11" s="1059">
        <f>BR11+BO11+BL11+BI11+BF11+BC11+AZ11+AW11+AT11+AQ11+AN11+AK11</f>
        <v/>
      </c>
      <c r="BV11" s="1059">
        <f>BS11+BP11+BM11+BJ11+BG11+BD11+BA11+AX11+AU11+AR11+AO11+AL11</f>
        <v/>
      </c>
      <c r="BW11" s="1059">
        <f>BT11+BQ11+BN11+BK11+BH11+BE11+BB11+AY11+AV11+AS11+AP11+AM11</f>
        <v/>
      </c>
      <c r="BX11" s="1060">
        <f>BU11/12</f>
        <v/>
      </c>
      <c r="BY11" s="1060">
        <f>BV11/12</f>
        <v/>
      </c>
      <c r="BZ11" s="1060">
        <f>BW11/12</f>
        <v/>
      </c>
      <c r="CA11" s="434">
        <f>BX11/AI11*100-100</f>
        <v/>
      </c>
      <c r="CB11" s="414" t="inlineStr">
        <is>
          <t>Must Grow</t>
        </is>
      </c>
    </row>
    <row r="12">
      <c r="A12" s="852" t="n">
        <v>9</v>
      </c>
      <c r="B12" s="852" t="inlineStr">
        <is>
          <t>မယဉ်ယဉ်အေး</t>
        </is>
      </c>
      <c r="C12" s="852" t="inlineStr">
        <is>
          <t>Ma Yin Yin Aye</t>
        </is>
      </c>
      <c r="D12" s="852" t="inlineStr">
        <is>
          <t>မလှိုင်</t>
        </is>
      </c>
      <c r="E12" s="852" t="inlineStr">
        <is>
          <t>Mahlaing</t>
        </is>
      </c>
      <c r="F12" s="852" t="inlineStr">
        <is>
          <t>ContractWholesales</t>
        </is>
      </c>
      <c r="G12" s="1052" t="n">
        <v>2195</v>
      </c>
      <c r="H12" s="1052" t="n">
        <v>33730</v>
      </c>
      <c r="I12" s="1052" t="n">
        <v>2065</v>
      </c>
      <c r="J12" s="1052" t="n">
        <v>34150</v>
      </c>
      <c r="K12" s="1052" t="n">
        <v>1725</v>
      </c>
      <c r="L12" s="1052" t="n">
        <v>28650</v>
      </c>
      <c r="M12" s="1052" t="n">
        <v>1340</v>
      </c>
      <c r="N12" s="1052" t="n">
        <v>22500</v>
      </c>
      <c r="O12" s="1052" t="n">
        <v>2230</v>
      </c>
      <c r="P12" s="1052" t="n">
        <v>37610</v>
      </c>
      <c r="Q12" s="1052" t="n">
        <v>2305</v>
      </c>
      <c r="R12" s="1052" t="n">
        <v>37710</v>
      </c>
      <c r="S12" s="1052" t="n">
        <v>1291</v>
      </c>
      <c r="T12" s="1052" t="n">
        <v>20784</v>
      </c>
      <c r="U12" s="1052" t="n">
        <v>2127</v>
      </c>
      <c r="V12" s="1052" t="n">
        <v>34938</v>
      </c>
      <c r="W12" s="1052" t="n">
        <v>1646</v>
      </c>
      <c r="X12" s="1052" t="n">
        <v>27484</v>
      </c>
      <c r="Y12" s="1052" t="n">
        <v>1615</v>
      </c>
      <c r="Z12" s="1053" t="n">
        <v>26810</v>
      </c>
      <c r="AA12" s="1054" t="n">
        <v>2040</v>
      </c>
      <c r="AB12" s="1052" t="n">
        <v>32860</v>
      </c>
      <c r="AC12" s="1055">
        <f>(Y12+W12+U12+S12+Q12+O12+M12+K12+I12+G12+AA12)/11</f>
        <v/>
      </c>
      <c r="AD12" s="1056">
        <f>(Z12+X12+V12+T12+R12+P12+N12+L12+J12+H12+AB12)/11</f>
        <v/>
      </c>
      <c r="AE12" s="1052" t="n">
        <v>2000</v>
      </c>
      <c r="AF12" s="1052" t="n">
        <v>32200</v>
      </c>
      <c r="AG12" s="1057" t="n">
        <v>22579</v>
      </c>
      <c r="AH12" s="1057" t="n">
        <v>369426</v>
      </c>
      <c r="AI12" s="1057">
        <f>AG12/12</f>
        <v/>
      </c>
      <c r="AJ12" s="1057">
        <f>AH12/12</f>
        <v/>
      </c>
      <c r="AK12" s="1058" t="n">
        <v>1590</v>
      </c>
      <c r="AL12" s="1058" t="n">
        <v>26100</v>
      </c>
      <c r="AM12" s="1058" t="n">
        <v>16725.6</v>
      </c>
      <c r="AN12" s="1058" t="n">
        <v>2015</v>
      </c>
      <c r="AO12" s="1058" t="n">
        <v>33510</v>
      </c>
      <c r="AP12" s="1058" t="n">
        <v>21446.4</v>
      </c>
      <c r="AQ12" s="1058" t="n">
        <v>1905</v>
      </c>
      <c r="AR12" s="1058" t="n">
        <v>32040</v>
      </c>
      <c r="AS12" s="1058" t="n">
        <v>20570.4</v>
      </c>
      <c r="AT12" s="1058" t="n">
        <v>2120</v>
      </c>
      <c r="AU12" s="1058" t="n">
        <v>34440</v>
      </c>
      <c r="AV12" s="1058" t="n">
        <v>22128</v>
      </c>
      <c r="AW12" s="1058" t="n">
        <v>1100</v>
      </c>
      <c r="AX12" s="1058" t="n">
        <v>18700</v>
      </c>
      <c r="AY12" s="1058" t="n">
        <v>11968</v>
      </c>
      <c r="AZ12" s="1058" t="n">
        <v>1315</v>
      </c>
      <c r="BA12" s="1058" t="n">
        <v>20900</v>
      </c>
      <c r="BB12" s="1058" t="n">
        <v>13505.6</v>
      </c>
      <c r="BC12" s="1058" t="n">
        <v>1435</v>
      </c>
      <c r="BD12" s="1058" t="n">
        <v>24620</v>
      </c>
      <c r="BE12" s="1058" t="n">
        <v>15836</v>
      </c>
      <c r="BF12" s="1058" t="n">
        <v>1250</v>
      </c>
      <c r="BG12" s="1058" t="n">
        <v>21200</v>
      </c>
      <c r="BH12" s="1058" t="n">
        <v>13568</v>
      </c>
      <c r="BI12" s="1058" t="n">
        <v>1450</v>
      </c>
      <c r="BJ12" s="1058" t="n">
        <v>24340</v>
      </c>
      <c r="BK12" s="1058" t="n">
        <v>15995.2</v>
      </c>
      <c r="BL12" s="1058" t="n">
        <v>1145</v>
      </c>
      <c r="BM12" s="1058" t="n">
        <v>19530</v>
      </c>
      <c r="BN12" s="1058" t="n">
        <v>12499.2</v>
      </c>
      <c r="BO12" s="1058" t="n">
        <v>1910</v>
      </c>
      <c r="BP12" s="1058" t="n">
        <v>31340</v>
      </c>
      <c r="BQ12" s="1058" t="n">
        <v>20057.6</v>
      </c>
      <c r="BR12" s="1058" t="n">
        <v>1080</v>
      </c>
      <c r="BS12" s="1058" t="n">
        <v>17820</v>
      </c>
      <c r="BT12" s="1058" t="n">
        <v>11404.8</v>
      </c>
      <c r="BU12" s="1059">
        <f>BR12+BO12+BL12+BI12+BF12+BC12+AZ12+AW12+AT12+AQ12+AN12+AK12</f>
        <v/>
      </c>
      <c r="BV12" s="1059">
        <f>BS12+BP12+BM12+BJ12+BG12+BD12+BA12+AX12+AU12+AR12+AO12+AL12</f>
        <v/>
      </c>
      <c r="BW12" s="1059">
        <f>BT12+BQ12+BN12+BK12+BH12+BE12+BB12+AY12+AV12+AS12+AP12+AM12</f>
        <v/>
      </c>
      <c r="BX12" s="1060">
        <f>BU12/12</f>
        <v/>
      </c>
      <c r="BY12" s="1060">
        <f>BV12/12</f>
        <v/>
      </c>
      <c r="BZ12" s="1060">
        <f>BW12/12</f>
        <v/>
      </c>
      <c r="CA12" s="434">
        <f>BX12/AI12*100-100</f>
        <v/>
      </c>
      <c r="CB12" s="415" t="inlineStr">
        <is>
          <t>Must Grow</t>
        </is>
      </c>
    </row>
    <row r="13">
      <c r="A13" s="852" t="n">
        <v>10</v>
      </c>
      <c r="B13" s="852" t="inlineStr">
        <is>
          <t>ဦးအောင်မိုး</t>
        </is>
      </c>
      <c r="C13" s="852" t="inlineStr">
        <is>
          <t>U Aung Moe</t>
        </is>
      </c>
      <c r="D13" s="852" t="inlineStr">
        <is>
          <t>ရမည်းသင်း</t>
        </is>
      </c>
      <c r="E13" s="852" t="inlineStr">
        <is>
          <t>Yamethin</t>
        </is>
      </c>
      <c r="F13" s="852" t="inlineStr">
        <is>
          <t>Wholesales</t>
        </is>
      </c>
      <c r="G13" s="1052" t="n">
        <v>600</v>
      </c>
      <c r="H13" s="1052" t="n">
        <v>8200</v>
      </c>
      <c r="I13" s="1052" t="n">
        <v>400</v>
      </c>
      <c r="J13" s="1052" t="n">
        <v>5600</v>
      </c>
      <c r="K13" s="1052" t="n">
        <v>900</v>
      </c>
      <c r="L13" s="1052" t="n">
        <v>12600</v>
      </c>
      <c r="M13" s="1052" t="n">
        <v>300</v>
      </c>
      <c r="N13" s="1052" t="n">
        <v>5600</v>
      </c>
      <c r="O13" s="1052" t="n">
        <v>400</v>
      </c>
      <c r="P13" s="1052" t="n">
        <v>5600</v>
      </c>
      <c r="Q13" s="1052" t="n">
        <v>400</v>
      </c>
      <c r="R13" s="1052" t="n">
        <v>5600</v>
      </c>
      <c r="S13" s="1052" t="n">
        <v>200</v>
      </c>
      <c r="T13" s="1052" t="n">
        <v>2800</v>
      </c>
      <c r="U13" s="1052" t="n">
        <v>300</v>
      </c>
      <c r="V13" s="1052" t="n">
        <v>4200</v>
      </c>
      <c r="W13" s="1052" t="n">
        <v>300</v>
      </c>
      <c r="X13" s="1052" t="n">
        <v>4200</v>
      </c>
      <c r="Y13" s="1052" t="n">
        <v>400</v>
      </c>
      <c r="Z13" s="1053" t="n">
        <v>5600</v>
      </c>
      <c r="AA13" s="1054" t="n">
        <v>300</v>
      </c>
      <c r="AB13" s="1052" t="n">
        <v>4200</v>
      </c>
      <c r="AC13" s="1055">
        <f>(Y13+W13+U13+S13+Q13+O13+M13+K13+I13+G13+AA13)/11</f>
        <v/>
      </c>
      <c r="AD13" s="1056">
        <f>(Z13+X13+V13+T13+R13+P13+N13+L13+J13+H13+AB13)/11</f>
        <v/>
      </c>
      <c r="AE13" s="1052" t="n">
        <v>500</v>
      </c>
      <c r="AF13" s="1052" t="n">
        <v>8000</v>
      </c>
      <c r="AG13" s="1057" t="n">
        <v>5000</v>
      </c>
      <c r="AH13" s="1057" t="n">
        <v>72200</v>
      </c>
      <c r="AI13" s="1057">
        <f>AG13/12</f>
        <v/>
      </c>
      <c r="AJ13" s="1057">
        <f>AH13/12</f>
        <v/>
      </c>
      <c r="AK13" s="1058" t="n">
        <v>200</v>
      </c>
      <c r="AL13" s="1058" t="n">
        <v>2800</v>
      </c>
      <c r="AM13" s="1058" t="n">
        <v>1792</v>
      </c>
      <c r="AN13" s="1058" t="n">
        <v>550</v>
      </c>
      <c r="AO13" s="1058" t="n">
        <v>8700</v>
      </c>
      <c r="AP13" s="1058" t="n">
        <v>5472</v>
      </c>
      <c r="AQ13" s="1058" t="n">
        <v>300</v>
      </c>
      <c r="AR13" s="1058" t="n">
        <v>4200</v>
      </c>
      <c r="AS13" s="1058" t="n">
        <v>2688</v>
      </c>
      <c r="AT13" s="1058" t="n">
        <v>100</v>
      </c>
      <c r="AU13" s="1058" t="n">
        <v>2400</v>
      </c>
      <c r="AV13" s="1058" t="n">
        <v>1440</v>
      </c>
      <c r="AW13" s="1058" t="n">
        <v>270</v>
      </c>
      <c r="AX13" s="1058" t="n">
        <v>4740</v>
      </c>
      <c r="AY13" s="1058" t="n">
        <v>2947.2</v>
      </c>
      <c r="AZ13" s="1058" t="n">
        <v>200</v>
      </c>
      <c r="BA13" s="1058" t="n">
        <v>2700</v>
      </c>
      <c r="BB13" s="1058" t="n">
        <v>1944</v>
      </c>
      <c r="BC13" s="1058" t="n">
        <v>400</v>
      </c>
      <c r="BD13" s="1058" t="n">
        <v>6600</v>
      </c>
      <c r="BE13" s="1058" t="n">
        <v>4128</v>
      </c>
      <c r="BF13" s="1058" t="n">
        <v>280</v>
      </c>
      <c r="BG13" s="1058" t="n">
        <v>4920</v>
      </c>
      <c r="BH13" s="1058" t="n">
        <v>3052.8</v>
      </c>
      <c r="BI13" s="1058" t="n">
        <v>330</v>
      </c>
      <c r="BJ13" s="1058" t="n">
        <v>5060</v>
      </c>
      <c r="BK13" s="1058" t="n">
        <v>3204.8</v>
      </c>
      <c r="BL13" s="1058" t="n">
        <v>250</v>
      </c>
      <c r="BM13" s="1058" t="n">
        <v>4000</v>
      </c>
      <c r="BN13" s="1058" t="n">
        <v>2512</v>
      </c>
      <c r="BO13" s="1058" t="n">
        <v>330</v>
      </c>
      <c r="BP13" s="1058" t="n">
        <v>6620</v>
      </c>
      <c r="BQ13" s="1058" t="n">
        <v>4044.8</v>
      </c>
      <c r="BR13" s="1058" t="n">
        <v>200</v>
      </c>
      <c r="BS13" s="1058" t="n">
        <v>2800</v>
      </c>
      <c r="BT13" s="1058" t="n">
        <v>1792</v>
      </c>
      <c r="BU13" s="1059">
        <f>BR13+BO13+BL13+BI13+BF13+BC13+AZ13+AW13+AT13+AQ13+AN13+AK13</f>
        <v/>
      </c>
      <c r="BV13" s="1059">
        <f>BS13+BP13+BM13+BJ13+BG13+BD13+BA13+AX13+AU13+AR13+AO13+AL13</f>
        <v/>
      </c>
      <c r="BW13" s="1059">
        <f>BT13+BQ13+BN13+BK13+BH13+BE13+BB13+AY13+AV13+AS13+AP13+AM13</f>
        <v/>
      </c>
      <c r="BX13" s="1060">
        <f>BU13/12</f>
        <v/>
      </c>
      <c r="BY13" s="1060">
        <f>BV13/12</f>
        <v/>
      </c>
      <c r="BZ13" s="1060">
        <f>BW13/12</f>
        <v/>
      </c>
      <c r="CA13" s="434">
        <f>BX13/AI13*100-100</f>
        <v/>
      </c>
      <c r="CB13" s="415" t="inlineStr">
        <is>
          <t>Must Grow</t>
        </is>
      </c>
    </row>
    <row r="14" ht="21" customHeight="1" thickBot="1">
      <c r="A14" s="852" t="n">
        <v>11</v>
      </c>
      <c r="B14" s="852" t="inlineStr">
        <is>
          <t>စံချိန်</t>
        </is>
      </c>
      <c r="C14" s="852" t="inlineStr">
        <is>
          <t>Sanchin</t>
        </is>
      </c>
      <c r="D14" s="852" t="inlineStr">
        <is>
          <t>ရမည်းသင်း</t>
        </is>
      </c>
      <c r="E14" s="852" t="inlineStr">
        <is>
          <t>Yamethin</t>
        </is>
      </c>
      <c r="F14" s="852" t="inlineStr">
        <is>
          <t>ContractWholesales</t>
        </is>
      </c>
      <c r="G14" s="1052" t="n">
        <v>930</v>
      </c>
      <c r="H14" s="1052" t="n">
        <v>13320</v>
      </c>
      <c r="I14" s="1052" t="n">
        <v>400</v>
      </c>
      <c r="J14" s="1052" t="n">
        <v>5600</v>
      </c>
      <c r="K14" s="1052" t="n">
        <v>730</v>
      </c>
      <c r="L14" s="1052" t="n">
        <v>10520</v>
      </c>
      <c r="M14" s="1052" t="n">
        <v>730</v>
      </c>
      <c r="N14" s="1052" t="n">
        <v>10520</v>
      </c>
      <c r="O14" s="1052" t="n">
        <v>700</v>
      </c>
      <c r="P14" s="1052" t="n">
        <v>9800</v>
      </c>
      <c r="Q14" s="1052" t="n">
        <v>750</v>
      </c>
      <c r="R14" s="1052" t="n">
        <v>10900</v>
      </c>
      <c r="S14" s="1052" t="n">
        <v>960</v>
      </c>
      <c r="T14" s="1052" t="n">
        <v>13840</v>
      </c>
      <c r="U14" s="1052" t="n">
        <v>775</v>
      </c>
      <c r="V14" s="1052" t="n">
        <v>11100</v>
      </c>
      <c r="W14" s="1052" t="n">
        <v>230</v>
      </c>
      <c r="X14" s="1052" t="n">
        <v>3520</v>
      </c>
      <c r="Y14" s="1052" t="n">
        <v>1024</v>
      </c>
      <c r="Z14" s="1053" t="n">
        <v>15436</v>
      </c>
      <c r="AA14" s="1054" t="n">
        <v>700</v>
      </c>
      <c r="AB14" s="1052" t="n">
        <v>10300</v>
      </c>
      <c r="AC14" s="1055">
        <f>(Y14+W14+U14+S14+Q14+O14+M14+K14+I14+G14+AA14)/11</f>
        <v/>
      </c>
      <c r="AD14" s="1056">
        <f>(Z14+X14+V14+T14+R14+P14+N14+L14+J14+H14+AB14)/11</f>
        <v/>
      </c>
      <c r="AE14" s="1052" t="n">
        <v>700</v>
      </c>
      <c r="AF14" s="1052" t="n">
        <v>10800</v>
      </c>
      <c r="AG14" s="1057" t="n">
        <v>8629</v>
      </c>
      <c r="AH14" s="1057" t="n">
        <v>125656</v>
      </c>
      <c r="AI14" s="1057">
        <f>AG14/12</f>
        <v/>
      </c>
      <c r="AJ14" s="1057">
        <f>AH14/12</f>
        <v/>
      </c>
      <c r="AK14" s="1058" t="n">
        <v>850</v>
      </c>
      <c r="AL14" s="1058" t="n">
        <v>12400</v>
      </c>
      <c r="AM14" s="1058" t="n">
        <v>7888</v>
      </c>
      <c r="AN14" s="1058" t="n">
        <v>700</v>
      </c>
      <c r="AO14" s="1058" t="n">
        <v>10800</v>
      </c>
      <c r="AP14" s="1058" t="n">
        <v>6816</v>
      </c>
      <c r="AQ14" s="1058" t="n">
        <v>1000</v>
      </c>
      <c r="AR14" s="1058" t="n">
        <v>16000</v>
      </c>
      <c r="AS14" s="1058" t="n">
        <v>11968</v>
      </c>
      <c r="AT14" s="1058" t="n">
        <v>450</v>
      </c>
      <c r="AU14" s="1058" t="n">
        <v>6800</v>
      </c>
      <c r="AV14" s="1058" t="n">
        <v>4304</v>
      </c>
      <c r="AW14" s="1058" t="n">
        <v>550</v>
      </c>
      <c r="AX14" s="1058" t="n">
        <v>9200</v>
      </c>
      <c r="AY14" s="1058" t="n">
        <v>5744</v>
      </c>
      <c r="AZ14" s="1058" t="n">
        <v>350</v>
      </c>
      <c r="BA14" s="1058" t="n">
        <v>5400</v>
      </c>
      <c r="BB14" s="1058" t="n">
        <v>3408</v>
      </c>
      <c r="BC14" s="1058" t="n">
        <v>800</v>
      </c>
      <c r="BD14" s="1058" t="n">
        <v>12700</v>
      </c>
      <c r="BE14" s="1058" t="n">
        <v>7984</v>
      </c>
      <c r="BF14" s="1058" t="n">
        <v>470</v>
      </c>
      <c r="BG14" s="1058" t="n">
        <v>6780</v>
      </c>
      <c r="BH14" s="1058" t="n">
        <v>4334.4</v>
      </c>
      <c r="BI14" s="1058" t="n">
        <v>800</v>
      </c>
      <c r="BJ14" s="1058" t="n">
        <v>12700</v>
      </c>
      <c r="BK14" s="1058" t="n">
        <v>7984</v>
      </c>
      <c r="BL14" s="1058" t="n">
        <v>800</v>
      </c>
      <c r="BM14" s="1058" t="n">
        <v>12900</v>
      </c>
      <c r="BN14" s="1058" t="n">
        <v>8121.6</v>
      </c>
      <c r="BO14" s="1058" t="n">
        <v>550</v>
      </c>
      <c r="BP14" s="1058" t="n">
        <v>8200</v>
      </c>
      <c r="BQ14" s="1058" t="n">
        <v>5200</v>
      </c>
      <c r="BR14" s="1058" t="n">
        <v>750</v>
      </c>
      <c r="BS14" s="1058" t="n">
        <v>11000</v>
      </c>
      <c r="BT14" s="1058" t="n">
        <v>6992</v>
      </c>
      <c r="BU14" s="1059">
        <f>BR14+BO14+BL14+BI14+BF14+BC14+AZ14+AW14+AT14+AQ14+AN14+AK14</f>
        <v/>
      </c>
      <c r="BV14" s="1059">
        <f>BS14+BP14+BM14+BJ14+BG14+BD14+BA14+AX14+AU14+AR14+AO14+AL14</f>
        <v/>
      </c>
      <c r="BW14" s="1059">
        <f>BT14+BQ14+BN14+BK14+BH14+BE14+BB14+AY14+AV14+AS14+AP14+AM14</f>
        <v/>
      </c>
      <c r="BX14" s="1060">
        <f>BU14/12</f>
        <v/>
      </c>
      <c r="BY14" s="1060">
        <f>BV14/12</f>
        <v/>
      </c>
      <c r="BZ14" s="1060">
        <f>BW14/12</f>
        <v/>
      </c>
      <c r="CA14" s="434">
        <f>BX14/AI14*100-100</f>
        <v/>
      </c>
      <c r="CB14" s="416" t="inlineStr">
        <is>
          <t>Must Grow</t>
        </is>
      </c>
    </row>
    <row r="15">
      <c r="A15" s="852" t="n">
        <v>12</v>
      </c>
      <c r="B15" s="852" t="inlineStr">
        <is>
          <t>ဦးရဲမြင့်</t>
        </is>
      </c>
      <c r="C15" s="852" t="inlineStr">
        <is>
          <t>U Ye Myint</t>
        </is>
      </c>
      <c r="D15" s="852" t="inlineStr">
        <is>
          <t>ပျော်ဘွယ်</t>
        </is>
      </c>
      <c r="E15" s="852" t="inlineStr">
        <is>
          <t>Pyawbwe</t>
        </is>
      </c>
      <c r="F15" s="852" t="inlineStr">
        <is>
          <t>ContractWholesales</t>
        </is>
      </c>
      <c r="G15" s="1052" t="n">
        <v>10135</v>
      </c>
      <c r="H15" s="1052" t="n">
        <v>144090</v>
      </c>
      <c r="I15" s="1052" t="n">
        <v>4020</v>
      </c>
      <c r="J15" s="1052" t="n">
        <v>58580</v>
      </c>
      <c r="K15" s="1052" t="n">
        <v>2940</v>
      </c>
      <c r="L15" s="1052" t="n">
        <v>43560</v>
      </c>
      <c r="M15" s="1052" t="n">
        <v>3315</v>
      </c>
      <c r="N15" s="1052" t="n">
        <v>49110</v>
      </c>
      <c r="O15" s="1052" t="n">
        <v>5095</v>
      </c>
      <c r="P15" s="1052" t="n">
        <v>74930</v>
      </c>
      <c r="Q15" s="1052" t="n">
        <v>4712</v>
      </c>
      <c r="R15" s="1052" t="n">
        <v>68226</v>
      </c>
      <c r="S15" s="1052" t="n">
        <v>4261</v>
      </c>
      <c r="T15" s="1052" t="n">
        <v>62212</v>
      </c>
      <c r="U15" s="1052" t="n">
        <v>4865</v>
      </c>
      <c r="V15" s="1052" t="n">
        <v>70410</v>
      </c>
      <c r="W15" s="1052" t="n">
        <v>6505</v>
      </c>
      <c r="X15" s="1052" t="n">
        <v>93370</v>
      </c>
      <c r="Y15" s="1052" t="n">
        <v>4340</v>
      </c>
      <c r="Z15" s="1053" t="n">
        <v>63810</v>
      </c>
      <c r="AA15" s="1054" t="n">
        <v>5230</v>
      </c>
      <c r="AB15" s="1052" t="n">
        <v>91520</v>
      </c>
      <c r="AC15" s="1055">
        <f>(Y15+W15+U15+S15+Q15+O15+M15+K15+I15+G15+AA15)/11</f>
        <v/>
      </c>
      <c r="AD15" s="1056">
        <f>(Z15+X15+V15+T15+R15+P15+N15+L15+J15+H15+AB15)/11</f>
        <v/>
      </c>
      <c r="AE15" s="1052" t="n">
        <v>5835</v>
      </c>
      <c r="AF15" s="1052" t="n">
        <v>85990</v>
      </c>
      <c r="AG15" s="1057" t="n">
        <v>61253</v>
      </c>
      <c r="AH15" s="1057" t="n">
        <v>905808</v>
      </c>
      <c r="AI15" s="1057">
        <f>AG15/12</f>
        <v/>
      </c>
      <c r="AJ15" s="1057">
        <f>AH15/12</f>
        <v/>
      </c>
      <c r="AK15" s="1058" t="n">
        <v>5550</v>
      </c>
      <c r="AL15" s="1058" t="n">
        <v>81900</v>
      </c>
      <c r="AM15" s="1058" t="n">
        <v>52488.00000000001</v>
      </c>
      <c r="AN15" s="1058" t="n">
        <v>5550</v>
      </c>
      <c r="AO15" s="1058" t="n">
        <v>80910</v>
      </c>
      <c r="AP15" s="1058" t="n">
        <v>51892.8</v>
      </c>
      <c r="AQ15" s="1058" t="n">
        <v>5550</v>
      </c>
      <c r="AR15" s="1058" t="n">
        <v>85100</v>
      </c>
      <c r="AS15" s="1058" t="n">
        <v>57300.8</v>
      </c>
      <c r="AT15" s="1058" t="n">
        <v>4305</v>
      </c>
      <c r="AU15" s="1058" t="n">
        <v>63220</v>
      </c>
      <c r="AV15" s="1058" t="n">
        <v>40928.8</v>
      </c>
      <c r="AW15" s="1058" t="n">
        <v>6520</v>
      </c>
      <c r="AX15" s="1058" t="n">
        <v>95580</v>
      </c>
      <c r="AY15" s="1058" t="n">
        <v>61207.20000000001</v>
      </c>
      <c r="AZ15" s="1058" t="n">
        <v>5825</v>
      </c>
      <c r="BA15" s="1058" t="n">
        <v>87000</v>
      </c>
      <c r="BB15" s="1058" t="n">
        <v>55824.00000000001</v>
      </c>
      <c r="BC15" s="1058" t="n">
        <v>4150</v>
      </c>
      <c r="BD15" s="1058" t="n">
        <v>61500</v>
      </c>
      <c r="BE15" s="1058" t="n">
        <v>39395.99999999999</v>
      </c>
      <c r="BF15" s="1058" t="n">
        <v>5395</v>
      </c>
      <c r="BG15" s="1058" t="n">
        <v>78630</v>
      </c>
      <c r="BH15" s="1058" t="n">
        <v>50395.2</v>
      </c>
      <c r="BI15" s="1058" t="n">
        <v>4715</v>
      </c>
      <c r="BJ15" s="1058" t="n">
        <v>69310</v>
      </c>
      <c r="BK15" s="1058" t="n">
        <v>44358.40000000001</v>
      </c>
      <c r="BL15" s="1058" t="n">
        <v>6470</v>
      </c>
      <c r="BM15" s="1058" t="n">
        <v>94780</v>
      </c>
      <c r="BN15" s="1058" t="n">
        <v>60731.2</v>
      </c>
      <c r="BO15" s="1058" t="n">
        <v>6715</v>
      </c>
      <c r="BP15" s="1058" t="n">
        <v>98860</v>
      </c>
      <c r="BQ15" s="1058" t="n">
        <v>63306.4</v>
      </c>
      <c r="BR15" s="1058" t="n">
        <v>6600</v>
      </c>
      <c r="BS15" s="1058" t="n">
        <v>99440</v>
      </c>
      <c r="BT15" s="1058" t="n">
        <v>63699.2</v>
      </c>
      <c r="BU15" s="1059">
        <f>BR15+BO15+BL15+BI15+BF15+BC15+AZ15+AW15+AT15+AQ15+AN15+AK15</f>
        <v/>
      </c>
      <c r="BV15" s="1059">
        <f>BS15+BP15+BM15+BJ15+BG15+BD15+BA15+AX15+AU15+AR15+AO15+AL15</f>
        <v/>
      </c>
      <c r="BW15" s="1059">
        <f>BT15+BQ15+BN15+BK15+BH15+BE15+BB15+AY15+AV15+AS15+AP15+AM15</f>
        <v/>
      </c>
      <c r="BX15" s="1060">
        <f>BU15/12</f>
        <v/>
      </c>
      <c r="BY15" s="1060">
        <f>BV15/12</f>
        <v/>
      </c>
      <c r="BZ15" s="1060">
        <f>BW15/12</f>
        <v/>
      </c>
      <c r="CA15" s="434">
        <f>BX15/AI15*100-100</f>
        <v/>
      </c>
    </row>
    <row r="16">
      <c r="A16" s="852" t="n">
        <v>13</v>
      </c>
      <c r="B16" s="852" t="inlineStr">
        <is>
          <t>လွင်</t>
        </is>
      </c>
      <c r="C16" s="852" t="inlineStr">
        <is>
          <t>Lwin</t>
        </is>
      </c>
      <c r="D16" s="852" t="inlineStr">
        <is>
          <t>ကျောက်ပန်းတောင်း</t>
        </is>
      </c>
      <c r="E16" s="852" t="inlineStr">
        <is>
          <t>Kyaukpadaung</t>
        </is>
      </c>
      <c r="F16" s="852" t="inlineStr">
        <is>
          <t>ContractWholesales</t>
        </is>
      </c>
      <c r="G16" s="1052" t="n">
        <v>1900</v>
      </c>
      <c r="H16" s="1052" t="n">
        <v>26500</v>
      </c>
      <c r="I16" s="1052" t="n">
        <v>1320</v>
      </c>
      <c r="J16" s="1052" t="n">
        <v>18670</v>
      </c>
      <c r="K16" s="1052" t="n">
        <v>1405</v>
      </c>
      <c r="L16" s="1052" t="n">
        <v>19570</v>
      </c>
      <c r="M16" s="1052" t="n">
        <v>1325</v>
      </c>
      <c r="N16" s="1052" t="n">
        <v>18550</v>
      </c>
      <c r="O16" s="1052" t="n">
        <v>1899</v>
      </c>
      <c r="P16" s="1052" t="n">
        <v>28474</v>
      </c>
      <c r="Q16" s="1052" t="n">
        <v>2200</v>
      </c>
      <c r="R16" s="1052" t="n">
        <v>30760</v>
      </c>
      <c r="S16" s="1052" t="n">
        <v>1920</v>
      </c>
      <c r="T16" s="1052" t="n">
        <v>28700</v>
      </c>
      <c r="U16" s="1052" t="n">
        <v>1905</v>
      </c>
      <c r="V16" s="1052" t="n">
        <v>28150</v>
      </c>
      <c r="W16" s="1052" t="n">
        <v>2425</v>
      </c>
      <c r="X16" s="1052" t="n">
        <v>35860</v>
      </c>
      <c r="Y16" s="1052" t="n">
        <v>2490</v>
      </c>
      <c r="Z16" s="1053" t="n">
        <v>36740</v>
      </c>
      <c r="AA16" s="1054" t="n">
        <v>2900</v>
      </c>
      <c r="AB16" s="1052" t="n">
        <v>43640</v>
      </c>
      <c r="AC16" s="1055">
        <f>(Y16+W16+U16+S16+Q16+O16+M16+K16+I16+G16+AA16)/11</f>
        <v/>
      </c>
      <c r="AD16" s="1056">
        <f>(Z16+X16+V16+T16+R16+P16+N16+L16+J16+H16+AB16)/11</f>
        <v/>
      </c>
      <c r="AE16" s="1052" t="n">
        <v>2758</v>
      </c>
      <c r="AF16" s="1052" t="n">
        <v>41692</v>
      </c>
      <c r="AG16" s="1057" t="n">
        <v>24447</v>
      </c>
      <c r="AH16" s="1057" t="n">
        <v>357306</v>
      </c>
      <c r="AI16" s="1057">
        <f>AG16/12</f>
        <v/>
      </c>
      <c r="AJ16" s="1057">
        <f>AH16/12</f>
        <v/>
      </c>
      <c r="AK16" s="1058" t="n">
        <v>2720</v>
      </c>
      <c r="AL16" s="1058" t="n">
        <v>42860</v>
      </c>
      <c r="AM16" s="1058" t="n">
        <v>27137.6</v>
      </c>
      <c r="AN16" s="1058" t="n">
        <v>2080</v>
      </c>
      <c r="AO16" s="1058" t="n">
        <v>31420</v>
      </c>
      <c r="AP16" s="1058" t="n">
        <v>19916.8</v>
      </c>
      <c r="AQ16" s="1058" t="n">
        <v>2548</v>
      </c>
      <c r="AR16" s="1058" t="n">
        <v>38072</v>
      </c>
      <c r="AS16" s="1058" t="n">
        <v>24246.08</v>
      </c>
      <c r="AT16" s="1058" t="n">
        <v>2760</v>
      </c>
      <c r="AU16" s="1058" t="n">
        <v>42680</v>
      </c>
      <c r="AV16" s="1058" t="n">
        <v>27108.8</v>
      </c>
      <c r="AW16" s="1058" t="n">
        <v>2703</v>
      </c>
      <c r="AX16" s="1058" t="n">
        <v>40712</v>
      </c>
      <c r="AY16" s="1058" t="n">
        <v>26277.2</v>
      </c>
      <c r="AZ16" s="1058" t="n">
        <v>2982</v>
      </c>
      <c r="BA16" s="1058" t="n">
        <v>45668</v>
      </c>
      <c r="BB16" s="1058" t="n">
        <v>29085.2</v>
      </c>
      <c r="BC16" s="1058" t="n">
        <v>2720</v>
      </c>
      <c r="BD16" s="1058" t="n">
        <v>40890</v>
      </c>
      <c r="BE16" s="1058" t="n">
        <v>26629.2</v>
      </c>
      <c r="BF16" s="1058" t="n">
        <v>2949</v>
      </c>
      <c r="BG16" s="1058" t="n">
        <v>44396</v>
      </c>
      <c r="BH16" s="1058" t="n">
        <v>28811.84</v>
      </c>
      <c r="BI16" s="1058" t="n">
        <v>3354</v>
      </c>
      <c r="BJ16" s="1058" t="n">
        <v>50696</v>
      </c>
      <c r="BK16" s="1058" t="n">
        <v>32971.04</v>
      </c>
      <c r="BL16" s="1058" t="n">
        <v>3205</v>
      </c>
      <c r="BM16" s="1058" t="n">
        <v>47960</v>
      </c>
      <c r="BN16" s="1058" t="n">
        <v>31518.8</v>
      </c>
      <c r="BO16" s="1058" t="n">
        <v>3345</v>
      </c>
      <c r="BP16" s="1058" t="n">
        <v>50810</v>
      </c>
      <c r="BQ16" s="1058" t="n">
        <v>33755.6</v>
      </c>
      <c r="BR16" s="1058" t="n">
        <v>3725</v>
      </c>
      <c r="BS16" s="1058" t="n">
        <v>57280</v>
      </c>
      <c r="BT16" s="1058" t="n">
        <v>37017.99999999999</v>
      </c>
      <c r="BU16" s="1059">
        <f>BR16+BO16+BL16+BI16+BF16+BC16+AZ16+AW16+AT16+AQ16+AN16+AK16</f>
        <v/>
      </c>
      <c r="BV16" s="1059">
        <f>BS16+BP16+BM16+BJ16+BG16+BD16+BA16+AX16+AU16+AR16+AO16+AL16</f>
        <v/>
      </c>
      <c r="BW16" s="1059">
        <f>BT16+BQ16+BN16+BK16+BH16+BE16+BB16+AY16+AV16+AS16+AP16+AM16</f>
        <v/>
      </c>
      <c r="BX16" s="1060">
        <f>BU16/12</f>
        <v/>
      </c>
      <c r="BY16" s="1060">
        <f>BV16/12</f>
        <v/>
      </c>
      <c r="BZ16" s="1060">
        <f>BW16/12</f>
        <v/>
      </c>
      <c r="CA16" s="434">
        <f>BX16/AI16*100-100</f>
        <v/>
      </c>
    </row>
    <row r="17" ht="21" customHeight="1" thickBot="1">
      <c r="A17" s="852" t="n">
        <v>14</v>
      </c>
      <c r="B17" s="852" t="inlineStr">
        <is>
          <t>ဦးစိုးဝင်း</t>
        </is>
      </c>
      <c r="C17" s="852" t="inlineStr">
        <is>
          <t>U Soe Win</t>
        </is>
      </c>
      <c r="D17" s="852" t="inlineStr">
        <is>
          <t>ကျောက်ပန်းတောင်း</t>
        </is>
      </c>
      <c r="E17" s="852" t="inlineStr">
        <is>
          <t>Kyaukpadaung</t>
        </is>
      </c>
      <c r="F17" s="852" t="inlineStr">
        <is>
          <t>ContractWholesales</t>
        </is>
      </c>
      <c r="G17" s="1052" t="n">
        <v>920</v>
      </c>
      <c r="H17" s="1052" t="n">
        <v>12680</v>
      </c>
      <c r="I17" s="1052" t="n">
        <v>1180</v>
      </c>
      <c r="J17" s="1052" t="n">
        <v>16820</v>
      </c>
      <c r="K17" s="1052" t="n">
        <v>1600</v>
      </c>
      <c r="L17" s="1052" t="n">
        <v>22400</v>
      </c>
      <c r="M17" s="1052" t="n">
        <v>1400</v>
      </c>
      <c r="N17" s="1052" t="n">
        <v>19300</v>
      </c>
      <c r="O17" s="1052" t="n">
        <v>1850</v>
      </c>
      <c r="P17" s="1052" t="n">
        <v>26900</v>
      </c>
      <c r="Q17" s="1052" t="n">
        <v>1830</v>
      </c>
      <c r="R17" s="1052" t="n">
        <v>25720</v>
      </c>
      <c r="S17" s="1052" t="n">
        <v>1630</v>
      </c>
      <c r="T17" s="1052" t="n">
        <v>22460</v>
      </c>
      <c r="U17" s="1052" t="n">
        <v>1940</v>
      </c>
      <c r="V17" s="1052" t="n">
        <v>27060</v>
      </c>
      <c r="W17" s="1052" t="n">
        <v>770</v>
      </c>
      <c r="X17" s="1052" t="n">
        <v>11380</v>
      </c>
      <c r="Y17" s="1052" t="n">
        <v>2013</v>
      </c>
      <c r="Z17" s="1053" t="n">
        <v>27718</v>
      </c>
      <c r="AA17" s="1054" t="n">
        <v>1269</v>
      </c>
      <c r="AB17" s="1052" t="n">
        <v>19478</v>
      </c>
      <c r="AC17" s="1055">
        <f>(Y17+W17+U17+S17+Q17+O17+M17+K17+I17+G17+AA17)/11</f>
        <v/>
      </c>
      <c r="AD17" s="1056">
        <f>(Z17+X17+V17+T17+R17+P17+N17+L17+J17+H17+AB17)/11</f>
        <v/>
      </c>
      <c r="AE17" s="1052" t="n">
        <v>2030</v>
      </c>
      <c r="AF17" s="1052" t="n">
        <v>27420</v>
      </c>
      <c r="AG17" s="1057" t="n">
        <v>18432</v>
      </c>
      <c r="AH17" s="1057" t="n">
        <v>259336</v>
      </c>
      <c r="AI17" s="1057">
        <f>AG17/12</f>
        <v/>
      </c>
      <c r="AJ17" s="1057">
        <f>AH17/12</f>
        <v/>
      </c>
      <c r="AK17" s="1058" t="n">
        <v>1861</v>
      </c>
      <c r="AL17" s="1058" t="n">
        <v>27924</v>
      </c>
      <c r="AM17" s="1058" t="n">
        <v>18806.4</v>
      </c>
      <c r="AN17" s="1058" t="n">
        <v>1730</v>
      </c>
      <c r="AO17" s="1058" t="n">
        <v>24520</v>
      </c>
      <c r="AP17" s="1058" t="n">
        <v>15692.8</v>
      </c>
      <c r="AQ17" s="1058" t="n">
        <v>1215</v>
      </c>
      <c r="AR17" s="1058" t="n">
        <v>17560</v>
      </c>
      <c r="AS17" s="1058" t="n">
        <v>13398.4</v>
      </c>
      <c r="AT17" s="1058" t="n">
        <v>1500</v>
      </c>
      <c r="AU17" s="1058" t="n">
        <v>23000</v>
      </c>
      <c r="AV17" s="1058" t="n">
        <v>15176</v>
      </c>
      <c r="AW17" s="1058" t="n">
        <v>2650</v>
      </c>
      <c r="AX17" s="1058" t="n">
        <v>38800</v>
      </c>
      <c r="AY17" s="1058" t="n">
        <v>26320</v>
      </c>
      <c r="AZ17" s="1058" t="n">
        <v>2238.5</v>
      </c>
      <c r="BA17" s="1058" t="n">
        <v>33512</v>
      </c>
      <c r="BB17" s="1058" t="n">
        <v>22238.6</v>
      </c>
      <c r="BC17" s="1058" t="n">
        <v>1400</v>
      </c>
      <c r="BD17" s="1058" t="n">
        <v>19900</v>
      </c>
      <c r="BE17" s="1058" t="n">
        <v>14152</v>
      </c>
      <c r="BF17" s="1058" t="n">
        <v>2160</v>
      </c>
      <c r="BG17" s="1058" t="n">
        <v>33840</v>
      </c>
      <c r="BH17" s="1058" t="n">
        <v>22353.6</v>
      </c>
      <c r="BI17" s="1058" t="n">
        <v>2515</v>
      </c>
      <c r="BJ17" s="1058" t="n">
        <v>33360</v>
      </c>
      <c r="BK17" s="1058" t="n">
        <v>25670.4</v>
      </c>
      <c r="BL17" s="1058" t="n">
        <v>1765</v>
      </c>
      <c r="BM17" s="1058" t="n">
        <v>28760</v>
      </c>
      <c r="BN17" s="1058" t="n">
        <v>18238.4</v>
      </c>
      <c r="BO17" s="1058" t="n">
        <v>3915</v>
      </c>
      <c r="BP17" s="1058" t="n">
        <v>60560</v>
      </c>
      <c r="BQ17" s="1058" t="n">
        <v>39046.4</v>
      </c>
      <c r="BR17" s="1058" t="n">
        <v>2060</v>
      </c>
      <c r="BS17" s="1058" t="n">
        <v>34440</v>
      </c>
      <c r="BT17" s="1058" t="n">
        <v>23625.6</v>
      </c>
      <c r="BU17" s="1059">
        <f>BR17+BO17+BL17+BI17+BF17+BC17+AZ17+AW17+AT17+AQ17+AN17+AK17</f>
        <v/>
      </c>
      <c r="BV17" s="1059">
        <f>BS17+BP17+BM17+BJ17+BG17+BD17+BA17+AX17+AU17+AR17+AO17+AL17</f>
        <v/>
      </c>
      <c r="BW17" s="1059">
        <f>BT17+BQ17+BN17+BK17+BH17+BE17+BB17+AY17+AV17+AS17+AP17+AM17</f>
        <v/>
      </c>
      <c r="BX17" s="1060">
        <f>BU17/12</f>
        <v/>
      </c>
      <c r="BY17" s="1060">
        <f>BV17/12</f>
        <v/>
      </c>
      <c r="BZ17" s="1060">
        <f>BW17/12</f>
        <v/>
      </c>
      <c r="CA17" s="434">
        <f>BX17/AI17*100-100</f>
        <v/>
      </c>
    </row>
    <row r="18" ht="21" customHeight="1" thickBot="1">
      <c r="A18" s="852" t="n">
        <v>15</v>
      </c>
      <c r="B18" s="852" t="inlineStr">
        <is>
          <t>ဒေါ်ခင်စန်းမြင့်</t>
        </is>
      </c>
      <c r="C18" s="852" t="inlineStr">
        <is>
          <t>Daw Khin San Myint</t>
        </is>
      </c>
      <c r="D18" s="852" t="inlineStr">
        <is>
          <t>ကျောက်ပန်းတောင်း</t>
        </is>
      </c>
      <c r="E18" s="852" t="inlineStr">
        <is>
          <t>Kyaukpadaung</t>
        </is>
      </c>
      <c r="F18" s="852" t="inlineStr">
        <is>
          <t>Wholesales</t>
        </is>
      </c>
      <c r="G18" s="1052" t="n">
        <v>500</v>
      </c>
      <c r="H18" s="1052" t="n">
        <v>7000</v>
      </c>
      <c r="I18" s="1052" t="n">
        <v>500</v>
      </c>
      <c r="J18" s="1052" t="n">
        <v>7000</v>
      </c>
      <c r="K18" s="1052" t="n">
        <v>500</v>
      </c>
      <c r="L18" s="1052" t="n">
        <v>7000</v>
      </c>
      <c r="M18" s="1052" t="n">
        <v>500</v>
      </c>
      <c r="N18" s="1052" t="n">
        <v>7000</v>
      </c>
      <c r="O18" s="1052" t="n">
        <v>652</v>
      </c>
      <c r="P18" s="1052" t="n">
        <v>9136</v>
      </c>
      <c r="Q18" s="1052" t="n">
        <v>499</v>
      </c>
      <c r="R18" s="1052" t="n">
        <v>7116</v>
      </c>
      <c r="S18" s="1052" t="n">
        <v>400</v>
      </c>
      <c r="T18" s="1052" t="n">
        <v>5900</v>
      </c>
      <c r="U18" s="1052" t="n">
        <v>750</v>
      </c>
      <c r="V18" s="1052" t="n">
        <v>10500</v>
      </c>
      <c r="W18" s="1052" t="n">
        <v>360</v>
      </c>
      <c r="X18" s="1052" t="n">
        <v>5540</v>
      </c>
      <c r="Y18" s="1052" t="n">
        <v>660</v>
      </c>
      <c r="Z18" s="1053" t="n">
        <v>9780</v>
      </c>
      <c r="AA18" s="1054" t="n">
        <v>311</v>
      </c>
      <c r="AB18" s="1052" t="n">
        <v>4406</v>
      </c>
      <c r="AC18" s="1055">
        <f>(Y18+W18+U18+S18+Q18+O18+M18+K18+I18+G18+AA18)/11</f>
        <v/>
      </c>
      <c r="AD18" s="1056">
        <f>(Z18+X18+V18+T18+R18+P18+N18+L18+J18+H18+AB18)/11</f>
        <v/>
      </c>
      <c r="AE18" s="1052" t="n">
        <v>400</v>
      </c>
      <c r="AF18" s="1052" t="n">
        <v>5600</v>
      </c>
      <c r="AG18" s="1057" t="n">
        <v>6032</v>
      </c>
      <c r="AH18" s="1057" t="n">
        <v>85978</v>
      </c>
      <c r="AI18" s="1057">
        <f>AG18/12</f>
        <v/>
      </c>
      <c r="AJ18" s="1057">
        <f>AH18/12</f>
        <v/>
      </c>
      <c r="AK18" s="1058" t="n">
        <v>600</v>
      </c>
      <c r="AL18" s="1058" t="n">
        <v>8400</v>
      </c>
      <c r="AM18" s="1058" t="n">
        <v>5376</v>
      </c>
      <c r="AN18" s="1058" t="n">
        <v>250</v>
      </c>
      <c r="AO18" s="1058" t="n">
        <v>3500</v>
      </c>
      <c r="AP18" s="1058" t="n">
        <v>2240</v>
      </c>
      <c r="AQ18" s="1058" t="n">
        <v>600</v>
      </c>
      <c r="AR18" s="1058" t="n">
        <v>8400</v>
      </c>
      <c r="AS18" s="1058" t="n">
        <v>5376</v>
      </c>
      <c r="AT18" s="1058" t="n">
        <v>650</v>
      </c>
      <c r="AU18" s="1058" t="n">
        <v>9100</v>
      </c>
      <c r="AV18" s="1058" t="n">
        <v>5824</v>
      </c>
      <c r="AW18" s="1058" t="n">
        <v>301.4583333333333</v>
      </c>
      <c r="AX18" s="1058" t="n">
        <v>4229</v>
      </c>
      <c r="AY18" s="1058" t="n">
        <v>2700.25</v>
      </c>
      <c r="AZ18" s="1058" t="n">
        <v>500</v>
      </c>
      <c r="BA18" s="1058" t="n">
        <v>7000</v>
      </c>
      <c r="BB18" s="1058" t="n">
        <v>4480</v>
      </c>
      <c r="BC18" s="1058" t="n">
        <v>550</v>
      </c>
      <c r="BD18" s="1058" t="n">
        <v>7700</v>
      </c>
      <c r="BE18" s="1058" t="n">
        <v>4928</v>
      </c>
      <c r="BF18" s="1058" t="n">
        <v>300</v>
      </c>
      <c r="BG18" s="1058" t="n">
        <v>4200</v>
      </c>
      <c r="BH18" s="1058" t="n">
        <v>2688</v>
      </c>
      <c r="BI18" s="1058" t="n">
        <v>530</v>
      </c>
      <c r="BJ18" s="1058" t="n">
        <v>7720</v>
      </c>
      <c r="BK18" s="1058" t="n">
        <v>4912</v>
      </c>
      <c r="BL18" s="1058" t="n">
        <v>300</v>
      </c>
      <c r="BM18" s="1058" t="n">
        <v>4200</v>
      </c>
      <c r="BN18" s="1058" t="n">
        <v>2688</v>
      </c>
      <c r="BO18" s="1058" t="n">
        <v>550</v>
      </c>
      <c r="BP18" s="1058" t="n">
        <v>7700</v>
      </c>
      <c r="BQ18" s="1058" t="n">
        <v>4928</v>
      </c>
      <c r="BR18" s="1058" t="n">
        <v>280</v>
      </c>
      <c r="BS18" s="1058" t="n">
        <v>4220</v>
      </c>
      <c r="BT18" s="1058" t="n">
        <v>2672</v>
      </c>
      <c r="BU18" s="1059">
        <f>BR18+BO18+BL18+BI18+BF18+BC18+AZ18+AW18+AT18+AQ18+AN18+AK18</f>
        <v/>
      </c>
      <c r="BV18" s="1059">
        <f>BS18+BP18+BM18+BJ18+BG18+BD18+BA18+AX18+AU18+AR18+AO18+AL18</f>
        <v/>
      </c>
      <c r="BW18" s="1059">
        <f>BT18+BQ18+BN18+BK18+BH18+BE18+BB18+AY18+AV18+AS18+AP18+AM18</f>
        <v/>
      </c>
      <c r="BX18" s="1060">
        <f>BU18/12</f>
        <v/>
      </c>
      <c r="BY18" s="1060">
        <f>BV18/12</f>
        <v/>
      </c>
      <c r="BZ18" s="1060">
        <f>BW18/12</f>
        <v/>
      </c>
      <c r="CA18" s="434">
        <f>BX18/AI18*100-100</f>
        <v/>
      </c>
      <c r="CB18" s="413" t="inlineStr">
        <is>
          <t>Must Grow</t>
        </is>
      </c>
    </row>
    <row r="19" ht="21" customHeight="1" thickBot="1">
      <c r="A19" s="852" t="n">
        <v>16</v>
      </c>
      <c r="B19" s="852" t="inlineStr">
        <is>
          <t>ဦးသိန်းစိုး</t>
        </is>
      </c>
      <c r="C19" s="852" t="inlineStr">
        <is>
          <t>U Thein Soe</t>
        </is>
      </c>
      <c r="D19" s="852" t="inlineStr">
        <is>
          <t>ကျောက်ပန်းတောင်း</t>
        </is>
      </c>
      <c r="E19" s="852" t="inlineStr">
        <is>
          <t>Kyaukpadaung</t>
        </is>
      </c>
      <c r="F19" s="852" t="inlineStr">
        <is>
          <t>ContractWholesales</t>
        </is>
      </c>
      <c r="G19" s="1052" t="n">
        <v>1470</v>
      </c>
      <c r="H19" s="1052" t="n">
        <v>21680</v>
      </c>
      <c r="I19" s="1052" t="n">
        <v>610</v>
      </c>
      <c r="J19" s="1052" t="n">
        <v>9660</v>
      </c>
      <c r="K19" s="1052" t="n">
        <v>700</v>
      </c>
      <c r="L19" s="1052" t="n">
        <v>9800</v>
      </c>
      <c r="M19" s="1052" t="n">
        <v>1450</v>
      </c>
      <c r="N19" s="1052" t="n">
        <v>20200</v>
      </c>
      <c r="O19" s="1052" t="n">
        <v>742</v>
      </c>
      <c r="P19" s="1052" t="n">
        <v>14216</v>
      </c>
      <c r="Q19" s="1052" t="n">
        <v>1540</v>
      </c>
      <c r="R19" s="1052" t="n">
        <v>22060</v>
      </c>
      <c r="S19" s="1052" t="n">
        <v>1010</v>
      </c>
      <c r="T19" s="1052" t="n">
        <v>16740</v>
      </c>
      <c r="U19" s="1052" t="n">
        <v>1098</v>
      </c>
      <c r="V19" s="1052" t="n">
        <v>17980</v>
      </c>
      <c r="W19" s="1052" t="n">
        <v>960</v>
      </c>
      <c r="X19" s="1052" t="n">
        <v>16050</v>
      </c>
      <c r="Y19" s="1052" t="n">
        <v>1820</v>
      </c>
      <c r="Z19" s="1053" t="n">
        <v>30672</v>
      </c>
      <c r="AA19" s="1054" t="n">
        <v>1084</v>
      </c>
      <c r="AB19" s="1052" t="n">
        <v>15542</v>
      </c>
      <c r="AC19" s="1055">
        <f>(Y19+W19+U19+S19+Q19+O19+M19+K19+I19+G19+AA19)/11</f>
        <v/>
      </c>
      <c r="AD19" s="1056">
        <f>(Z19+X19+V19+T19+R19+P19+N19+L19+J19+H19+AB19)/11</f>
        <v/>
      </c>
      <c r="AE19" s="1052" t="n">
        <v>1423</v>
      </c>
      <c r="AF19" s="1052" t="n">
        <v>22122</v>
      </c>
      <c r="AG19" s="1057" t="n">
        <v>13907</v>
      </c>
      <c r="AH19" s="1057" t="n">
        <v>216722</v>
      </c>
      <c r="AI19" s="1057">
        <f>AG19/12</f>
        <v/>
      </c>
      <c r="AJ19" s="1057">
        <f>AH19/12</f>
        <v/>
      </c>
      <c r="AK19" s="1058" t="n">
        <v>1225</v>
      </c>
      <c r="AL19" s="1058" t="n">
        <v>17820</v>
      </c>
      <c r="AM19" s="1058" t="n">
        <v>11811.6</v>
      </c>
      <c r="AN19" s="1058" t="n">
        <v>990</v>
      </c>
      <c r="AO19" s="1058" t="n">
        <v>17260</v>
      </c>
      <c r="AP19" s="1058" t="n">
        <v>10806.4</v>
      </c>
      <c r="AQ19" s="1058" t="n">
        <v>1114</v>
      </c>
      <c r="AR19" s="1058" t="n">
        <v>15796</v>
      </c>
      <c r="AS19" s="1058" t="n">
        <v>10748.8</v>
      </c>
      <c r="AT19" s="1058" t="n">
        <v>1350</v>
      </c>
      <c r="AU19" s="1058" t="n">
        <v>22700</v>
      </c>
      <c r="AV19" s="1058" t="n">
        <v>14456</v>
      </c>
      <c r="AW19" s="1058" t="n">
        <v>1386</v>
      </c>
      <c r="AX19" s="1058" t="n">
        <v>20116</v>
      </c>
      <c r="AY19" s="1058" t="n">
        <v>13031.2</v>
      </c>
      <c r="AZ19" s="1058" t="n">
        <v>1339.5</v>
      </c>
      <c r="BA19" s="1058" t="n">
        <v>20912</v>
      </c>
      <c r="BB19" s="1058" t="n">
        <v>13580.6</v>
      </c>
      <c r="BC19" s="1058" t="n">
        <v>820</v>
      </c>
      <c r="BD19" s="1058" t="n">
        <v>13060</v>
      </c>
      <c r="BE19" s="1058" t="n">
        <v>8152</v>
      </c>
      <c r="BF19" s="1058" t="n">
        <v>1395</v>
      </c>
      <c r="BG19" s="1058" t="n">
        <v>20980</v>
      </c>
      <c r="BH19" s="1058" t="n">
        <v>13345.6</v>
      </c>
      <c r="BI19" s="1058" t="n">
        <v>1000</v>
      </c>
      <c r="BJ19" s="1058" t="n">
        <v>16300</v>
      </c>
      <c r="BK19" s="1058" t="n">
        <v>10240</v>
      </c>
      <c r="BL19" s="1058" t="n">
        <v>1000</v>
      </c>
      <c r="BM19" s="1058" t="n">
        <v>14600</v>
      </c>
      <c r="BN19" s="1058" t="n">
        <v>10112</v>
      </c>
      <c r="BO19" s="1058" t="n">
        <v>1360</v>
      </c>
      <c r="BP19" s="1058" t="n">
        <v>21140</v>
      </c>
      <c r="BQ19" s="1058" t="n">
        <v>13356.8</v>
      </c>
      <c r="BR19" s="1058" t="n">
        <v>1280</v>
      </c>
      <c r="BS19" s="1058" t="n">
        <v>22220</v>
      </c>
      <c r="BT19" s="1058" t="n">
        <v>13836.8</v>
      </c>
      <c r="BU19" s="1059">
        <f>BR19+BO19+BL19+BI19+BF19+BC19+AZ19+AW19+AT19+AQ19+AN19+AK19</f>
        <v/>
      </c>
      <c r="BV19" s="1059">
        <f>BS19+BP19+BM19+BJ19+BG19+BD19+BA19+AX19+AU19+AR19+AO19+AL19</f>
        <v/>
      </c>
      <c r="BW19" s="1059">
        <f>BT19+BQ19+BN19+BK19+BH19+BE19+BB19+AY19+AV19+AS19+AP19+AM19</f>
        <v/>
      </c>
      <c r="BX19" s="1060">
        <f>BU19/12</f>
        <v/>
      </c>
      <c r="BY19" s="1060">
        <f>BV19/12</f>
        <v/>
      </c>
      <c r="BZ19" s="1060">
        <f>BW19/12</f>
        <v/>
      </c>
      <c r="CA19" s="434">
        <f>BX19/AI19*100-100</f>
        <v/>
      </c>
    </row>
    <row r="20" ht="21" customHeight="1" thickBot="1">
      <c r="A20" s="852" t="n">
        <v>17</v>
      </c>
      <c r="B20" s="852" t="inlineStr">
        <is>
          <t>ကောင်းထက်သူ</t>
        </is>
      </c>
      <c r="C20" s="852" t="inlineStr">
        <is>
          <t xml:space="preserve">Kaung Htet Thu </t>
        </is>
      </c>
      <c r="D20" s="852" t="inlineStr">
        <is>
          <t>ကျောက်ပန်းတောင်း</t>
        </is>
      </c>
      <c r="E20" s="852" t="inlineStr">
        <is>
          <t>Kyaukpadaung</t>
        </is>
      </c>
      <c r="F20" s="852" t="inlineStr">
        <is>
          <t>ContractWholesales</t>
        </is>
      </c>
      <c r="G20" s="1052" t="n">
        <v>700</v>
      </c>
      <c r="H20" s="1052" t="n">
        <v>9800</v>
      </c>
      <c r="I20" s="1052" t="n">
        <v>1130</v>
      </c>
      <c r="J20" s="1052" t="n">
        <v>16120</v>
      </c>
      <c r="K20" s="1052" t="n">
        <v>1150</v>
      </c>
      <c r="L20" s="1052" t="n">
        <v>16100</v>
      </c>
      <c r="M20" s="1052" t="n">
        <v>950</v>
      </c>
      <c r="N20" s="1052" t="n">
        <v>13800</v>
      </c>
      <c r="O20" s="1052" t="n">
        <v>1054</v>
      </c>
      <c r="P20" s="1052" t="n">
        <v>15236</v>
      </c>
      <c r="Q20" s="1052" t="n">
        <v>872</v>
      </c>
      <c r="R20" s="1052" t="n">
        <v>12916</v>
      </c>
      <c r="S20" s="1052" t="n">
        <v>1174</v>
      </c>
      <c r="T20" s="1052" t="n">
        <v>17426</v>
      </c>
      <c r="U20" s="1052" t="n">
        <v>1322</v>
      </c>
      <c r="V20" s="1052" t="n">
        <v>19476</v>
      </c>
      <c r="W20" s="1052" t="n">
        <v>1570</v>
      </c>
      <c r="X20" s="1052" t="n">
        <v>23980</v>
      </c>
      <c r="Y20" s="1052" t="n">
        <v>1355</v>
      </c>
      <c r="Z20" s="1053" t="n">
        <v>20478</v>
      </c>
      <c r="AA20" s="1054" t="n">
        <v>1225</v>
      </c>
      <c r="AB20" s="1052" t="n">
        <v>18780</v>
      </c>
      <c r="AC20" s="1055">
        <f>(Y20+W20+U20+S20+Q20+O20+M20+K20+I20+G20+AA20)/11</f>
        <v/>
      </c>
      <c r="AD20" s="1056">
        <f>(Z20+X20+V20+T20+R20+P20+N20+L20+J20+H20+AB20)/11</f>
        <v/>
      </c>
      <c r="AE20" s="1052" t="n">
        <v>1237</v>
      </c>
      <c r="AF20" s="1052" t="n">
        <v>18298</v>
      </c>
      <c r="AG20" s="1057" t="n">
        <v>13739</v>
      </c>
      <c r="AH20" s="1057" t="n">
        <v>202410</v>
      </c>
      <c r="AI20" s="1057">
        <f>AG20/12</f>
        <v/>
      </c>
      <c r="AJ20" s="1057">
        <f>AH20/12</f>
        <v/>
      </c>
      <c r="AK20" s="1058" t="n">
        <v>1100</v>
      </c>
      <c r="AL20" s="1058" t="n">
        <v>15900</v>
      </c>
      <c r="AM20" s="1058" t="n">
        <v>10128</v>
      </c>
      <c r="AN20" s="1058" t="n">
        <v>970</v>
      </c>
      <c r="AO20" s="1058" t="n">
        <v>14180</v>
      </c>
      <c r="AP20" s="1058" t="n">
        <v>9046.4</v>
      </c>
      <c r="AQ20" s="1058" t="n">
        <v>590</v>
      </c>
      <c r="AR20" s="1058" t="n">
        <v>8660</v>
      </c>
      <c r="AS20" s="1058" t="n">
        <v>5523.2</v>
      </c>
      <c r="AT20" s="1058" t="n">
        <v>1060</v>
      </c>
      <c r="AU20" s="1058" t="n">
        <v>15940</v>
      </c>
      <c r="AV20" s="1058" t="n">
        <v>10153.6</v>
      </c>
      <c r="AW20" s="1058" t="n">
        <v>1110.5</v>
      </c>
      <c r="AX20" s="1058" t="n">
        <v>16344</v>
      </c>
      <c r="AY20" s="1058" t="n">
        <v>10408.2</v>
      </c>
      <c r="AZ20" s="1058" t="n">
        <v>1792.5</v>
      </c>
      <c r="BA20" s="1058" t="n">
        <v>25424</v>
      </c>
      <c r="BB20" s="1058" t="n">
        <v>16149.8</v>
      </c>
      <c r="BC20" s="1058" t="n">
        <v>550</v>
      </c>
      <c r="BD20" s="1058" t="n">
        <v>7700</v>
      </c>
      <c r="BE20" s="1058" t="n">
        <v>4928</v>
      </c>
      <c r="BF20" s="1058" t="n">
        <v>1115</v>
      </c>
      <c r="BG20" s="1058" t="n">
        <v>16020</v>
      </c>
      <c r="BH20" s="1058" t="n">
        <v>10320</v>
      </c>
      <c r="BI20" s="1058" t="n">
        <v>868</v>
      </c>
      <c r="BJ20" s="1058" t="n">
        <v>12612</v>
      </c>
      <c r="BK20" s="1058" t="n">
        <v>8110.08</v>
      </c>
      <c r="BL20" s="1058" t="n">
        <v>1200</v>
      </c>
      <c r="BM20" s="1058" t="n">
        <v>17320</v>
      </c>
      <c r="BN20" s="1058" t="n">
        <v>11209.6</v>
      </c>
      <c r="BO20" s="1058" t="n">
        <v>885</v>
      </c>
      <c r="BP20" s="1058" t="n">
        <v>12480</v>
      </c>
      <c r="BQ20" s="1058" t="n">
        <v>8116.799999999999</v>
      </c>
      <c r="BR20" s="1058" t="n">
        <v>1500</v>
      </c>
      <c r="BS20" s="1058" t="n">
        <v>21520</v>
      </c>
      <c r="BT20" s="1058" t="n">
        <v>13897.6</v>
      </c>
      <c r="BU20" s="1059">
        <f>BR20+BO20+BL20+BI20+BF20+BC20+AZ20+AW20+AT20+AQ20+AN20+AK20</f>
        <v/>
      </c>
      <c r="BV20" s="1059">
        <f>BS20+BP20+BM20+BJ20+BG20+BD20+BA20+AX20+AU20+AR20+AO20+AL20</f>
        <v/>
      </c>
      <c r="BW20" s="1059">
        <f>BT20+BQ20+BN20+BK20+BH20+BE20+BB20+AY20+AV20+AS20+AP20+AM20</f>
        <v/>
      </c>
      <c r="BX20" s="1060">
        <f>BU20/12</f>
        <v/>
      </c>
      <c r="BY20" s="1060">
        <f>BV20/12</f>
        <v/>
      </c>
      <c r="BZ20" s="1060">
        <f>BW20/12</f>
        <v/>
      </c>
      <c r="CA20" s="434">
        <f>BX20/AI20*100-100</f>
        <v/>
      </c>
      <c r="CB20" s="413" t="inlineStr">
        <is>
          <t>Must Grow</t>
        </is>
      </c>
    </row>
    <row r="21">
      <c r="A21" s="852" t="n">
        <v>18</v>
      </c>
      <c r="B21" s="852" t="inlineStr">
        <is>
          <t>ကောင်းဆုဝေ</t>
        </is>
      </c>
      <c r="C21" s="852" t="inlineStr">
        <is>
          <t>Kaung Su Wai</t>
        </is>
      </c>
      <c r="D21" s="852" t="inlineStr">
        <is>
          <t>ကျောက်ပန်းတောင်း</t>
        </is>
      </c>
      <c r="E21" s="852" t="inlineStr">
        <is>
          <t>Kyaukpadaung</t>
        </is>
      </c>
      <c r="F21" s="852" t="inlineStr">
        <is>
          <t>ContractWholesales</t>
        </is>
      </c>
      <c r="G21" s="1052" t="n">
        <v>675</v>
      </c>
      <c r="H21" s="1052" t="n">
        <v>9450</v>
      </c>
      <c r="I21" s="1052" t="n">
        <v>450</v>
      </c>
      <c r="J21" s="1052" t="n">
        <v>6300</v>
      </c>
      <c r="K21" s="1052" t="n">
        <v>650</v>
      </c>
      <c r="L21" s="1052" t="n">
        <v>9100</v>
      </c>
      <c r="M21" s="1052" t="n">
        <v>600</v>
      </c>
      <c r="N21" s="1052" t="n">
        <v>8400</v>
      </c>
      <c r="O21" s="1052" t="n">
        <v>752</v>
      </c>
      <c r="P21" s="1052" t="n">
        <v>10536</v>
      </c>
      <c r="Q21" s="1052" t="n">
        <v>955</v>
      </c>
      <c r="R21" s="1052" t="n">
        <v>13420</v>
      </c>
      <c r="S21" s="1052" t="n">
        <v>650</v>
      </c>
      <c r="T21" s="1052" t="n">
        <v>9100</v>
      </c>
      <c r="U21" s="1052" t="n">
        <v>602</v>
      </c>
      <c r="V21" s="1052" t="n">
        <v>8436</v>
      </c>
      <c r="W21" s="1052" t="n">
        <v>702</v>
      </c>
      <c r="X21" s="1052" t="n">
        <v>9824</v>
      </c>
      <c r="Y21" s="1052" t="n">
        <v>503</v>
      </c>
      <c r="Z21" s="1053" t="n">
        <v>7068</v>
      </c>
      <c r="AA21" s="1054" t="n">
        <v>983</v>
      </c>
      <c r="AB21" s="1052" t="n">
        <v>13918</v>
      </c>
      <c r="AC21" s="1055">
        <f>(Y21+W21+U21+S21+Q21+O21+M21+K21+I21+G21+AA21)/11</f>
        <v/>
      </c>
      <c r="AD21" s="1056">
        <f>(Z21+X21+V21+T21+R21+P21+N21+L21+J21+H21+AB21)/11</f>
        <v/>
      </c>
      <c r="AE21" s="1052" t="n">
        <v>800</v>
      </c>
      <c r="AF21" s="1052" t="n">
        <v>11200</v>
      </c>
      <c r="AG21" s="1057" t="n">
        <v>8322</v>
      </c>
      <c r="AH21" s="1057" t="n">
        <v>116752</v>
      </c>
      <c r="AI21" s="1057">
        <f>AG21/12</f>
        <v/>
      </c>
      <c r="AJ21" s="1057">
        <f>AH21/12</f>
        <v/>
      </c>
      <c r="AK21" s="1058" t="n">
        <v>1050</v>
      </c>
      <c r="AL21" s="1058" t="n">
        <v>15200</v>
      </c>
      <c r="AM21" s="1058" t="n">
        <v>9680</v>
      </c>
      <c r="AN21" s="1058" t="n">
        <v>1050</v>
      </c>
      <c r="AO21" s="1058" t="n">
        <v>14700</v>
      </c>
      <c r="AP21" s="1058" t="n">
        <v>9408</v>
      </c>
      <c r="AQ21" s="1058" t="n">
        <v>800</v>
      </c>
      <c r="AR21" s="1058" t="n">
        <v>11200</v>
      </c>
      <c r="AS21" s="1058" t="n">
        <v>7168</v>
      </c>
      <c r="AT21" s="1058" t="n">
        <v>720</v>
      </c>
      <c r="AU21" s="1058" t="n">
        <v>10040</v>
      </c>
      <c r="AV21" s="1058" t="n">
        <v>6512</v>
      </c>
      <c r="AW21" s="1058" t="n">
        <v>782</v>
      </c>
      <c r="AX21" s="1058" t="n">
        <v>10756</v>
      </c>
      <c r="AY21" s="1058" t="n">
        <v>7309.6</v>
      </c>
      <c r="AZ21" s="1058" t="n">
        <v>606</v>
      </c>
      <c r="BA21" s="1058" t="n">
        <v>8532</v>
      </c>
      <c r="BB21" s="1058" t="n">
        <v>5426.400000000001</v>
      </c>
      <c r="BC21" s="1058" t="n">
        <v>1375</v>
      </c>
      <c r="BD21" s="1058" t="n">
        <v>19250</v>
      </c>
      <c r="BE21" s="1058" t="n">
        <v>12320</v>
      </c>
      <c r="BF21" s="1058" t="n">
        <v>880</v>
      </c>
      <c r="BG21" s="1058" t="n">
        <v>12320</v>
      </c>
      <c r="BH21" s="1058" t="n">
        <v>7884.8</v>
      </c>
      <c r="BI21" s="1058" t="n">
        <v>1300</v>
      </c>
      <c r="BJ21" s="1058" t="n">
        <v>18200</v>
      </c>
      <c r="BK21" s="1058" t="n">
        <v>11648</v>
      </c>
      <c r="BL21" s="1058" t="n">
        <v>1025</v>
      </c>
      <c r="BM21" s="1058" t="n">
        <v>14250</v>
      </c>
      <c r="BN21" s="1058" t="n">
        <v>9336</v>
      </c>
      <c r="BO21" s="1058" t="n">
        <v>1400</v>
      </c>
      <c r="BP21" s="1058" t="n">
        <v>19600</v>
      </c>
      <c r="BQ21" s="1058" t="n">
        <v>12544</v>
      </c>
      <c r="BR21" s="1058" t="n">
        <v>800</v>
      </c>
      <c r="BS21" s="1058" t="n">
        <v>11200</v>
      </c>
      <c r="BT21" s="1058" t="n">
        <v>7168</v>
      </c>
      <c r="BU21" s="1059">
        <f>BR21+BO21+BL21+BI21+BF21+BC21+AZ21+AW21+AT21+AQ21+AN21+AK21</f>
        <v/>
      </c>
      <c r="BV21" s="1059">
        <f>BS21+BP21+BM21+BJ21+BG21+BD21+BA21+AX21+AU21+AR21+AO21+AL21</f>
        <v/>
      </c>
      <c r="BW21" s="1059">
        <f>BT21+BQ21+BN21+BK21+BH21+BE21+BB21+AY21+AV21+AS21+AP21+AM21</f>
        <v/>
      </c>
      <c r="BX21" s="1060">
        <f>BU21/12</f>
        <v/>
      </c>
      <c r="BY21" s="1060">
        <f>BV21/12</f>
        <v/>
      </c>
      <c r="BZ21" s="1060">
        <f>BW21/12</f>
        <v/>
      </c>
      <c r="CA21" s="434">
        <f>BX21/AI21*100-100</f>
        <v/>
      </c>
    </row>
    <row r="22">
      <c r="A22" s="852" t="n">
        <v>19</v>
      </c>
      <c r="B22" s="852" t="inlineStr">
        <is>
          <t>မြို့မ</t>
        </is>
      </c>
      <c r="C22" s="852" t="inlineStr">
        <is>
          <t>MyoMa</t>
        </is>
      </c>
      <c r="D22" s="852" t="inlineStr">
        <is>
          <t>တောင်သာ</t>
        </is>
      </c>
      <c r="E22" s="852" t="inlineStr">
        <is>
          <t>Taungtha</t>
        </is>
      </c>
      <c r="F22" s="852" t="inlineStr">
        <is>
          <t>ContractWholesales</t>
        </is>
      </c>
      <c r="G22" s="1052" t="n">
        <v>700</v>
      </c>
      <c r="H22" s="1052" t="n">
        <v>9800</v>
      </c>
      <c r="I22" s="1052" t="n">
        <v>900</v>
      </c>
      <c r="J22" s="1052" t="n">
        <v>12600</v>
      </c>
      <c r="K22" s="1052" t="n">
        <v>600</v>
      </c>
      <c r="L22" s="1052" t="n">
        <v>8400</v>
      </c>
      <c r="M22" s="1052" t="n">
        <v>800</v>
      </c>
      <c r="N22" s="1052" t="n">
        <v>11200</v>
      </c>
      <c r="O22" s="1052" t="n">
        <v>850</v>
      </c>
      <c r="P22" s="1052" t="n">
        <v>11900</v>
      </c>
      <c r="Q22" s="1052" t="n">
        <v>750</v>
      </c>
      <c r="R22" s="1052" t="n">
        <v>11000</v>
      </c>
      <c r="S22" s="1052" t="n">
        <v>850</v>
      </c>
      <c r="T22" s="1052" t="n">
        <v>12650</v>
      </c>
      <c r="U22" s="1052" t="n">
        <v>800</v>
      </c>
      <c r="V22" s="1052" t="n">
        <v>11450</v>
      </c>
      <c r="W22" s="1052" t="n">
        <v>945</v>
      </c>
      <c r="X22" s="1052" t="n">
        <v>13190</v>
      </c>
      <c r="Y22" s="1052" t="n">
        <v>1248</v>
      </c>
      <c r="Z22" s="1053" t="n">
        <v>18392</v>
      </c>
      <c r="AA22" s="1054" t="n">
        <v>900</v>
      </c>
      <c r="AB22" s="1052" t="n">
        <v>13100</v>
      </c>
      <c r="AC22" s="1055">
        <f>(Y22+W22+U22+S22+Q22+O22+M22+K22+I22+G22+AA22)/11</f>
        <v/>
      </c>
      <c r="AD22" s="1056">
        <f>(Z22+X22+V22+T22+R22+P22+N22+L22+J22+H22+AB22)/11</f>
        <v/>
      </c>
      <c r="AE22" s="1052" t="n">
        <v>1400</v>
      </c>
      <c r="AF22" s="1052" t="n">
        <v>20000</v>
      </c>
      <c r="AG22" s="1057" t="n">
        <v>10743</v>
      </c>
      <c r="AH22" s="1057" t="n">
        <v>153682</v>
      </c>
      <c r="AI22" s="1057">
        <f>AG22/12</f>
        <v/>
      </c>
      <c r="AJ22" s="1057">
        <f>AH22/12</f>
        <v/>
      </c>
      <c r="AK22" s="1058" t="n">
        <v>1460</v>
      </c>
      <c r="AL22" s="1058" t="n">
        <v>20980</v>
      </c>
      <c r="AM22" s="1058" t="n">
        <v>13960</v>
      </c>
      <c r="AN22" s="1058" t="n">
        <v>1320</v>
      </c>
      <c r="AO22" s="1058" t="n">
        <v>18740</v>
      </c>
      <c r="AP22" s="1058" t="n">
        <v>12512</v>
      </c>
      <c r="AQ22" s="1058" t="n">
        <v>950</v>
      </c>
      <c r="AR22" s="1058" t="n">
        <v>13300</v>
      </c>
      <c r="AS22" s="1058" t="n">
        <v>8512</v>
      </c>
      <c r="AT22" s="1058" t="n">
        <v>900</v>
      </c>
      <c r="AU22" s="1058" t="n">
        <v>12900</v>
      </c>
      <c r="AV22" s="1058" t="n">
        <v>8256</v>
      </c>
      <c r="AW22" s="1058" t="n">
        <v>980</v>
      </c>
      <c r="AX22" s="1058" t="n">
        <v>14170</v>
      </c>
      <c r="AY22" s="1058" t="n">
        <v>9157.6</v>
      </c>
      <c r="AZ22" s="1058" t="n">
        <v>1110</v>
      </c>
      <c r="BA22" s="1058" t="n">
        <v>16140</v>
      </c>
      <c r="BB22" s="1058" t="n">
        <v>10329.6</v>
      </c>
      <c r="BC22" s="1058" t="n">
        <v>450</v>
      </c>
      <c r="BD22" s="1058" t="n">
        <v>6300</v>
      </c>
      <c r="BE22" s="1058" t="n">
        <v>4032</v>
      </c>
      <c r="BF22" s="1058" t="n">
        <v>1170</v>
      </c>
      <c r="BG22" s="1058" t="n">
        <v>16340</v>
      </c>
      <c r="BH22" s="1058" t="n">
        <v>10544</v>
      </c>
      <c r="BI22" s="1058" t="n">
        <v>290</v>
      </c>
      <c r="BJ22" s="1058" t="n">
        <v>4240</v>
      </c>
      <c r="BK22" s="1058" t="n">
        <v>2972.8</v>
      </c>
      <c r="BL22" s="1058" t="n">
        <v>1277</v>
      </c>
      <c r="BM22" s="1058" t="n">
        <v>17338</v>
      </c>
      <c r="BN22" s="1058" t="n">
        <v>12910.72</v>
      </c>
      <c r="BO22" s="1058" t="n">
        <v>980</v>
      </c>
      <c r="BP22" s="1058" t="n">
        <v>13960</v>
      </c>
      <c r="BQ22" s="1058" t="n">
        <v>9064</v>
      </c>
      <c r="BR22" s="1058" t="n">
        <v>2480</v>
      </c>
      <c r="BS22" s="1058" t="n">
        <v>34960</v>
      </c>
      <c r="BT22" s="1058" t="n">
        <v>22916.8</v>
      </c>
      <c r="BU22" s="1059">
        <f>BR22+BO22+BL22+BI22+BF22+BC22+AZ22+AW22+AT22+AQ22+AN22+AK22</f>
        <v/>
      </c>
      <c r="BV22" s="1059">
        <f>BS22+BP22+BM22+BJ22+BG22+BD22+BA22+AX22+AU22+AR22+AO22+AL22</f>
        <v/>
      </c>
      <c r="BW22" s="1059">
        <f>BT22+BQ22+BN22+BK22+BH22+BE22+BB22+AY22+AV22+AS22+AP22+AM22</f>
        <v/>
      </c>
      <c r="BX22" s="1060">
        <f>BU22/12</f>
        <v/>
      </c>
      <c r="BY22" s="1060">
        <f>BV22/12</f>
        <v/>
      </c>
      <c r="BZ22" s="1060">
        <f>BW22/12</f>
        <v/>
      </c>
      <c r="CA22" s="434">
        <f>BX22/AI22*100-100</f>
        <v/>
      </c>
    </row>
    <row r="23">
      <c r="A23" s="852" t="n">
        <v>20</v>
      </c>
      <c r="B23" s="852" t="inlineStr">
        <is>
          <t>ဦးတင်မောင်</t>
        </is>
      </c>
      <c r="C23" s="852" t="inlineStr">
        <is>
          <t>U Tin Maung</t>
        </is>
      </c>
      <c r="D23" s="852" t="inlineStr">
        <is>
          <t>ပခုက္ကူ</t>
        </is>
      </c>
      <c r="E23" s="852" t="inlineStr">
        <is>
          <t>Pakokku</t>
        </is>
      </c>
      <c r="F23" s="852" t="inlineStr">
        <is>
          <t>ContractWholesales</t>
        </is>
      </c>
      <c r="G23" s="1052" t="n">
        <v>1100</v>
      </c>
      <c r="H23" s="1052" t="n">
        <v>15400</v>
      </c>
      <c r="I23" s="1052" t="n">
        <v>1000</v>
      </c>
      <c r="J23" s="1052" t="n">
        <v>14000</v>
      </c>
      <c r="K23" s="1052" t="n">
        <v>450</v>
      </c>
      <c r="L23" s="1052" t="n">
        <v>6300</v>
      </c>
      <c r="M23" s="1052" t="n">
        <v>400</v>
      </c>
      <c r="N23" s="1052" t="n">
        <v>5600</v>
      </c>
      <c r="O23" s="1052" t="n">
        <v>300</v>
      </c>
      <c r="P23" s="1052" t="n">
        <v>4200</v>
      </c>
      <c r="Q23" s="1052" t="n">
        <v>600</v>
      </c>
      <c r="R23" s="1052" t="n">
        <v>8400</v>
      </c>
      <c r="S23" s="1052" t="n">
        <v>300</v>
      </c>
      <c r="T23" s="1052" t="n">
        <v>4200</v>
      </c>
      <c r="U23" s="1052" t="n">
        <v>399</v>
      </c>
      <c r="V23" s="1052" t="n">
        <v>5586</v>
      </c>
      <c r="W23" s="1052" t="n">
        <v>650</v>
      </c>
      <c r="X23" s="1052" t="n">
        <v>9100</v>
      </c>
      <c r="Y23" s="1052" t="n">
        <v>212</v>
      </c>
      <c r="Z23" s="1053" t="n">
        <v>2968</v>
      </c>
      <c r="AA23" s="1054" t="n">
        <v>500</v>
      </c>
      <c r="AB23" s="1052" t="n">
        <v>7000</v>
      </c>
      <c r="AC23" s="1055">
        <f>(Y23+W23+U23+S23+Q23+O23+M23+K23+I23+G23+AA23)/11</f>
        <v/>
      </c>
      <c r="AD23" s="1056">
        <f>(Z23+X23+V23+T23+R23+P23+N23+L23+J23+H23+AB23)/11</f>
        <v/>
      </c>
      <c r="AE23" s="1052" t="n">
        <v>850</v>
      </c>
      <c r="AF23" s="1052" t="n">
        <v>11900</v>
      </c>
      <c r="AG23" s="1057" t="n">
        <v>6761</v>
      </c>
      <c r="AH23" s="1057" t="n">
        <v>94654</v>
      </c>
      <c r="AI23" s="1057">
        <f>AG23/12</f>
        <v/>
      </c>
      <c r="AJ23" s="1057">
        <f>AH23/12</f>
        <v/>
      </c>
      <c r="AK23" s="1058" t="n">
        <v>750</v>
      </c>
      <c r="AL23" s="1058" t="n">
        <v>10400</v>
      </c>
      <c r="AM23" s="1058" t="n">
        <v>6872</v>
      </c>
      <c r="AN23" s="1058" t="n">
        <v>765</v>
      </c>
      <c r="AO23" s="1058" t="n">
        <v>11910</v>
      </c>
      <c r="AP23" s="1058" t="n">
        <v>7838.4</v>
      </c>
      <c r="AQ23" s="1058" t="n">
        <v>500</v>
      </c>
      <c r="AR23" s="1058" t="n">
        <v>7400</v>
      </c>
      <c r="AS23" s="1058" t="n">
        <v>4952</v>
      </c>
      <c r="AT23" s="1058" t="n">
        <v>780</v>
      </c>
      <c r="AU23" s="1058" t="n">
        <v>10920</v>
      </c>
      <c r="AV23" s="1058" t="n">
        <v>6988.8</v>
      </c>
      <c r="AW23" s="1058" t="n">
        <v>800</v>
      </c>
      <c r="AX23" s="1058" t="n">
        <v>12000</v>
      </c>
      <c r="AY23" s="1058" t="n">
        <v>8112</v>
      </c>
      <c r="AZ23" s="1058" t="n">
        <v>905</v>
      </c>
      <c r="BA23" s="1058" t="n">
        <v>12670</v>
      </c>
      <c r="BB23" s="1058" t="n">
        <v>8108.800000000001</v>
      </c>
      <c r="BC23" s="1058" t="n">
        <v>300</v>
      </c>
      <c r="BD23" s="1058" t="n">
        <v>4200</v>
      </c>
      <c r="BE23" s="1058" t="n">
        <v>2688</v>
      </c>
      <c r="BF23" s="1058" t="n">
        <v>380</v>
      </c>
      <c r="BG23" s="1058" t="n">
        <v>5320</v>
      </c>
      <c r="BH23" s="1058" t="n">
        <v>3404.8</v>
      </c>
      <c r="BI23" s="1058" t="n">
        <v>300</v>
      </c>
      <c r="BJ23" s="1058" t="n">
        <v>4200</v>
      </c>
      <c r="BK23" s="1058" t="n">
        <v>2688</v>
      </c>
      <c r="BL23" s="1058" t="n">
        <v>720</v>
      </c>
      <c r="BM23" s="1058" t="n">
        <v>10080</v>
      </c>
      <c r="BN23" s="1058" t="n">
        <v>6451.2</v>
      </c>
      <c r="BO23" s="1058" t="n">
        <v>380</v>
      </c>
      <c r="BP23" s="1058" t="n">
        <v>5320</v>
      </c>
      <c r="BQ23" s="1058" t="n">
        <v>3404.8</v>
      </c>
      <c r="BR23" s="1058" t="n">
        <v>375</v>
      </c>
      <c r="BS23" s="1058" t="n">
        <v>4850</v>
      </c>
      <c r="BT23" s="1058" t="n">
        <v>3968</v>
      </c>
      <c r="BU23" s="1059">
        <f>BR23+BO23+BL23+BI23+BF23+BC23+AZ23+AW23+AT23+AQ23+AN23+AK23</f>
        <v/>
      </c>
      <c r="BV23" s="1059">
        <f>BS23+BP23+BM23+BJ23+BG23+BD23+BA23+AX23+AU23+AR23+AO23+AL23</f>
        <v/>
      </c>
      <c r="BW23" s="1059">
        <f>BT23+BQ23+BN23+BK23+BH23+BE23+BB23+AY23+AV23+AS23+AP23+AM23</f>
        <v/>
      </c>
      <c r="BX23" s="1060">
        <f>BU23/12</f>
        <v/>
      </c>
      <c r="BY23" s="1060">
        <f>BV23/12</f>
        <v/>
      </c>
      <c r="BZ23" s="1060">
        <f>BW23/12</f>
        <v/>
      </c>
      <c r="CA23" s="434">
        <f>BX23/AI23*100-100</f>
        <v/>
      </c>
    </row>
    <row r="24">
      <c r="A24" s="852" t="n">
        <v>21</v>
      </c>
      <c r="B24" s="852" t="inlineStr">
        <is>
          <t>ရတနာ</t>
        </is>
      </c>
      <c r="C24" s="852" t="inlineStr">
        <is>
          <t>Yadana</t>
        </is>
      </c>
      <c r="D24" s="852" t="inlineStr">
        <is>
          <t>ပုဂံ</t>
        </is>
      </c>
      <c r="E24" s="852" t="inlineStr">
        <is>
          <t>Bagan</t>
        </is>
      </c>
      <c r="F24" s="852" t="inlineStr">
        <is>
          <t>Wholesales</t>
        </is>
      </c>
      <c r="G24" s="1052" t="n">
        <v>100</v>
      </c>
      <c r="H24" s="1052" t="n">
        <v>1400</v>
      </c>
      <c r="I24" s="1052" t="n">
        <v>250</v>
      </c>
      <c r="J24" s="1052" t="n">
        <v>3300</v>
      </c>
      <c r="K24" s="1052" t="n">
        <v>300</v>
      </c>
      <c r="L24" s="1052" t="n">
        <v>4100</v>
      </c>
      <c r="M24" s="1052" t="n">
        <v>1000</v>
      </c>
      <c r="N24" s="1052" t="n">
        <v>13000</v>
      </c>
      <c r="O24" s="1052" t="n">
        <v>525</v>
      </c>
      <c r="P24" s="1052" t="n">
        <v>7600</v>
      </c>
      <c r="Q24" s="1052" t="n">
        <v>300</v>
      </c>
      <c r="R24" s="1052" t="n">
        <v>5200</v>
      </c>
      <c r="S24" s="1052" t="n">
        <v>600</v>
      </c>
      <c r="T24" s="1052" t="n">
        <v>8000</v>
      </c>
      <c r="U24" s="1052" t="n">
        <v>650</v>
      </c>
      <c r="V24" s="1052" t="n">
        <v>9200</v>
      </c>
      <c r="W24" s="1052" t="n">
        <v>600</v>
      </c>
      <c r="X24" s="1052" t="n">
        <v>8400</v>
      </c>
      <c r="Y24" s="1052" t="n">
        <v>600</v>
      </c>
      <c r="Z24" s="1053" t="n">
        <v>8040</v>
      </c>
      <c r="AA24" s="1054" t="n">
        <v>300</v>
      </c>
      <c r="AB24" s="1052" t="n">
        <v>4800</v>
      </c>
      <c r="AC24" s="1055">
        <f>(Y24+W24+U24+S24+Q24+O24+M24+K24+I24+G24+AA24)/11</f>
        <v/>
      </c>
      <c r="AD24" s="1056">
        <f>(Z24+X24+V24+T24+R24+P24+N24+L24+J24+H24+AB24)/11</f>
        <v/>
      </c>
      <c r="AE24" s="1052" t="n">
        <v>250</v>
      </c>
      <c r="AF24" s="1052" t="n">
        <v>3760</v>
      </c>
      <c r="AG24" s="1057" t="n">
        <v>5475</v>
      </c>
      <c r="AH24" s="1057" t="n">
        <v>76800</v>
      </c>
      <c r="AI24" s="1057">
        <f>AG24/12</f>
        <v/>
      </c>
      <c r="AJ24" s="1057">
        <f>AH24/12</f>
        <v/>
      </c>
      <c r="AK24" s="1058" t="n">
        <v>0</v>
      </c>
      <c r="AL24" s="1058" t="n">
        <v>0</v>
      </c>
      <c r="AM24" s="1058" t="n">
        <v>0</v>
      </c>
      <c r="AN24" s="1058" t="n">
        <v>90</v>
      </c>
      <c r="AO24" s="1058" t="n">
        <v>1080</v>
      </c>
      <c r="AP24" s="1058" t="n">
        <v>1080</v>
      </c>
      <c r="AQ24" s="1058" t="n">
        <v>2100</v>
      </c>
      <c r="AR24" s="1058" t="n">
        <v>28930</v>
      </c>
      <c r="AS24" s="1058" t="n">
        <v>21690.4</v>
      </c>
      <c r="AT24" s="1058" t="n">
        <v>0</v>
      </c>
      <c r="AU24" s="1058" t="n">
        <v>0</v>
      </c>
      <c r="AV24" s="1058" t="n">
        <v>0</v>
      </c>
      <c r="AW24" s="1058" t="n">
        <v>100</v>
      </c>
      <c r="AX24" s="1058" t="n">
        <v>2400</v>
      </c>
      <c r="AY24" s="1058" t="n">
        <v>1536</v>
      </c>
      <c r="AZ24" s="1058" t="n">
        <v>114</v>
      </c>
      <c r="BA24" s="1058" t="n">
        <v>1576</v>
      </c>
      <c r="BB24" s="1058" t="n">
        <v>1003.84</v>
      </c>
      <c r="BC24" s="1058" t="n">
        <v>597</v>
      </c>
      <c r="BD24" s="1058" t="n">
        <v>8328</v>
      </c>
      <c r="BE24" s="1058" t="n">
        <v>7489.92</v>
      </c>
      <c r="BF24" s="1058" t="n">
        <v>450</v>
      </c>
      <c r="BG24" s="1058" t="n">
        <v>6300</v>
      </c>
      <c r="BH24" s="1058" t="n">
        <v>4032</v>
      </c>
      <c r="BI24" s="1058" t="n">
        <v>550</v>
      </c>
      <c r="BJ24" s="1058" t="n">
        <v>7100</v>
      </c>
      <c r="BK24" s="1058" t="n">
        <v>5840</v>
      </c>
      <c r="BL24" s="1058" t="n">
        <v>1550</v>
      </c>
      <c r="BM24" s="1058" t="n">
        <v>20700</v>
      </c>
      <c r="BN24" s="1058" t="n">
        <v>17568</v>
      </c>
      <c r="BO24" s="1058" t="n">
        <v>50</v>
      </c>
      <c r="BP24" s="1058" t="n">
        <v>1200</v>
      </c>
      <c r="BQ24" s="1058" t="n">
        <v>768</v>
      </c>
      <c r="BR24" s="1058" t="n">
        <v>200</v>
      </c>
      <c r="BS24" s="1058" t="n">
        <v>2800</v>
      </c>
      <c r="BT24" s="1058" t="n">
        <v>1792</v>
      </c>
      <c r="BU24" s="1059">
        <f>BR24+BO24+BL24+BI24+BF24+BC24+AZ24+AW24+AT24+AQ24+AN24+AK24</f>
        <v/>
      </c>
      <c r="BV24" s="1059">
        <f>BS24+BP24+BM24+BJ24+BG24+BD24+BA24+AX24+AU24+AR24+AO24+AL24</f>
        <v/>
      </c>
      <c r="BW24" s="1059">
        <f>BT24+BQ24+BN24+BK24+BH24+BE24+BB24+AY24+AV24+AS24+AP24+AM24</f>
        <v/>
      </c>
      <c r="BX24" s="1060">
        <f>BU24/12</f>
        <v/>
      </c>
      <c r="BY24" s="1060">
        <f>BV24/12</f>
        <v/>
      </c>
      <c r="BZ24" s="1060">
        <f>BW24/12</f>
        <v/>
      </c>
      <c r="CA24" s="434">
        <f>BX24/AI24*100-100</f>
        <v/>
      </c>
    </row>
    <row r="25">
      <c r="A25" s="852" t="n">
        <v>22</v>
      </c>
      <c r="B25" s="852" t="inlineStr">
        <is>
          <t>ရွှေခြင်္သေ့</t>
        </is>
      </c>
      <c r="C25" s="852" t="inlineStr">
        <is>
          <t>Golden Lion</t>
        </is>
      </c>
      <c r="D25" s="852" t="inlineStr">
        <is>
          <t>မိတ္ထီလာ</t>
        </is>
      </c>
      <c r="E25" s="852" t="inlineStr">
        <is>
          <t>Meikhtila</t>
        </is>
      </c>
      <c r="F25" s="852" t="inlineStr">
        <is>
          <t>ContractWholesales</t>
        </is>
      </c>
      <c r="G25" s="1052" t="n">
        <v>2950</v>
      </c>
      <c r="H25" s="1052" t="n">
        <v>49660</v>
      </c>
      <c r="I25" s="1052" t="n">
        <v>2150</v>
      </c>
      <c r="J25" s="1052" t="n">
        <v>36830</v>
      </c>
      <c r="K25" s="1052" t="n">
        <v>1885</v>
      </c>
      <c r="L25" s="1052" t="n">
        <v>31170</v>
      </c>
      <c r="M25" s="1052" t="n">
        <v>1878</v>
      </c>
      <c r="N25" s="1052" t="n">
        <v>31422</v>
      </c>
      <c r="O25" s="1052" t="n">
        <v>2150</v>
      </c>
      <c r="P25" s="1052" t="n">
        <v>36130</v>
      </c>
      <c r="Q25" s="1052" t="n">
        <v>2250</v>
      </c>
      <c r="R25" s="1052" t="n">
        <v>37630</v>
      </c>
      <c r="S25" s="1052" t="n">
        <v>2175</v>
      </c>
      <c r="T25" s="1052" t="n">
        <v>36160</v>
      </c>
      <c r="U25" s="1052" t="n">
        <v>2480</v>
      </c>
      <c r="V25" s="1052" t="n">
        <v>41320</v>
      </c>
      <c r="W25" s="1052" t="n">
        <v>2885</v>
      </c>
      <c r="X25" s="1052" t="n">
        <v>48950</v>
      </c>
      <c r="Y25" s="1052" t="n">
        <v>2900</v>
      </c>
      <c r="Z25" s="1053" t="n">
        <v>49280</v>
      </c>
      <c r="AA25" s="1054" t="n">
        <v>3068</v>
      </c>
      <c r="AB25" s="1052" t="n">
        <v>52092</v>
      </c>
      <c r="AC25" s="1055">
        <f>(Y25+W25+U25+S25+Q25+O25+M25+K25+I25+G25+AA25)/11</f>
        <v/>
      </c>
      <c r="AD25" s="1056">
        <f>(Z25+X25+V25+T25+R25+P25+N25+L25+J25+H25+AB25)/11</f>
        <v/>
      </c>
      <c r="AE25" s="1052" t="n">
        <v>3248</v>
      </c>
      <c r="AF25" s="1052" t="n">
        <v>55362</v>
      </c>
      <c r="AG25" s="1057" t="n">
        <v>30019</v>
      </c>
      <c r="AH25" s="1057" t="n">
        <v>506006</v>
      </c>
      <c r="AI25" s="1057">
        <f>AG25/12</f>
        <v/>
      </c>
      <c r="AJ25" s="1057">
        <f>AH25/12</f>
        <v/>
      </c>
      <c r="AK25" s="1058" t="n">
        <v>3225</v>
      </c>
      <c r="AL25" s="1058" t="n">
        <v>54850</v>
      </c>
      <c r="AM25" s="1058" t="n">
        <v>35948.8</v>
      </c>
      <c r="AN25" s="1058" t="n">
        <v>2372</v>
      </c>
      <c r="AO25" s="1058" t="n">
        <v>39478</v>
      </c>
      <c r="AP25" s="1058" t="n">
        <v>25892.8</v>
      </c>
      <c r="AQ25" s="1058" t="n">
        <v>2215</v>
      </c>
      <c r="AR25" s="1058" t="n">
        <v>37270</v>
      </c>
      <c r="AS25" s="1058" t="n">
        <v>24332.8</v>
      </c>
      <c r="AT25" s="1058" t="n">
        <v>2550</v>
      </c>
      <c r="AU25" s="1058" t="n">
        <v>42490</v>
      </c>
      <c r="AV25" s="1058" t="n">
        <v>27844</v>
      </c>
      <c r="AW25" s="1058" t="n">
        <v>2679</v>
      </c>
      <c r="AX25" s="1058" t="n">
        <v>44398</v>
      </c>
      <c r="AY25" s="1058" t="n">
        <v>29276.8</v>
      </c>
      <c r="AZ25" s="1058" t="n">
        <v>3040</v>
      </c>
      <c r="BA25" s="1058" t="n">
        <v>48810</v>
      </c>
      <c r="BB25" s="1058" t="n">
        <v>32527.2</v>
      </c>
      <c r="BC25" s="1058" t="n">
        <v>3060</v>
      </c>
      <c r="BD25" s="1058" t="n">
        <v>49500</v>
      </c>
      <c r="BE25" s="1058" t="n">
        <v>32798.4</v>
      </c>
      <c r="BF25" s="1058" t="n">
        <v>3280</v>
      </c>
      <c r="BG25" s="1058" t="n">
        <v>52670</v>
      </c>
      <c r="BH25" s="1058" t="n">
        <v>35290.40000000001</v>
      </c>
      <c r="BI25" s="1058" t="n">
        <v>3185</v>
      </c>
      <c r="BJ25" s="1058" t="n">
        <v>51190</v>
      </c>
      <c r="BK25" s="1058" t="n">
        <v>34604.8</v>
      </c>
      <c r="BL25" s="1058" t="n">
        <v>3398</v>
      </c>
      <c r="BM25" s="1058" t="n">
        <v>56462</v>
      </c>
      <c r="BN25" s="1058" t="n">
        <v>37911.68</v>
      </c>
      <c r="BO25" s="1058" t="n">
        <v>2955</v>
      </c>
      <c r="BP25" s="1058" t="n">
        <v>49160</v>
      </c>
      <c r="BQ25" s="1058" t="n">
        <v>31961.59999999999</v>
      </c>
      <c r="BR25" s="1058" t="n">
        <v>2963</v>
      </c>
      <c r="BS25" s="1058" t="n">
        <v>49122</v>
      </c>
      <c r="BT25" s="1058" t="n">
        <v>32577.59999999999</v>
      </c>
      <c r="BU25" s="1059">
        <f>BR25+BO25+BL25+BI25+BF25+BC25+AZ25+AW25+AT25+AQ25+AN25+AK25</f>
        <v/>
      </c>
      <c r="BV25" s="1059">
        <f>BS25+BP25+BM25+BJ25+BG25+BD25+BA25+AX25+AU25+AR25+AO25+AL25</f>
        <v/>
      </c>
      <c r="BW25" s="1059">
        <f>BT25+BQ25+BN25+BK25+BH25+BE25+BB25+AY25+AV25+AS25+AP25+AM25</f>
        <v/>
      </c>
      <c r="BX25" s="1060">
        <f>BU25/12</f>
        <v/>
      </c>
      <c r="BY25" s="1060">
        <f>BV25/12</f>
        <v/>
      </c>
      <c r="BZ25" s="1060">
        <f>BW25/12</f>
        <v/>
      </c>
      <c r="CA25" s="434">
        <f>BX25/AI25*100-100</f>
        <v/>
      </c>
    </row>
    <row r="26" ht="21" customHeight="1" thickBot="1">
      <c r="A26" s="852" t="n">
        <v>23</v>
      </c>
      <c r="B26" s="852" t="inlineStr">
        <is>
          <t>ကောင်းသန့်</t>
        </is>
      </c>
      <c r="C26" s="852" t="inlineStr">
        <is>
          <t>Kaung Thant</t>
        </is>
      </c>
      <c r="D26" s="852" t="inlineStr">
        <is>
          <t>မိတ္ထီလာ</t>
        </is>
      </c>
      <c r="E26" s="852" t="inlineStr">
        <is>
          <t>Meikhtila</t>
        </is>
      </c>
      <c r="F26" s="852" t="inlineStr">
        <is>
          <t>ContractWholesales</t>
        </is>
      </c>
      <c r="G26" s="1052" t="n">
        <v>3754</v>
      </c>
      <c r="H26" s="1052" t="n">
        <v>63800</v>
      </c>
      <c r="I26" s="1052" t="n">
        <v>3426</v>
      </c>
      <c r="J26" s="1052" t="n">
        <v>58904</v>
      </c>
      <c r="K26" s="1052" t="n">
        <v>3325</v>
      </c>
      <c r="L26" s="1052" t="n">
        <v>57704</v>
      </c>
      <c r="M26" s="1052" t="n">
        <v>3180</v>
      </c>
      <c r="N26" s="1052" t="n">
        <v>54500</v>
      </c>
      <c r="O26" s="1052" t="n">
        <v>3377</v>
      </c>
      <c r="P26" s="1052" t="n">
        <v>58318</v>
      </c>
      <c r="Q26" s="1052" t="n">
        <v>3520</v>
      </c>
      <c r="R26" s="1052" t="n">
        <v>60710</v>
      </c>
      <c r="S26" s="1052" t="n">
        <v>3769</v>
      </c>
      <c r="T26" s="1052" t="n">
        <v>66456</v>
      </c>
      <c r="U26" s="1052" t="n">
        <v>3916</v>
      </c>
      <c r="V26" s="1052" t="n">
        <v>68544</v>
      </c>
      <c r="W26" s="1052" t="n">
        <v>4658</v>
      </c>
      <c r="X26" s="1052" t="n">
        <v>81094</v>
      </c>
      <c r="Y26" s="1052" t="n">
        <v>5139</v>
      </c>
      <c r="Z26" s="1053" t="n">
        <v>88700</v>
      </c>
      <c r="AA26" s="1054" t="n">
        <v>5418</v>
      </c>
      <c r="AB26" s="1052" t="n">
        <v>93086</v>
      </c>
      <c r="AC26" s="1055">
        <f>(Y26+W26+U26+S26+Q26+O26+M26+K26+I26+G26+AA26)/11</f>
        <v/>
      </c>
      <c r="AD26" s="1056">
        <f>(Z26+X26+V26+T26+R26+P26+N26+L26+J26+H26+AB26)/11</f>
        <v/>
      </c>
      <c r="AE26" s="1052" t="n">
        <v>5214</v>
      </c>
      <c r="AF26" s="1052" t="n">
        <v>88286</v>
      </c>
      <c r="AG26" s="1057" t="n">
        <v>48696</v>
      </c>
      <c r="AH26" s="1057" t="n">
        <v>840102</v>
      </c>
      <c r="AI26" s="1057">
        <f>AG26/12</f>
        <v/>
      </c>
      <c r="AJ26" s="1057">
        <f>AH26/12</f>
        <v/>
      </c>
      <c r="AK26" s="1058" t="n">
        <v>5069</v>
      </c>
      <c r="AL26" s="1058" t="n">
        <v>85934</v>
      </c>
      <c r="AM26" s="1058" t="n">
        <v>55016.48</v>
      </c>
      <c r="AN26" s="1058" t="n">
        <v>3821</v>
      </c>
      <c r="AO26" s="1058" t="n">
        <v>63502</v>
      </c>
      <c r="AP26" s="1058" t="n">
        <v>40723.12000000001</v>
      </c>
      <c r="AQ26" s="1058" t="n">
        <v>3664</v>
      </c>
      <c r="AR26" s="1058" t="n">
        <v>62062</v>
      </c>
      <c r="AS26" s="1058" t="n">
        <v>39750.34</v>
      </c>
      <c r="AT26" s="1058" t="n">
        <v>3919</v>
      </c>
      <c r="AU26" s="1058" t="n">
        <v>67896</v>
      </c>
      <c r="AV26" s="1058" t="n">
        <v>43478.64</v>
      </c>
      <c r="AW26" s="1058" t="n">
        <v>3704</v>
      </c>
      <c r="AX26" s="1058" t="n">
        <v>64032</v>
      </c>
      <c r="AY26" s="1058" t="n">
        <v>41090.63999999998</v>
      </c>
      <c r="AZ26" s="1058" t="n">
        <v>4014</v>
      </c>
      <c r="BA26" s="1058" t="n">
        <v>69856</v>
      </c>
      <c r="BB26" s="1058" t="n">
        <v>44728.24</v>
      </c>
      <c r="BC26" s="1058" t="n">
        <v>4348</v>
      </c>
      <c r="BD26" s="1058" t="n">
        <v>75022</v>
      </c>
      <c r="BE26" s="1058" t="n">
        <v>48017.68</v>
      </c>
      <c r="BF26" s="1058" t="n">
        <v>4276</v>
      </c>
      <c r="BG26" s="1058" t="n">
        <v>72644</v>
      </c>
      <c r="BH26" s="1058" t="n">
        <v>46499.36000000001</v>
      </c>
      <c r="BI26" s="1058" t="n">
        <v>4856</v>
      </c>
      <c r="BJ26" s="1058" t="n">
        <v>79724</v>
      </c>
      <c r="BK26" s="1058" t="n">
        <v>51030.56</v>
      </c>
      <c r="BL26" s="1058" t="n">
        <v>4452</v>
      </c>
      <c r="BM26" s="1058" t="n">
        <v>73562</v>
      </c>
      <c r="BN26" s="1058" t="n">
        <v>47081.84</v>
      </c>
      <c r="BO26" s="1058" t="n">
        <v>4147</v>
      </c>
      <c r="BP26" s="1058" t="n">
        <v>68168</v>
      </c>
      <c r="BQ26" s="1058" t="n">
        <v>43627.52000000001</v>
      </c>
      <c r="BR26" s="1058" t="n">
        <v>4457</v>
      </c>
      <c r="BS26" s="1058" t="n">
        <v>72950</v>
      </c>
      <c r="BT26" s="1058" t="n">
        <v>46698.08</v>
      </c>
      <c r="BU26" s="1059">
        <f>BR26+BO26+BL26+BI26+BF26+BC26+AZ26+AW26+AT26+AQ26+AN26+AK26</f>
        <v/>
      </c>
      <c r="BV26" s="1059">
        <f>BS26+BP26+BM26+BJ26+BG26+BD26+BA26+AX26+AU26+AR26+AO26+AL26</f>
        <v/>
      </c>
      <c r="BW26" s="1059">
        <f>BT26+BQ26+BN26+BK26+BH26+BE26+BB26+AY26+AV26+AS26+AP26+AM26</f>
        <v/>
      </c>
      <c r="BX26" s="1060">
        <f>BU26/12</f>
        <v/>
      </c>
      <c r="BY26" s="1060">
        <f>BV26/12</f>
        <v/>
      </c>
      <c r="BZ26" s="1060">
        <f>BW26/12</f>
        <v/>
      </c>
      <c r="CA26" s="434">
        <f>BX26/AI26*100-100</f>
        <v/>
      </c>
    </row>
    <row r="27" ht="21" customHeight="1" thickBot="1">
      <c r="A27" s="852" t="n">
        <v>24</v>
      </c>
      <c r="B27" s="852" t="inlineStr">
        <is>
          <t>ရွှေတောင်</t>
        </is>
      </c>
      <c r="C27" s="852" t="inlineStr">
        <is>
          <t>Shwe Taung</t>
        </is>
      </c>
      <c r="D27" s="852" t="inlineStr">
        <is>
          <t>ပုဂံ</t>
        </is>
      </c>
      <c r="E27" s="852" t="inlineStr">
        <is>
          <t>Bagan</t>
        </is>
      </c>
      <c r="F27" s="852" t="inlineStr">
        <is>
          <t>Wholesales</t>
        </is>
      </c>
      <c r="G27" s="1052" t="n">
        <v>305</v>
      </c>
      <c r="H27" s="1052" t="n">
        <v>4160</v>
      </c>
      <c r="I27" s="1052" t="n">
        <v>625</v>
      </c>
      <c r="J27" s="1052" t="n">
        <v>8480</v>
      </c>
      <c r="K27" s="1052" t="n">
        <v>300</v>
      </c>
      <c r="L27" s="1052" t="n">
        <v>4140</v>
      </c>
      <c r="M27" s="1052" t="n">
        <v>100</v>
      </c>
      <c r="N27" s="1052" t="n">
        <v>2400</v>
      </c>
      <c r="O27" s="1052" t="n">
        <v>300</v>
      </c>
      <c r="P27" s="1052" t="n">
        <v>4200</v>
      </c>
      <c r="Q27" s="1052" t="n">
        <v>300</v>
      </c>
      <c r="R27" s="1052" t="n">
        <v>4100</v>
      </c>
      <c r="S27" s="1052" t="n">
        <v>605</v>
      </c>
      <c r="T27" s="1052" t="n">
        <v>8340</v>
      </c>
      <c r="U27" s="1052" t="n">
        <v>305</v>
      </c>
      <c r="V27" s="1052" t="n">
        <v>4100</v>
      </c>
      <c r="W27" s="1052" t="n">
        <v>300</v>
      </c>
      <c r="X27" s="1052" t="n">
        <v>4140</v>
      </c>
      <c r="Y27" s="1052" t="n">
        <v>600</v>
      </c>
      <c r="Z27" s="1053" t="n">
        <v>8180</v>
      </c>
      <c r="AA27" s="1054" t="n">
        <v>300</v>
      </c>
      <c r="AB27" s="1052" t="n">
        <v>4020</v>
      </c>
      <c r="AC27" s="1055">
        <f>(Y27+W27+U27+S27+Q27+O27+M27+K27+I27+G27+AA27)/11</f>
        <v/>
      </c>
      <c r="AD27" s="1056">
        <f>(Z27+X27+V27+T27+R27+P27+N27+L27+J27+H27+AB27)/11</f>
        <v/>
      </c>
      <c r="AE27" s="1052" t="n">
        <v>250</v>
      </c>
      <c r="AF27" s="1052" t="n">
        <v>3760</v>
      </c>
      <c r="AG27" s="1057" t="n">
        <v>4290</v>
      </c>
      <c r="AH27" s="1057" t="n">
        <v>60020</v>
      </c>
      <c r="AI27" s="1057">
        <f>AG27/12</f>
        <v/>
      </c>
      <c r="AJ27" s="1057">
        <f>AH27/12</f>
        <v/>
      </c>
      <c r="AK27" s="1058" t="n">
        <v>575</v>
      </c>
      <c r="AL27" s="1058" t="n">
        <v>8920</v>
      </c>
      <c r="AM27" s="1058" t="n">
        <v>5971.6</v>
      </c>
      <c r="AN27" s="1058" t="n">
        <v>305</v>
      </c>
      <c r="AO27" s="1058" t="n">
        <v>4140</v>
      </c>
      <c r="AP27" s="1058" t="n">
        <v>2912.4</v>
      </c>
      <c r="AQ27" s="1058" t="n">
        <v>565</v>
      </c>
      <c r="AR27" s="1058" t="n">
        <v>8580</v>
      </c>
      <c r="AS27" s="1058" t="n">
        <v>6150</v>
      </c>
      <c r="AT27" s="1058" t="n">
        <v>200</v>
      </c>
      <c r="AU27" s="1058" t="n">
        <v>3300</v>
      </c>
      <c r="AV27" s="1058" t="n">
        <v>2112</v>
      </c>
      <c r="AW27" s="1058" t="n">
        <v>240</v>
      </c>
      <c r="AX27" s="1058" t="n">
        <v>4140</v>
      </c>
      <c r="AY27" s="1058" t="n">
        <v>3088.8</v>
      </c>
      <c r="AZ27" s="1058" t="n">
        <v>0</v>
      </c>
      <c r="BA27" s="1058" t="n">
        <v>0</v>
      </c>
      <c r="BB27" s="1058" t="n">
        <v>0</v>
      </c>
      <c r="BC27" s="1058" t="n">
        <v>370</v>
      </c>
      <c r="BD27" s="1058" t="n">
        <v>5290</v>
      </c>
      <c r="BE27" s="1058" t="n">
        <v>4132</v>
      </c>
      <c r="BF27" s="1058" t="n">
        <v>300</v>
      </c>
      <c r="BG27" s="1058" t="n">
        <v>4000</v>
      </c>
      <c r="BH27" s="1058" t="n">
        <v>2992</v>
      </c>
      <c r="BI27" s="1058" t="n">
        <v>85</v>
      </c>
      <c r="BJ27" s="1058" t="n">
        <v>1680</v>
      </c>
      <c r="BK27" s="1058" t="n">
        <v>1078.8</v>
      </c>
      <c r="BL27" s="1058" t="n">
        <v>0</v>
      </c>
      <c r="BM27" s="1058" t="n">
        <v>0</v>
      </c>
      <c r="BN27" s="1058" t="n">
        <v>0</v>
      </c>
      <c r="BO27" s="1058" t="n">
        <v>135</v>
      </c>
      <c r="BP27" s="1058" t="n">
        <v>2180</v>
      </c>
      <c r="BQ27" s="1058" t="n">
        <v>1416.8</v>
      </c>
      <c r="BR27" s="1058" t="n">
        <v>250</v>
      </c>
      <c r="BS27" s="1058" t="n">
        <v>3200</v>
      </c>
      <c r="BT27" s="1058" t="n">
        <v>2696</v>
      </c>
      <c r="BU27" s="1059">
        <f>BR27+BO27+BL27+BI27+BF27+BC27+AZ27+AW27+AT27+AQ27+AN27+AK27</f>
        <v/>
      </c>
      <c r="BV27" s="1059">
        <f>BS27+BP27+BM27+BJ27+BG27+BD27+BA27+AX27+AU27+AR27+AO27+AL27</f>
        <v/>
      </c>
      <c r="BW27" s="1059">
        <f>BT27+BQ27+BN27+BK27+BH27+BE27+BB27+AY27+AV27+AS27+AP27+AM27</f>
        <v/>
      </c>
      <c r="BX27" s="1060">
        <f>BU27/12</f>
        <v/>
      </c>
      <c r="BY27" s="1060">
        <f>BV27/12</f>
        <v/>
      </c>
      <c r="BZ27" s="1060">
        <f>BW27/12</f>
        <v/>
      </c>
      <c r="CA27" s="434">
        <f>BX27/AI27*100-100</f>
        <v/>
      </c>
      <c r="CB27" s="413" t="inlineStr">
        <is>
          <t>Must Grow</t>
        </is>
      </c>
    </row>
    <row r="28">
      <c r="A28" s="852" t="n">
        <v>25</v>
      </c>
      <c r="B28" s="852" t="inlineStr">
        <is>
          <t>ကောင်းဟိန်း</t>
        </is>
      </c>
      <c r="C28" s="852" t="inlineStr">
        <is>
          <t>Kaung Hein</t>
        </is>
      </c>
      <c r="D28" s="852" t="inlineStr">
        <is>
          <t>ပခုက္ကူ</t>
        </is>
      </c>
      <c r="E28" s="852" t="inlineStr">
        <is>
          <t>Pakokku</t>
        </is>
      </c>
      <c r="F28" s="852" t="inlineStr">
        <is>
          <t>ContractWholesales</t>
        </is>
      </c>
      <c r="G28" s="1052" t="n">
        <v>500</v>
      </c>
      <c r="H28" s="1052" t="n">
        <v>7000</v>
      </c>
      <c r="I28" s="1052" t="n"/>
      <c r="J28" s="1052" t="n"/>
      <c r="K28" s="1052" t="n">
        <v>300</v>
      </c>
      <c r="L28" s="1052" t="n">
        <v>4200</v>
      </c>
      <c r="M28" s="1052" t="n">
        <v>400</v>
      </c>
      <c r="N28" s="1052" t="n">
        <v>5600</v>
      </c>
      <c r="O28" s="1052" t="n"/>
      <c r="P28" s="1052" t="n"/>
      <c r="Q28" s="1052" t="n">
        <v>400</v>
      </c>
      <c r="R28" s="1052" t="n">
        <v>5600</v>
      </c>
      <c r="S28" s="1052" t="n">
        <v>400</v>
      </c>
      <c r="T28" s="1052" t="n">
        <v>5600</v>
      </c>
      <c r="U28" s="1052" t="n">
        <v>300</v>
      </c>
      <c r="V28" s="1052" t="n">
        <v>4200</v>
      </c>
      <c r="W28" s="1052" t="n">
        <v>100</v>
      </c>
      <c r="X28" s="1052" t="n">
        <v>1400</v>
      </c>
      <c r="Y28" s="1052" t="n">
        <v>317</v>
      </c>
      <c r="Z28" s="1053" t="n">
        <v>4438</v>
      </c>
      <c r="AA28" s="1054" t="n">
        <v>650</v>
      </c>
      <c r="AB28" s="1052" t="n">
        <v>9100</v>
      </c>
      <c r="AC28" s="1055">
        <f>(Y28+W28+U28+S28+Q28+O28+M28+K28+I28+G28+AA28)/11</f>
        <v/>
      </c>
      <c r="AD28" s="1056">
        <f>(Z28+X28+V28+T28+R28+P28+N28+L28+J28+H28+AB28)/11</f>
        <v/>
      </c>
      <c r="AE28" s="1052" t="n">
        <v>200</v>
      </c>
      <c r="AF28" s="1052" t="n">
        <v>2800</v>
      </c>
      <c r="AG28" s="1057" t="n">
        <v>3567</v>
      </c>
      <c r="AH28" s="1057" t="n">
        <v>49938</v>
      </c>
      <c r="AI28" s="1057">
        <f>AG28/12</f>
        <v/>
      </c>
      <c r="AJ28" s="1057">
        <f>AH28/12</f>
        <v/>
      </c>
      <c r="AK28" s="1058" t="n"/>
      <c r="AL28" s="1058" t="n"/>
      <c r="AM28" s="1058" t="n"/>
      <c r="AN28" s="1058" t="n"/>
      <c r="AO28" s="1058" t="n"/>
      <c r="AP28" s="1058" t="n"/>
      <c r="AQ28" s="1058" t="n"/>
      <c r="AR28" s="1058" t="n"/>
      <c r="AS28" s="1058" t="n"/>
      <c r="AT28" s="1058" t="n"/>
      <c r="AU28" s="1058" t="n"/>
      <c r="AV28" s="1058" t="n"/>
      <c r="AW28" s="1058" t="n"/>
      <c r="AX28" s="1058" t="n"/>
      <c r="AY28" s="1058" t="n"/>
      <c r="AZ28" s="1058" t="n"/>
      <c r="BA28" s="1058" t="n"/>
      <c r="BB28" s="1058" t="n"/>
      <c r="BC28" s="1058" t="n">
        <v>750</v>
      </c>
      <c r="BD28" s="1058" t="n">
        <v>9900</v>
      </c>
      <c r="BE28" s="1058" t="n">
        <v>7632</v>
      </c>
      <c r="BF28" s="1058" t="n">
        <v>550</v>
      </c>
      <c r="BG28" s="1058" t="n">
        <v>7760</v>
      </c>
      <c r="BH28" s="1058" t="n">
        <v>5388.8</v>
      </c>
      <c r="BI28" s="1058" t="n">
        <v>1300</v>
      </c>
      <c r="BJ28" s="1058" t="n">
        <v>15800</v>
      </c>
      <c r="BK28" s="1058" t="n">
        <v>15296</v>
      </c>
      <c r="BL28" s="1058" t="n">
        <v>300</v>
      </c>
      <c r="BM28" s="1058" t="n">
        <v>3800</v>
      </c>
      <c r="BN28" s="1058" t="n">
        <v>3296</v>
      </c>
      <c r="BO28" s="1058" t="n">
        <v>1430</v>
      </c>
      <c r="BP28" s="1058" t="n">
        <v>17960</v>
      </c>
      <c r="BQ28" s="1058" t="n">
        <v>15944</v>
      </c>
      <c r="BR28" s="1058" t="n">
        <v>600</v>
      </c>
      <c r="BS28" s="1058" t="n">
        <v>8000</v>
      </c>
      <c r="BT28" s="1058" t="n">
        <v>5984</v>
      </c>
      <c r="BU28" s="1059">
        <f>BR28+BO28+BL28+BI28+BF28+BC28+AZ28+AW28+AT28+AQ28+AN28+AK28</f>
        <v/>
      </c>
      <c r="BV28" s="1059">
        <f>BS28+BP28+BM28+BJ28+BG28+BD28+BA28+AX28+AU28+AR28+AO28+AL28</f>
        <v/>
      </c>
      <c r="BW28" s="1059">
        <f>BT28+BQ28+BN28+BK28+BH28+BE28+BB28+AY28+AV28+AS28+AP28+AM28</f>
        <v/>
      </c>
      <c r="BX28" s="1060">
        <f>BU28/12</f>
        <v/>
      </c>
      <c r="BY28" s="1060">
        <f>BV28/12</f>
        <v/>
      </c>
      <c r="BZ28" s="1060">
        <f>BW28/12</f>
        <v/>
      </c>
      <c r="CA28" s="434">
        <f>BX28/AI28*100-100</f>
        <v/>
      </c>
    </row>
    <row r="29" ht="27.75" customHeight="1">
      <c r="A29" s="853" t="inlineStr">
        <is>
          <t>Total Wholesales</t>
        </is>
      </c>
      <c r="B29" s="970" t="n"/>
      <c r="C29" s="970" t="n"/>
      <c r="D29" s="970" t="n"/>
      <c r="E29" s="970" t="n"/>
      <c r="F29" s="971" t="n"/>
      <c r="G29" s="1061" t="n">
        <v>56060</v>
      </c>
      <c r="H29" s="1061" t="n">
        <v>867731</v>
      </c>
      <c r="I29" s="1061" t="n">
        <v>43368</v>
      </c>
      <c r="J29" s="1061" t="n">
        <v>683544</v>
      </c>
      <c r="K29" s="1061" t="n">
        <v>44170</v>
      </c>
      <c r="L29" s="1061" t="n">
        <v>693618</v>
      </c>
      <c r="M29" s="1061" t="n">
        <v>41593</v>
      </c>
      <c r="N29" s="1061" t="n">
        <v>644518</v>
      </c>
      <c r="O29" s="1061" t="n">
        <v>46338</v>
      </c>
      <c r="P29" s="1061" t="n">
        <v>734660</v>
      </c>
      <c r="Q29" s="1061" t="n">
        <v>45743</v>
      </c>
      <c r="R29" s="1061" t="n">
        <v>715304</v>
      </c>
      <c r="S29" s="1061" t="n">
        <v>47787</v>
      </c>
      <c r="T29" s="1061" t="n">
        <v>754136</v>
      </c>
      <c r="U29" s="1061" t="n">
        <v>46604</v>
      </c>
      <c r="V29" s="1061" t="n">
        <v>737062</v>
      </c>
      <c r="W29" s="1061" t="n">
        <v>50416</v>
      </c>
      <c r="X29" s="1061" t="n">
        <v>799388</v>
      </c>
      <c r="Y29" s="1061" t="n">
        <v>52801</v>
      </c>
      <c r="Z29" s="1062" t="n">
        <v>834646</v>
      </c>
      <c r="AA29" s="1063" t="n">
        <v>51355</v>
      </c>
      <c r="AB29" s="1061" t="n">
        <v>830988</v>
      </c>
      <c r="AC29" s="1055">
        <f>(Y29+W29+U29+S29+Q29+O29+M29+K29+I29+G29+AA29)/11</f>
        <v/>
      </c>
      <c r="AD29" s="1056">
        <f>(Z29+X29+V29+T29+R29+P29+N29+L29+J29+H29+AB29)/11</f>
        <v/>
      </c>
      <c r="AE29" s="1061" t="n">
        <v>56866</v>
      </c>
      <c r="AF29" s="1061" t="n">
        <v>898928</v>
      </c>
      <c r="AG29" s="1064" t="n">
        <v>583101</v>
      </c>
      <c r="AH29" s="1064" t="n">
        <v>9194523</v>
      </c>
      <c r="AI29" s="1057">
        <f>AG29/12</f>
        <v/>
      </c>
      <c r="AJ29" s="1057">
        <f>AH29/12</f>
        <v/>
      </c>
      <c r="AK29" s="1065" t="n">
        <v>52449</v>
      </c>
      <c r="AL29" s="1065" t="n">
        <v>833902</v>
      </c>
      <c r="AM29" s="1065" t="n">
        <v>541971.9999999999</v>
      </c>
      <c r="AN29" s="1065" t="n">
        <v>44693</v>
      </c>
      <c r="AO29" s="1065" t="n">
        <v>711314</v>
      </c>
      <c r="AP29" s="1065" t="n">
        <v>459680.24</v>
      </c>
      <c r="AQ29" s="1065" t="n">
        <v>55295.64285714286</v>
      </c>
      <c r="AR29" s="1065" t="n">
        <v>879447</v>
      </c>
      <c r="AS29" s="1065" t="n">
        <v>579364.26</v>
      </c>
      <c r="AT29" s="1065" t="n">
        <v>44118</v>
      </c>
      <c r="AU29" s="1065" t="n">
        <v>709115</v>
      </c>
      <c r="AV29" s="1065" t="n">
        <v>460231.1</v>
      </c>
      <c r="AW29" s="1065" t="n">
        <v>48070.20833333334</v>
      </c>
      <c r="AX29" s="1065" t="n">
        <v>762963</v>
      </c>
      <c r="AY29" s="1065" t="n">
        <v>497495.7499999999</v>
      </c>
      <c r="AZ29" s="1065" t="n">
        <v>48827.5</v>
      </c>
      <c r="BA29" s="1065" t="n">
        <v>773598</v>
      </c>
      <c r="BB29" s="1065" t="n">
        <v>503185.5599999999</v>
      </c>
      <c r="BC29" s="1065" t="n">
        <v>47373</v>
      </c>
      <c r="BD29" s="1065" t="n">
        <v>754474</v>
      </c>
      <c r="BE29" s="1065" t="n">
        <v>494842.96</v>
      </c>
      <c r="BF29" s="1065" t="n">
        <v>46751</v>
      </c>
      <c r="BG29" s="1065" t="n">
        <v>741072</v>
      </c>
      <c r="BH29" s="1065" t="n">
        <v>483141.5999999999</v>
      </c>
      <c r="BI29" s="1065" t="n">
        <v>48864</v>
      </c>
      <c r="BJ29" s="1065" t="n">
        <v>768070</v>
      </c>
      <c r="BK29" s="1065" t="n">
        <v>511647.7600000001</v>
      </c>
      <c r="BL29" s="1065" t="n">
        <v>51709</v>
      </c>
      <c r="BM29" s="1065" t="n">
        <v>817874</v>
      </c>
      <c r="BN29" s="1065" t="n">
        <v>540786.5599999999</v>
      </c>
      <c r="BO29" s="1065">
        <f>SUM(BO4:BO28)</f>
        <v/>
      </c>
      <c r="BP29" s="1065">
        <f>SUM(BP4:BP28)</f>
        <v/>
      </c>
      <c r="BQ29" s="1065">
        <f>SUM(BQ4:BQ28)</f>
        <v/>
      </c>
      <c r="BR29" s="1065" t="n">
        <v>52970</v>
      </c>
      <c r="BS29" s="1065" t="n">
        <v>844104</v>
      </c>
      <c r="BT29" s="1065" t="n">
        <v>552647.9999999999</v>
      </c>
      <c r="BU29" s="1065">
        <f>SUM(BU4:BU28)</f>
        <v/>
      </c>
      <c r="BV29" s="1065">
        <f>SUM(BV4:BV28)</f>
        <v/>
      </c>
      <c r="BW29" s="1065">
        <f>SUM(BW4:BW28)</f>
        <v/>
      </c>
      <c r="BX29" s="1066">
        <f>BU29/12</f>
        <v/>
      </c>
      <c r="BY29" s="1066">
        <f>BV29/12</f>
        <v/>
      </c>
      <c r="BZ29" s="1066">
        <f>BW29/12</f>
        <v/>
      </c>
      <c r="CA29" s="434">
        <f>BX29/AI29*100-100</f>
        <v/>
      </c>
    </row>
    <row r="30" ht="21" customHeight="1" thickBot="1">
      <c r="A30" s="852" t="n">
        <v>1</v>
      </c>
      <c r="B30" s="852" t="inlineStr">
        <is>
          <t>ရွှေကမ္ဘာ</t>
        </is>
      </c>
      <c r="C30" s="852" t="inlineStr">
        <is>
          <t>Golden World</t>
        </is>
      </c>
      <c r="D30" s="852" t="inlineStr">
        <is>
          <t>မိတ္ထီလာ</t>
        </is>
      </c>
      <c r="E30" s="852" t="inlineStr">
        <is>
          <t>Meikhtila</t>
        </is>
      </c>
      <c r="F30" s="852" t="inlineStr">
        <is>
          <t>SemiWS</t>
        </is>
      </c>
      <c r="G30" s="1052" t="n">
        <v>325</v>
      </c>
      <c r="H30" s="1052" t="n">
        <v>5500</v>
      </c>
      <c r="I30" s="1052" t="n">
        <v>45</v>
      </c>
      <c r="J30" s="1052" t="n">
        <v>1080</v>
      </c>
      <c r="K30" s="1052" t="n">
        <v>165</v>
      </c>
      <c r="L30" s="1052" t="n">
        <v>360</v>
      </c>
      <c r="M30" s="1052" t="n">
        <v>125</v>
      </c>
      <c r="N30" s="1052" t="n">
        <v>2300</v>
      </c>
      <c r="O30" s="1052" t="n">
        <v>65</v>
      </c>
      <c r="P30" s="1052" t="n">
        <v>1160</v>
      </c>
      <c r="Q30" s="1052" t="n">
        <v>130</v>
      </c>
      <c r="R30" s="1052" t="n">
        <v>2320</v>
      </c>
      <c r="S30" s="1052" t="n">
        <v>55</v>
      </c>
      <c r="T30" s="1052" t="n">
        <v>1120</v>
      </c>
      <c r="U30" s="1052" t="n">
        <v>60</v>
      </c>
      <c r="V30" s="1052" t="n">
        <v>1140</v>
      </c>
      <c r="W30" s="1052" t="n">
        <v>130</v>
      </c>
      <c r="X30" s="1052" t="n">
        <v>2320</v>
      </c>
      <c r="Y30" s="1052" t="n">
        <v>135</v>
      </c>
      <c r="Z30" s="1053" t="n">
        <v>2340</v>
      </c>
      <c r="AA30" s="1054" t="n">
        <v>135</v>
      </c>
      <c r="AB30" s="1052" t="n">
        <v>2340</v>
      </c>
      <c r="AC30" s="1055">
        <f>(Y30+W30+U30+S30+Q30+O30+M30+K30+I30+G30+AA30)/11</f>
        <v/>
      </c>
      <c r="AD30" s="1056">
        <f>(Z30+X30+V30+T30+R30+P30+N30+L30+J30+H30+AB30)/11</f>
        <v/>
      </c>
      <c r="AE30" s="1052" t="n">
        <v>165</v>
      </c>
      <c r="AF30" s="1052" t="n">
        <v>3160</v>
      </c>
      <c r="AG30" s="1057" t="n">
        <v>1535</v>
      </c>
      <c r="AH30" s="1057" t="n">
        <v>25140</v>
      </c>
      <c r="AI30" s="1057">
        <f>AG30/12</f>
        <v/>
      </c>
      <c r="AJ30" s="1057">
        <f>AH30/12</f>
        <v/>
      </c>
      <c r="AK30" s="1058" t="n"/>
      <c r="AL30" s="1058" t="n"/>
      <c r="AM30" s="1058" t="n"/>
      <c r="AN30" s="1058" t="n"/>
      <c r="AO30" s="1058" t="n"/>
      <c r="AP30" s="1058" t="n"/>
      <c r="AQ30" s="1058" t="n">
        <v>270</v>
      </c>
      <c r="AR30" s="1058" t="n">
        <v>5280</v>
      </c>
      <c r="AS30" s="1058" t="n">
        <v>3379.2</v>
      </c>
      <c r="AT30" s="1058" t="n">
        <v>190</v>
      </c>
      <c r="AU30" s="1058" t="n">
        <v>3210</v>
      </c>
      <c r="AV30" s="1058" t="n">
        <v>2054.4</v>
      </c>
      <c r="AW30" s="1058" t="n">
        <v>259</v>
      </c>
      <c r="AX30" s="1058" t="n">
        <v>5126</v>
      </c>
      <c r="AY30" s="1058" t="n">
        <v>3280.640000000001</v>
      </c>
      <c r="AZ30" s="1058" t="n">
        <v>115</v>
      </c>
      <c r="BA30" s="1058" t="n">
        <v>2060</v>
      </c>
      <c r="BB30" s="1058" t="n">
        <v>1318.4</v>
      </c>
      <c r="BC30" s="1058" t="n">
        <v>150</v>
      </c>
      <c r="BD30" s="1058" t="n">
        <v>2700</v>
      </c>
      <c r="BE30" s="1058" t="n">
        <v>1728</v>
      </c>
      <c r="BF30" s="1058" t="n">
        <v>141</v>
      </c>
      <c r="BG30" s="1058" t="n">
        <v>2684</v>
      </c>
      <c r="BH30" s="1058" t="n">
        <v>1717.76</v>
      </c>
      <c r="BI30" s="1058" t="n">
        <v>95</v>
      </c>
      <c r="BJ30" s="1058" t="n">
        <v>2130</v>
      </c>
      <c r="BK30" s="1058" t="n">
        <v>1363.2</v>
      </c>
      <c r="BL30" s="1058" t="n">
        <v>85</v>
      </c>
      <c r="BM30" s="1058" t="n">
        <v>1640</v>
      </c>
      <c r="BN30" s="1058" t="n">
        <v>1049.6</v>
      </c>
      <c r="BO30" s="1058" t="n">
        <v>150</v>
      </c>
      <c r="BP30" s="1058" t="n">
        <v>3000</v>
      </c>
      <c r="BQ30" s="1058" t="n">
        <v>1920</v>
      </c>
      <c r="BR30" s="1058" t="n">
        <v>130</v>
      </c>
      <c r="BS30" s="1058" t="n">
        <v>2320</v>
      </c>
      <c r="BT30" s="1058" t="n">
        <v>1484.8</v>
      </c>
      <c r="BU30" s="1059">
        <f>BR30+BO30+BL30+BI30+BF30+BC30+AZ30+AW30+AT30+AQ30+AN30+AK30</f>
        <v/>
      </c>
      <c r="BV30" s="1059">
        <f>BS30+BP30+BM30+BJ30+BG30+BD30+BA30+AX30+AU30+AR30+AO30+AL30</f>
        <v/>
      </c>
      <c r="BW30" s="1059">
        <f>BT30+BQ30+BN30+BK30+BH30+BE30+BB30+AY30+AV30+AS30+AP30+AM30</f>
        <v/>
      </c>
      <c r="BX30" s="1060">
        <f>BU30/12</f>
        <v/>
      </c>
      <c r="BY30" s="1060">
        <f>BV30/12</f>
        <v/>
      </c>
      <c r="BZ30" s="1060">
        <f>BW30/12</f>
        <v/>
      </c>
      <c r="CA30" s="434">
        <f>BX30/AI30*100-100</f>
        <v/>
      </c>
    </row>
    <row r="31">
      <c r="A31" s="852" t="n">
        <v>2</v>
      </c>
      <c r="B31" s="852" t="inlineStr">
        <is>
          <t>ကိုချစ်ကို</t>
        </is>
      </c>
      <c r="C31" s="852" t="inlineStr">
        <is>
          <t>Ko Chit Ko</t>
        </is>
      </c>
      <c r="D31" s="852" t="inlineStr">
        <is>
          <t>သာစည်</t>
        </is>
      </c>
      <c r="E31" s="852" t="inlineStr">
        <is>
          <t>Tharzi</t>
        </is>
      </c>
      <c r="F31" s="852" t="inlineStr">
        <is>
          <t>SemiWS</t>
        </is>
      </c>
      <c r="G31" s="1052" t="n">
        <v>84</v>
      </c>
      <c r="H31" s="1052" t="n">
        <v>1276</v>
      </c>
      <c r="I31" s="1052" t="n">
        <v>55</v>
      </c>
      <c r="J31" s="1052" t="n">
        <v>820</v>
      </c>
      <c r="K31" s="1052" t="n">
        <v>60</v>
      </c>
      <c r="L31" s="1052" t="n">
        <v>940</v>
      </c>
      <c r="M31" s="1052" t="n">
        <v>35</v>
      </c>
      <c r="N31" s="1052" t="n">
        <v>590</v>
      </c>
      <c r="O31" s="1052" t="n">
        <v>75</v>
      </c>
      <c r="P31" s="1052" t="n">
        <v>1300</v>
      </c>
      <c r="Q31" s="1052" t="n">
        <v>35</v>
      </c>
      <c r="R31" s="1052" t="n">
        <v>490</v>
      </c>
      <c r="S31" s="1052" t="n">
        <v>95</v>
      </c>
      <c r="T31" s="1052" t="n">
        <v>1580</v>
      </c>
      <c r="U31" s="1052" t="n">
        <v>50</v>
      </c>
      <c r="V31" s="1052" t="n">
        <v>950</v>
      </c>
      <c r="W31" s="1052" t="n">
        <v>50</v>
      </c>
      <c r="X31" s="1052" t="n">
        <v>700</v>
      </c>
      <c r="Y31" s="1052" t="n">
        <v>30</v>
      </c>
      <c r="Z31" s="1053" t="n">
        <v>720</v>
      </c>
      <c r="AA31" s="1054" t="n">
        <v>30</v>
      </c>
      <c r="AB31" s="1052" t="n">
        <v>420</v>
      </c>
      <c r="AC31" s="1055">
        <f>(Y31+W31+U31+S31+Q31+O31+M31+K31+I31+G31+AA31)/11</f>
        <v/>
      </c>
      <c r="AD31" s="1056">
        <f>(Z31+X31+V31+T31+R31+P31+N31+L31+J31+H31+AB31)/11</f>
        <v/>
      </c>
      <c r="AE31" s="1052" t="n">
        <v>80</v>
      </c>
      <c r="AF31" s="1052" t="n">
        <v>1420</v>
      </c>
      <c r="AG31" s="1057" t="n">
        <v>679</v>
      </c>
      <c r="AH31" s="1057" t="n">
        <v>11206</v>
      </c>
      <c r="AI31" s="1057">
        <f>AG31/12</f>
        <v/>
      </c>
      <c r="AJ31" s="1057">
        <f>AH31/12</f>
        <v/>
      </c>
      <c r="AK31" s="1058" t="n"/>
      <c r="AL31" s="1058" t="n"/>
      <c r="AM31" s="1058" t="n"/>
      <c r="AN31" s="1058" t="n"/>
      <c r="AO31" s="1058" t="n"/>
      <c r="AP31" s="1058" t="n"/>
      <c r="AQ31" s="1058" t="n">
        <v>70</v>
      </c>
      <c r="AR31" s="1058" t="n">
        <v>1280</v>
      </c>
      <c r="AS31" s="1058" t="n">
        <v>819.2</v>
      </c>
      <c r="AT31" s="1058" t="n">
        <v>0</v>
      </c>
      <c r="AU31" s="1058" t="n">
        <v>0</v>
      </c>
      <c r="AV31" s="1058" t="n">
        <v>0</v>
      </c>
      <c r="AW31" s="1058" t="n"/>
      <c r="AX31" s="1058" t="n"/>
      <c r="AY31" s="1058" t="n"/>
      <c r="AZ31" s="1058" t="n"/>
      <c r="BA31" s="1058" t="n"/>
      <c r="BB31" s="1058" t="n"/>
      <c r="BC31" s="1058" t="n"/>
      <c r="BD31" s="1058" t="n"/>
      <c r="BE31" s="1058" t="n"/>
      <c r="BF31" s="1058" t="n"/>
      <c r="BG31" s="1058" t="n"/>
      <c r="BH31" s="1058" t="n"/>
      <c r="BI31" s="1058" t="n"/>
      <c r="BJ31" s="1058" t="n"/>
      <c r="BK31" s="1058" t="n"/>
      <c r="BL31" s="1058" t="n"/>
      <c r="BM31" s="1058" t="n"/>
      <c r="BN31" s="1058" t="n"/>
      <c r="BO31" s="1058" t="n"/>
      <c r="BP31" s="1058" t="n"/>
      <c r="BQ31" s="1058" t="n"/>
      <c r="BR31" s="1058" t="n"/>
      <c r="BS31" s="1058" t="n"/>
      <c r="BT31" s="1058" t="n"/>
      <c r="BU31" s="1059">
        <f>BR31+BO31+BL31+BI31+BF31+BC31+AZ31+AW31+AT31+AQ31+AN31+AK31</f>
        <v/>
      </c>
      <c r="BV31" s="1059">
        <f>BS31+BP31+BM31+BJ31+BG31+BD31+BA31+AX31+AU31+AR31+AO31+AL31</f>
        <v/>
      </c>
      <c r="BW31" s="1059">
        <f>BT31+BQ31+BN31+BK31+BH31+BE31+BB31+AY31+AV31+AS31+AP31+AM31</f>
        <v/>
      </c>
      <c r="BX31" s="1060">
        <f>BU31/12</f>
        <v/>
      </c>
      <c r="BY31" s="1060">
        <f>BV31/12</f>
        <v/>
      </c>
      <c r="BZ31" s="1060">
        <f>BW31/12</f>
        <v/>
      </c>
      <c r="CA31" s="434">
        <f>BX31/AI31*100-100</f>
        <v/>
      </c>
      <c r="CB31" s="414" t="inlineStr">
        <is>
          <t>Must Grow</t>
        </is>
      </c>
    </row>
    <row r="32">
      <c r="A32" s="852" t="n">
        <v>3</v>
      </c>
      <c r="B32" s="852" t="inlineStr">
        <is>
          <t>ပြည်ချစ်</t>
        </is>
      </c>
      <c r="C32" s="852" t="inlineStr">
        <is>
          <t>Pyi Chit</t>
        </is>
      </c>
      <c r="D32" s="852" t="inlineStr">
        <is>
          <t>ပျော်ဘွယ်</t>
        </is>
      </c>
      <c r="E32" s="852" t="inlineStr">
        <is>
          <t>Pyawbwe</t>
        </is>
      </c>
      <c r="F32" s="852" t="inlineStr">
        <is>
          <t>SemiWS</t>
        </is>
      </c>
      <c r="G32" s="1052" t="n">
        <v>245</v>
      </c>
      <c r="H32" s="1052" t="n">
        <v>3830</v>
      </c>
      <c r="I32" s="1052" t="n">
        <v>195</v>
      </c>
      <c r="J32" s="1052" t="n">
        <v>3330</v>
      </c>
      <c r="K32" s="1052" t="n">
        <v>140</v>
      </c>
      <c r="L32" s="1052" t="n">
        <v>2210</v>
      </c>
      <c r="M32" s="1052" t="n">
        <v>160</v>
      </c>
      <c r="N32" s="1052" t="n">
        <v>2840</v>
      </c>
      <c r="O32" s="1052" t="n">
        <v>204</v>
      </c>
      <c r="P32" s="1052" t="n">
        <v>3156</v>
      </c>
      <c r="Q32" s="1052" t="n">
        <v>140</v>
      </c>
      <c r="R32" s="1052" t="n">
        <v>2260</v>
      </c>
      <c r="S32" s="1052" t="n">
        <v>155</v>
      </c>
      <c r="T32" s="1052" t="n">
        <v>2470</v>
      </c>
      <c r="U32" s="1052" t="n">
        <v>125</v>
      </c>
      <c r="V32" s="1052" t="n">
        <v>1750</v>
      </c>
      <c r="W32" s="1052" t="n">
        <v>110</v>
      </c>
      <c r="X32" s="1052" t="n">
        <v>2140</v>
      </c>
      <c r="Y32" s="1052" t="n">
        <v>100</v>
      </c>
      <c r="Z32" s="1053" t="n">
        <v>1700</v>
      </c>
      <c r="AA32" s="1054" t="n">
        <v>130</v>
      </c>
      <c r="AB32" s="1052" t="n">
        <v>2120</v>
      </c>
      <c r="AC32" s="1055">
        <f>(Y32+W32+U32+S32+Q32+O32+M32+K32+I32+G32+AA32)/11</f>
        <v/>
      </c>
      <c r="AD32" s="1056">
        <f>(Z32+X32+V32+T32+R32+P32+N32+L32+J32+H32+AB32)/11</f>
        <v/>
      </c>
      <c r="AE32" s="1052" t="n">
        <v>125</v>
      </c>
      <c r="AF32" s="1052" t="n">
        <v>2050</v>
      </c>
      <c r="AG32" s="1057" t="n">
        <v>1829</v>
      </c>
      <c r="AH32" s="1057" t="n">
        <v>29856</v>
      </c>
      <c r="AI32" s="1057">
        <f>AG32/12</f>
        <v/>
      </c>
      <c r="AJ32" s="1057">
        <f>AH32/12</f>
        <v/>
      </c>
      <c r="AK32" s="1058" t="n"/>
      <c r="AL32" s="1058" t="n"/>
      <c r="AM32" s="1058" t="n"/>
      <c r="AN32" s="1058" t="n"/>
      <c r="AO32" s="1058" t="n"/>
      <c r="AP32" s="1058" t="n"/>
      <c r="AQ32" s="1058" t="n">
        <v>85</v>
      </c>
      <c r="AR32" s="1058" t="n">
        <v>1490</v>
      </c>
      <c r="AS32" s="1058" t="n">
        <v>953.6000000000001</v>
      </c>
      <c r="AT32" s="1058" t="n">
        <v>155</v>
      </c>
      <c r="AU32" s="1058" t="n">
        <v>2620</v>
      </c>
      <c r="AV32" s="1058" t="n">
        <v>1676.8</v>
      </c>
      <c r="AW32" s="1058" t="n">
        <v>100</v>
      </c>
      <c r="AX32" s="1058" t="n">
        <v>1400</v>
      </c>
      <c r="AY32" s="1058" t="n">
        <v>896.0000000000001</v>
      </c>
      <c r="AZ32" s="1058" t="n">
        <v>50</v>
      </c>
      <c r="BA32" s="1058" t="n">
        <v>700</v>
      </c>
      <c r="BB32" s="1058" t="n">
        <v>448.0000000000001</v>
      </c>
      <c r="BC32" s="1058" t="n">
        <v>40</v>
      </c>
      <c r="BD32" s="1058" t="n">
        <v>560</v>
      </c>
      <c r="BE32" s="1058" t="n">
        <v>358.4</v>
      </c>
      <c r="BF32" s="1058" t="n">
        <v>100</v>
      </c>
      <c r="BG32" s="1058" t="n">
        <v>1400</v>
      </c>
      <c r="BH32" s="1058" t="n">
        <v>896</v>
      </c>
      <c r="BI32" s="1058" t="n">
        <v>65</v>
      </c>
      <c r="BJ32" s="1058" t="n">
        <v>1060</v>
      </c>
      <c r="BK32" s="1058" t="n">
        <v>678.4000000000001</v>
      </c>
      <c r="BL32" s="1058" t="n">
        <v>65</v>
      </c>
      <c r="BM32" s="1058" t="n">
        <v>1060</v>
      </c>
      <c r="BN32" s="1058" t="n">
        <v>678.4</v>
      </c>
      <c r="BO32" s="1058" t="n">
        <v>45</v>
      </c>
      <c r="BP32" s="1058" t="n">
        <v>780</v>
      </c>
      <c r="BQ32" s="1058" t="n">
        <v>499.2</v>
      </c>
      <c r="BR32" s="1058" t="n">
        <v>45</v>
      </c>
      <c r="BS32" s="1058" t="n">
        <v>780</v>
      </c>
      <c r="BT32" s="1058" t="n">
        <v>499.2</v>
      </c>
      <c r="BU32" s="1059">
        <f>BR32+BO32+BL32+BI32+BF32+BC32+AZ32+AW32+AT32+AQ32+AN32+AK32</f>
        <v/>
      </c>
      <c r="BV32" s="1059">
        <f>BS32+BP32+BM32+BJ32+BG32+BD32+BA32+AX32+AU32+AR32+AO32+AL32</f>
        <v/>
      </c>
      <c r="BW32" s="1059">
        <f>BT32+BQ32+BN32+BK32+BH32+BE32+BB32+AY32+AV32+AS32+AP32+AM32</f>
        <v/>
      </c>
      <c r="BX32" s="1060">
        <f>BU32/12</f>
        <v/>
      </c>
      <c r="BY32" s="1060">
        <f>BV32/12</f>
        <v/>
      </c>
      <c r="BZ32" s="1060">
        <f>BW32/12</f>
        <v/>
      </c>
      <c r="CA32" s="434">
        <f>BX32/AI32*100-100</f>
        <v/>
      </c>
      <c r="CB32" s="415" t="inlineStr">
        <is>
          <t>Must Grow</t>
        </is>
      </c>
    </row>
    <row r="33">
      <c r="A33" s="852" t="n">
        <v>4</v>
      </c>
      <c r="B33" s="852" t="inlineStr">
        <is>
          <t>ဦးမောင်ငယ်</t>
        </is>
      </c>
      <c r="C33" s="852" t="inlineStr">
        <is>
          <t>U Mg Ngwe</t>
        </is>
      </c>
      <c r="D33" s="852" t="inlineStr">
        <is>
          <t>ရမည်းသင်း</t>
        </is>
      </c>
      <c r="E33" s="852" t="inlineStr">
        <is>
          <t>Yamethin</t>
        </is>
      </c>
      <c r="F33" s="852" t="inlineStr">
        <is>
          <t>SemiWS</t>
        </is>
      </c>
      <c r="G33" s="1052" t="n">
        <v>200</v>
      </c>
      <c r="H33" s="1052" t="n">
        <v>2800</v>
      </c>
      <c r="I33" s="1052" t="n">
        <v>200</v>
      </c>
      <c r="J33" s="1052" t="n">
        <v>2800</v>
      </c>
      <c r="K33" s="1052" t="n">
        <v>200</v>
      </c>
      <c r="L33" s="1052" t="n">
        <v>2800</v>
      </c>
      <c r="M33" s="1052" t="n">
        <v>200</v>
      </c>
      <c r="N33" s="1052" t="n">
        <v>2800</v>
      </c>
      <c r="O33" s="1052" t="n"/>
      <c r="P33" s="1052" t="n"/>
      <c r="Q33" s="1052" t="n">
        <v>440</v>
      </c>
      <c r="R33" s="1052" t="n">
        <v>6160</v>
      </c>
      <c r="S33" s="1052" t="n">
        <v>200</v>
      </c>
      <c r="T33" s="1052" t="n">
        <v>2800</v>
      </c>
      <c r="U33" s="1052" t="n">
        <v>218</v>
      </c>
      <c r="V33" s="1052" t="n">
        <v>3232</v>
      </c>
      <c r="W33" s="1052" t="n">
        <v>200</v>
      </c>
      <c r="X33" s="1052" t="n">
        <v>2800</v>
      </c>
      <c r="Y33" s="1052" t="n">
        <v>200</v>
      </c>
      <c r="Z33" s="1053" t="n">
        <v>2800</v>
      </c>
      <c r="AA33" s="1054" t="n">
        <v>300</v>
      </c>
      <c r="AB33" s="1052" t="n">
        <v>4200</v>
      </c>
      <c r="AC33" s="1055">
        <f>(Y33+W33+U33+S33+Q33+O33+M33+K33+I33+G33+AA33)/11</f>
        <v/>
      </c>
      <c r="AD33" s="1056">
        <f>(Z33+X33+V33+T33+R33+P33+N33+L33+J33+H33+AB33)/11</f>
        <v/>
      </c>
      <c r="AE33" s="1052" t="n">
        <v>200</v>
      </c>
      <c r="AF33" s="1052" t="n">
        <v>2800</v>
      </c>
      <c r="AG33" s="1057" t="n">
        <v>2558</v>
      </c>
      <c r="AH33" s="1057" t="n">
        <v>35992</v>
      </c>
      <c r="AI33" s="1057">
        <f>AG33/12</f>
        <v/>
      </c>
      <c r="AJ33" s="1057">
        <f>AH33/12</f>
        <v/>
      </c>
      <c r="AK33" s="1058" t="n"/>
      <c r="AL33" s="1058" t="n"/>
      <c r="AM33" s="1058" t="n"/>
      <c r="AN33" s="1058" t="n"/>
      <c r="AO33" s="1058" t="n"/>
      <c r="AP33" s="1058" t="n"/>
      <c r="AQ33" s="1058" t="n">
        <v>200</v>
      </c>
      <c r="AR33" s="1058" t="n">
        <v>2800</v>
      </c>
      <c r="AS33" s="1058" t="n">
        <v>1792</v>
      </c>
      <c r="AT33" s="1058" t="n">
        <v>300</v>
      </c>
      <c r="AU33" s="1058" t="n">
        <v>4200</v>
      </c>
      <c r="AV33" s="1058" t="n">
        <v>2688</v>
      </c>
      <c r="AW33" s="1058" t="n">
        <v>160</v>
      </c>
      <c r="AX33" s="1058" t="n">
        <v>2340</v>
      </c>
      <c r="AY33" s="1058" t="n">
        <v>1488</v>
      </c>
      <c r="AZ33" s="1058" t="n">
        <v>100</v>
      </c>
      <c r="BA33" s="1058" t="n">
        <v>1400</v>
      </c>
      <c r="BB33" s="1058" t="n">
        <v>896</v>
      </c>
      <c r="BC33" s="1058" t="n">
        <v>100</v>
      </c>
      <c r="BD33" s="1058" t="n">
        <v>1400</v>
      </c>
      <c r="BE33" s="1058" t="n">
        <v>896</v>
      </c>
      <c r="BF33" s="1058" t="n">
        <v>200</v>
      </c>
      <c r="BG33" s="1058" t="n">
        <v>2800</v>
      </c>
      <c r="BH33" s="1058" t="n">
        <v>1792</v>
      </c>
      <c r="BI33" s="1058" t="n">
        <v>100</v>
      </c>
      <c r="BJ33" s="1058" t="n">
        <v>1400</v>
      </c>
      <c r="BK33" s="1058" t="n">
        <v>896</v>
      </c>
      <c r="BL33" s="1058" t="n">
        <v>0</v>
      </c>
      <c r="BM33" s="1058" t="n">
        <v>0</v>
      </c>
      <c r="BN33" s="1058" t="n">
        <v>0</v>
      </c>
      <c r="BO33" s="1058" t="n">
        <v>0</v>
      </c>
      <c r="BP33" s="1058" t="n">
        <v>0</v>
      </c>
      <c r="BQ33" s="1058" t="n">
        <v>0</v>
      </c>
      <c r="BR33" s="1058" t="n"/>
      <c r="BS33" s="1058" t="n"/>
      <c r="BT33" s="1058" t="n"/>
      <c r="BU33" s="1059">
        <f>BR33+BO33+BL33+BI33+BF33+BC33+AZ33+AW33+AT33+AQ33+AN33+AK33</f>
        <v/>
      </c>
      <c r="BV33" s="1059">
        <f>BS33+BP33+BM33+BJ33+BG33+BD33+BA33+AX33+AU33+AR33+AO33+AL33</f>
        <v/>
      </c>
      <c r="BW33" s="1059">
        <f>BT33+BQ33+BN33+BK33+BH33+BE33+BB33+AY33+AV33+AS33+AP33+AM33</f>
        <v/>
      </c>
      <c r="BX33" s="1060">
        <f>BU33/12</f>
        <v/>
      </c>
      <c r="BY33" s="1060">
        <f>BV33/12</f>
        <v/>
      </c>
      <c r="BZ33" s="1060">
        <f>BW33/12</f>
        <v/>
      </c>
      <c r="CA33" s="434">
        <f>BX33/AI33*100-100</f>
        <v/>
      </c>
      <c r="CB33" s="415" t="inlineStr">
        <is>
          <t>Must Grow</t>
        </is>
      </c>
    </row>
    <row r="34">
      <c r="A34" s="852" t="n">
        <v>5</v>
      </c>
      <c r="B34" s="852" t="inlineStr">
        <is>
          <t>ကိုဧရာ</t>
        </is>
      </c>
      <c r="C34" s="852" t="inlineStr">
        <is>
          <t>Ko Ayar</t>
        </is>
      </c>
      <c r="D34" s="852" t="inlineStr">
        <is>
          <t>တောင်သာ</t>
        </is>
      </c>
      <c r="E34" s="852" t="inlineStr">
        <is>
          <t>Taungtha</t>
        </is>
      </c>
      <c r="F34" s="852" t="inlineStr">
        <is>
          <t>SemiWS</t>
        </is>
      </c>
      <c r="G34" s="1052" t="n">
        <v>230</v>
      </c>
      <c r="H34" s="1052" t="n">
        <v>3220</v>
      </c>
      <c r="I34" s="1052" t="n">
        <v>200</v>
      </c>
      <c r="J34" s="1052" t="n">
        <v>2800</v>
      </c>
      <c r="K34" s="1052" t="n">
        <v>200</v>
      </c>
      <c r="L34" s="1052" t="n">
        <v>2800</v>
      </c>
      <c r="M34" s="1052" t="n">
        <v>250</v>
      </c>
      <c r="N34" s="1052" t="n">
        <v>3500</v>
      </c>
      <c r="O34" s="1052" t="n">
        <v>50</v>
      </c>
      <c r="P34" s="1052" t="n">
        <v>700</v>
      </c>
      <c r="Q34" s="1052" t="n">
        <v>110</v>
      </c>
      <c r="R34" s="1052" t="n">
        <v>1640</v>
      </c>
      <c r="S34" s="1052" t="n"/>
      <c r="T34" s="1052" t="n"/>
      <c r="U34" s="1052" t="n">
        <v>26</v>
      </c>
      <c r="V34" s="1052" t="n">
        <v>364</v>
      </c>
      <c r="W34" s="1052" t="n">
        <v>250</v>
      </c>
      <c r="X34" s="1052" t="n">
        <v>3500</v>
      </c>
      <c r="Y34" s="1052" t="n">
        <v>45</v>
      </c>
      <c r="Z34" s="1053" t="n">
        <v>830</v>
      </c>
      <c r="AA34" s="1054" t="n"/>
      <c r="AB34" s="1052" t="n"/>
      <c r="AC34" s="1055">
        <f>(Y34+W34+U34+S34+Q34+O34+M34+K34+I34+G34+AA34)/11</f>
        <v/>
      </c>
      <c r="AD34" s="1056">
        <f>(Z34+X34+V34+T34+R34+P34+N34+L34+J34+H34+AB34)/11</f>
        <v/>
      </c>
      <c r="AE34" s="1052" t="n">
        <v>300</v>
      </c>
      <c r="AF34" s="1052" t="n">
        <v>4200</v>
      </c>
      <c r="AG34" s="1057" t="n">
        <v>1661</v>
      </c>
      <c r="AH34" s="1057" t="n">
        <v>23554</v>
      </c>
      <c r="AI34" s="1057">
        <f>AG34/12</f>
        <v/>
      </c>
      <c r="AJ34" s="1057">
        <f>AH34/12</f>
        <v/>
      </c>
      <c r="AK34" s="1058" t="n"/>
      <c r="AL34" s="1058" t="n"/>
      <c r="AM34" s="1058" t="n"/>
      <c r="AN34" s="1058" t="n"/>
      <c r="AO34" s="1058" t="n"/>
      <c r="AP34" s="1058" t="n"/>
      <c r="AQ34" s="1058" t="n">
        <v>100</v>
      </c>
      <c r="AR34" s="1058" t="n">
        <v>1400</v>
      </c>
      <c r="AS34" s="1058" t="n">
        <v>896</v>
      </c>
      <c r="AT34" s="1058" t="n">
        <v>200</v>
      </c>
      <c r="AU34" s="1058" t="n">
        <v>2800</v>
      </c>
      <c r="AV34" s="1058" t="n">
        <v>1792</v>
      </c>
      <c r="AW34" s="1058" t="n">
        <v>80</v>
      </c>
      <c r="AX34" s="1058" t="n">
        <v>1060</v>
      </c>
      <c r="AY34" s="1058" t="n">
        <v>808</v>
      </c>
      <c r="AZ34" s="1058" t="n">
        <v>0</v>
      </c>
      <c r="BA34" s="1058" t="n">
        <v>0</v>
      </c>
      <c r="BB34" s="1058" t="n">
        <v>0</v>
      </c>
      <c r="BC34" s="1058" t="n">
        <v>0</v>
      </c>
      <c r="BD34" s="1058" t="n">
        <v>0</v>
      </c>
      <c r="BE34" s="1058" t="n">
        <v>0</v>
      </c>
      <c r="BF34" s="1058" t="n">
        <v>50</v>
      </c>
      <c r="BG34" s="1058" t="n">
        <v>700</v>
      </c>
      <c r="BH34" s="1058" t="n">
        <v>448</v>
      </c>
      <c r="BI34" s="1058" t="n">
        <v>0</v>
      </c>
      <c r="BJ34" s="1058" t="n">
        <v>0</v>
      </c>
      <c r="BK34" s="1058" t="n">
        <v>0</v>
      </c>
      <c r="BL34" s="1058" t="n">
        <v>0</v>
      </c>
      <c r="BM34" s="1058" t="n">
        <v>0</v>
      </c>
      <c r="BN34" s="1058" t="n">
        <v>0</v>
      </c>
      <c r="BO34" s="1058" t="n">
        <v>0</v>
      </c>
      <c r="BP34" s="1058" t="n">
        <v>0</v>
      </c>
      <c r="BQ34" s="1058" t="n">
        <v>0</v>
      </c>
      <c r="BR34" s="1058" t="n"/>
      <c r="BS34" s="1058" t="n"/>
      <c r="BT34" s="1058" t="n"/>
      <c r="BU34" s="1059">
        <f>BR34+BO34+BL34+BI34+BF34+BC34+AZ34+AW34+AT34+AQ34+AN34+AK34</f>
        <v/>
      </c>
      <c r="BV34" s="1059">
        <f>BS34+BP34+BM34+BJ34+BG34+BD34+BA34+AX34+AU34+AR34+AO34+AL34</f>
        <v/>
      </c>
      <c r="BW34" s="1059">
        <f>BT34+BQ34+BN34+BK34+BH34+BE34+BB34+AY34+AV34+AS34+AP34+AM34</f>
        <v/>
      </c>
      <c r="BX34" s="1060">
        <f>BU34/12</f>
        <v/>
      </c>
      <c r="BY34" s="1060">
        <f>BV34/12</f>
        <v/>
      </c>
      <c r="BZ34" s="1060">
        <f>BW34/12</f>
        <v/>
      </c>
      <c r="CA34" s="434">
        <f>BX34/AI34*100-100</f>
        <v/>
      </c>
      <c r="CB34" s="415" t="inlineStr">
        <is>
          <t>Must Grow</t>
        </is>
      </c>
    </row>
    <row r="35">
      <c r="A35" s="852" t="n">
        <v>6</v>
      </c>
      <c r="B35" s="852" t="inlineStr">
        <is>
          <t>ကိုလှဌေးအောင်</t>
        </is>
      </c>
      <c r="C35" s="852" t="inlineStr">
        <is>
          <t>Ko Hla Htay Aung</t>
        </is>
      </c>
      <c r="D35" s="852" t="inlineStr">
        <is>
          <t>မြင်းခြံ</t>
        </is>
      </c>
      <c r="E35" s="852" t="inlineStr">
        <is>
          <t>Myingyan</t>
        </is>
      </c>
      <c r="F35" s="852" t="inlineStr">
        <is>
          <t>SemiWS</t>
        </is>
      </c>
      <c r="G35" s="1052" t="n">
        <v>130</v>
      </c>
      <c r="H35" s="1052" t="n">
        <v>2120</v>
      </c>
      <c r="I35" s="1052" t="n">
        <v>149</v>
      </c>
      <c r="J35" s="1052" t="n">
        <v>2096</v>
      </c>
      <c r="K35" s="1052" t="n">
        <v>280</v>
      </c>
      <c r="L35" s="1052" t="n">
        <v>4220</v>
      </c>
      <c r="M35" s="1052" t="n">
        <v>180</v>
      </c>
      <c r="N35" s="1052" t="n">
        <v>2820</v>
      </c>
      <c r="O35" s="1052" t="n">
        <v>170</v>
      </c>
      <c r="P35" s="1052" t="n">
        <v>2580</v>
      </c>
      <c r="Q35" s="1052" t="n">
        <v>180</v>
      </c>
      <c r="R35" s="1052" t="n">
        <v>2820</v>
      </c>
      <c r="S35" s="1052" t="n">
        <v>440</v>
      </c>
      <c r="T35" s="1052" t="n">
        <v>7060</v>
      </c>
      <c r="U35" s="1052" t="n">
        <v>310</v>
      </c>
      <c r="V35" s="1052" t="n">
        <v>5440</v>
      </c>
      <c r="W35" s="1052" t="n">
        <v>30</v>
      </c>
      <c r="X35" s="1052" t="n">
        <v>420</v>
      </c>
      <c r="Y35" s="1052" t="n">
        <v>290</v>
      </c>
      <c r="Z35" s="1053" t="n">
        <v>4960</v>
      </c>
      <c r="AA35" s="1054" t="n">
        <v>180</v>
      </c>
      <c r="AB35" s="1052" t="n">
        <v>2820</v>
      </c>
      <c r="AC35" s="1055">
        <f>(Y35+W35+U35+S35+Q35+O35+M35+K35+I35+G35+AA35)/11</f>
        <v/>
      </c>
      <c r="AD35" s="1056">
        <f>(Z35+X35+V35+T35+R35+P35+N35+L35+J35+H35+AB35)/11</f>
        <v/>
      </c>
      <c r="AE35" s="1052" t="n">
        <v>210</v>
      </c>
      <c r="AF35" s="1052" t="n">
        <v>3540</v>
      </c>
      <c r="AG35" s="1057" t="n">
        <v>2549</v>
      </c>
      <c r="AH35" s="1057" t="n">
        <v>40896</v>
      </c>
      <c r="AI35" s="1057">
        <f>AG35/12</f>
        <v/>
      </c>
      <c r="AJ35" s="1057">
        <f>AH35/12</f>
        <v/>
      </c>
      <c r="AK35" s="1058" t="n"/>
      <c r="AL35" s="1058" t="n"/>
      <c r="AM35" s="1058" t="n"/>
      <c r="AN35" s="1058" t="n"/>
      <c r="AO35" s="1058" t="n"/>
      <c r="AP35" s="1058" t="n"/>
      <c r="AQ35" s="1058" t="n">
        <v>470</v>
      </c>
      <c r="AR35" s="1058" t="n">
        <v>7780</v>
      </c>
      <c r="AS35" s="1058" t="n">
        <v>4979.2</v>
      </c>
      <c r="AT35" s="1058" t="n">
        <v>0</v>
      </c>
      <c r="AU35" s="1058" t="n">
        <v>0</v>
      </c>
      <c r="AV35" s="1058" t="n">
        <v>0</v>
      </c>
      <c r="AW35" s="1058" t="n">
        <v>370</v>
      </c>
      <c r="AX35" s="1058" t="n">
        <v>6280</v>
      </c>
      <c r="AY35" s="1058" t="n">
        <v>4019.2</v>
      </c>
      <c r="AZ35" s="1058" t="n">
        <v>210</v>
      </c>
      <c r="BA35" s="1058" t="n">
        <v>3540</v>
      </c>
      <c r="BB35" s="1058" t="n">
        <v>2265.6</v>
      </c>
      <c r="BC35" s="1058" t="n">
        <v>210</v>
      </c>
      <c r="BD35" s="1058" t="n">
        <v>3540</v>
      </c>
      <c r="BE35" s="1058" t="n">
        <v>2265.6</v>
      </c>
      <c r="BF35" s="1058" t="n">
        <v>100</v>
      </c>
      <c r="BG35" s="1058" t="n">
        <v>1400</v>
      </c>
      <c r="BH35" s="1058" t="n">
        <v>896</v>
      </c>
      <c r="BI35" s="1058" t="n">
        <v>250</v>
      </c>
      <c r="BJ35" s="1058" t="n">
        <v>4000</v>
      </c>
      <c r="BK35" s="1058" t="n">
        <v>2560</v>
      </c>
      <c r="BL35" s="1058" t="n">
        <v>250</v>
      </c>
      <c r="BM35" s="1058" t="n">
        <v>3500</v>
      </c>
      <c r="BN35" s="1058" t="n">
        <v>2240</v>
      </c>
      <c r="BO35" s="1058" t="n">
        <v>0</v>
      </c>
      <c r="BP35" s="1058" t="n">
        <v>0</v>
      </c>
      <c r="BQ35" s="1058" t="n">
        <v>0</v>
      </c>
      <c r="BR35" s="1058" t="n">
        <v>209</v>
      </c>
      <c r="BS35" s="1058" t="n">
        <v>3016</v>
      </c>
      <c r="BT35" s="1058" t="n">
        <v>1930.24</v>
      </c>
      <c r="BU35" s="1059">
        <f>BR35+BO35+BL35+BI35+BF35+BC35+AZ35+AW35+AT35+AQ35+AN35+AK35</f>
        <v/>
      </c>
      <c r="BV35" s="1059">
        <f>BS35+BP35+BM35+BJ35+BG35+BD35+BA35+AX35+AU35+AR35+AO35+AL35</f>
        <v/>
      </c>
      <c r="BW35" s="1059">
        <f>BT35+BQ35+BN35+BK35+BH35+BE35+BB35+AY35+AV35+AS35+AP35+AM35</f>
        <v/>
      </c>
      <c r="BX35" s="1060">
        <f>BU35/12</f>
        <v/>
      </c>
      <c r="BY35" s="1060">
        <f>BV35/12</f>
        <v/>
      </c>
      <c r="BZ35" s="1060">
        <f>BW35/12</f>
        <v/>
      </c>
      <c r="CA35" s="434">
        <f>BX35/AI35*100-100</f>
        <v/>
      </c>
      <c r="CB35" s="415" t="inlineStr">
        <is>
          <t>Must Grow</t>
        </is>
      </c>
    </row>
    <row r="36">
      <c r="A36" s="852" t="n">
        <v>7</v>
      </c>
      <c r="B36" s="852" t="inlineStr">
        <is>
          <t>ပြည့်ဖြိုးကြွယ်</t>
        </is>
      </c>
      <c r="C36" s="852" t="inlineStr">
        <is>
          <t>Pyae Phyo Kywe</t>
        </is>
      </c>
      <c r="D36" s="852" t="inlineStr">
        <is>
          <t>မြင်းခြံ</t>
        </is>
      </c>
      <c r="E36" s="852" t="inlineStr">
        <is>
          <t>Myingyan</t>
        </is>
      </c>
      <c r="F36" s="852" t="inlineStr">
        <is>
          <t>SemiWS</t>
        </is>
      </c>
      <c r="G36" s="1052" t="n">
        <v>150</v>
      </c>
      <c r="H36" s="1052" t="n">
        <v>2100</v>
      </c>
      <c r="I36" s="1052" t="n">
        <v>460</v>
      </c>
      <c r="J36" s="1052" t="n">
        <v>7040</v>
      </c>
      <c r="K36" s="1052" t="n">
        <v>420</v>
      </c>
      <c r="L36" s="1052" t="n">
        <v>6880</v>
      </c>
      <c r="M36" s="1052" t="n">
        <v>299</v>
      </c>
      <c r="N36" s="1052" t="n">
        <v>4186</v>
      </c>
      <c r="O36" s="1052" t="n">
        <v>708</v>
      </c>
      <c r="P36" s="1052" t="n">
        <v>10412</v>
      </c>
      <c r="Q36" s="1052" t="n">
        <v>260</v>
      </c>
      <c r="R36" s="1052" t="n">
        <v>4240</v>
      </c>
      <c r="S36" s="1052" t="n">
        <v>410</v>
      </c>
      <c r="T36" s="1052" t="n">
        <v>6240</v>
      </c>
      <c r="U36" s="1052" t="n">
        <v>365</v>
      </c>
      <c r="V36" s="1052" t="n">
        <v>6310</v>
      </c>
      <c r="W36" s="1052" t="n">
        <v>730</v>
      </c>
      <c r="X36" s="1052" t="n">
        <v>10720</v>
      </c>
      <c r="Y36" s="1052" t="n">
        <v>370</v>
      </c>
      <c r="Z36" s="1053" t="n">
        <v>5780</v>
      </c>
      <c r="AA36" s="1054" t="n"/>
      <c r="AB36" s="1052" t="n"/>
      <c r="AC36" s="1055">
        <f>(Y36+W36+U36+S36+Q36+O36+M36+K36+I36+G36+AA36)/11</f>
        <v/>
      </c>
      <c r="AD36" s="1056">
        <f>(Z36+X36+V36+T36+R36+P36+N36+L36+J36+H36+AB36)/11</f>
        <v/>
      </c>
      <c r="AE36" s="1052" t="n">
        <v>460</v>
      </c>
      <c r="AF36" s="1052" t="n">
        <v>6840</v>
      </c>
      <c r="AG36" s="1057" t="n">
        <v>4632</v>
      </c>
      <c r="AH36" s="1057" t="n">
        <v>70748</v>
      </c>
      <c r="AI36" s="1057">
        <f>AG36/12</f>
        <v/>
      </c>
      <c r="AJ36" s="1057">
        <f>AH36/12</f>
        <v/>
      </c>
      <c r="AK36" s="1058" t="n"/>
      <c r="AL36" s="1058" t="n"/>
      <c r="AM36" s="1058" t="n"/>
      <c r="AN36" s="1058" t="n"/>
      <c r="AO36" s="1058" t="n"/>
      <c r="AP36" s="1058" t="n"/>
      <c r="AQ36" s="1058" t="n">
        <v>420</v>
      </c>
      <c r="AR36" s="1058" t="n">
        <v>7080</v>
      </c>
      <c r="AS36" s="1058" t="n">
        <v>4531.2</v>
      </c>
      <c r="AT36" s="1058" t="n">
        <v>0</v>
      </c>
      <c r="AU36" s="1058" t="n">
        <v>0</v>
      </c>
      <c r="AV36" s="1058" t="n">
        <v>0</v>
      </c>
      <c r="AW36" s="1058" t="n">
        <v>740</v>
      </c>
      <c r="AX36" s="1058" t="n">
        <v>11320</v>
      </c>
      <c r="AY36" s="1058" t="n">
        <v>7331.2</v>
      </c>
      <c r="AZ36" s="1058" t="n">
        <v>365</v>
      </c>
      <c r="BA36" s="1058" t="n">
        <v>6310</v>
      </c>
      <c r="BB36" s="1058" t="n">
        <v>4038.400000000001</v>
      </c>
      <c r="BC36" s="1058" t="n">
        <v>160</v>
      </c>
      <c r="BD36" s="1058" t="n">
        <v>2840</v>
      </c>
      <c r="BE36" s="1058" t="n">
        <v>1817.6</v>
      </c>
      <c r="BF36" s="1058" t="n">
        <v>119</v>
      </c>
      <c r="BG36" s="1058" t="n">
        <v>1646</v>
      </c>
      <c r="BH36" s="1058" t="n">
        <v>1060.64</v>
      </c>
      <c r="BI36" s="1058" t="n">
        <v>0</v>
      </c>
      <c r="BJ36" s="1058" t="n">
        <v>0</v>
      </c>
      <c r="BK36" s="1058" t="n">
        <v>0</v>
      </c>
      <c r="BL36" s="1058" t="n">
        <v>0</v>
      </c>
      <c r="BM36" s="1058" t="n">
        <v>0</v>
      </c>
      <c r="BN36" s="1058" t="n">
        <v>0</v>
      </c>
      <c r="BO36" s="1058" t="n">
        <v>0</v>
      </c>
      <c r="BP36" s="1058" t="n">
        <v>0</v>
      </c>
      <c r="BQ36" s="1058" t="n">
        <v>0</v>
      </c>
      <c r="BR36" s="1058" t="n">
        <v>245</v>
      </c>
      <c r="BS36" s="1058" t="n">
        <v>3600</v>
      </c>
      <c r="BT36" s="1058" t="n">
        <v>2350.8</v>
      </c>
      <c r="BU36" s="1059">
        <f>BR36+BO36+BL36+BI36+BF36+BC36+AZ36+AW36+AT36+AQ36+AN36+AK36</f>
        <v/>
      </c>
      <c r="BV36" s="1059">
        <f>BS36+BP36+BM36+BJ36+BG36+BD36+BA36+AX36+AU36+AR36+AO36+AL36</f>
        <v/>
      </c>
      <c r="BW36" s="1059">
        <f>BT36+BQ36+BN36+BK36+BH36+BE36+BB36+AY36+AV36+AS36+AP36+AM36</f>
        <v/>
      </c>
      <c r="BX36" s="1060">
        <f>BU36/12</f>
        <v/>
      </c>
      <c r="BY36" s="1060">
        <f>BV36/12</f>
        <v/>
      </c>
      <c r="BZ36" s="1060">
        <f>BW36/12</f>
        <v/>
      </c>
      <c r="CA36" s="434">
        <f>BX36/AI36*100-100</f>
        <v/>
      </c>
      <c r="CB36" s="415" t="inlineStr">
        <is>
          <t>Must Grow</t>
        </is>
      </c>
    </row>
    <row r="37">
      <c r="A37" s="852" t="n">
        <v>8</v>
      </c>
      <c r="B37" s="852" t="inlineStr">
        <is>
          <t>ဇင်ယော်မေ</t>
        </is>
      </c>
      <c r="C37" s="852" t="inlineStr">
        <is>
          <t>Zin Yaw May</t>
        </is>
      </c>
      <c r="D37" s="852" t="inlineStr">
        <is>
          <t>ပုဂံ</t>
        </is>
      </c>
      <c r="E37" s="852" t="inlineStr">
        <is>
          <t>Bagan</t>
        </is>
      </c>
      <c r="F37" s="852" t="inlineStr">
        <is>
          <t>SemiWS</t>
        </is>
      </c>
      <c r="G37" s="1052" t="n">
        <v>200</v>
      </c>
      <c r="H37" s="1052" t="n">
        <v>2800</v>
      </c>
      <c r="I37" s="1052" t="n">
        <v>250</v>
      </c>
      <c r="J37" s="1052" t="n">
        <v>3500</v>
      </c>
      <c r="K37" s="1052" t="n">
        <v>100</v>
      </c>
      <c r="L37" s="1052" t="n">
        <v>1400</v>
      </c>
      <c r="M37" s="1052" t="n"/>
      <c r="N37" s="1052" t="n"/>
      <c r="O37" s="1052" t="n"/>
      <c r="P37" s="1052" t="n"/>
      <c r="Q37" s="1052" t="n">
        <v>300</v>
      </c>
      <c r="R37" s="1052" t="n">
        <v>4100</v>
      </c>
      <c r="S37" s="1052" t="n">
        <v>605</v>
      </c>
      <c r="T37" s="1052" t="n">
        <v>8340</v>
      </c>
      <c r="U37" s="1052" t="n">
        <v>500</v>
      </c>
      <c r="V37" s="1052" t="n">
        <v>7000</v>
      </c>
      <c r="W37" s="1052" t="n">
        <v>175</v>
      </c>
      <c r="X37" s="1052" t="n">
        <v>2450</v>
      </c>
      <c r="Y37" s="1052" t="n">
        <v>300</v>
      </c>
      <c r="Z37" s="1053" t="n">
        <v>4200</v>
      </c>
      <c r="AA37" s="1054" t="n"/>
      <c r="AB37" s="1052" t="n"/>
      <c r="AC37" s="1055">
        <f>(Y37+W37+U37+S37+Q37+O37+M37+K37+I37+G37+AA37)/11</f>
        <v/>
      </c>
      <c r="AD37" s="1056">
        <f>(Z37+X37+V37+T37+R37+P37+N37+L37+J37+H37+AB37)/11</f>
        <v/>
      </c>
      <c r="AE37" s="1052" t="n">
        <v>170</v>
      </c>
      <c r="AF37" s="1052" t="n">
        <v>2380</v>
      </c>
      <c r="AG37" s="1057" t="n">
        <v>2600</v>
      </c>
      <c r="AH37" s="1057" t="n">
        <v>36170</v>
      </c>
      <c r="AI37" s="1057">
        <f>AG37/12</f>
        <v/>
      </c>
      <c r="AJ37" s="1057">
        <f>AH37/12</f>
        <v/>
      </c>
      <c r="AK37" s="1058" t="n"/>
      <c r="AL37" s="1058" t="n"/>
      <c r="AM37" s="1058" t="n"/>
      <c r="AN37" s="1058" t="n"/>
      <c r="AO37" s="1058" t="n"/>
      <c r="AP37" s="1058" t="n"/>
      <c r="AQ37" s="1058" t="n">
        <v>200</v>
      </c>
      <c r="AR37" s="1058" t="n">
        <v>2800</v>
      </c>
      <c r="AS37" s="1058" t="n">
        <v>1792</v>
      </c>
      <c r="AT37" s="1058" t="n">
        <v>50</v>
      </c>
      <c r="AU37" s="1058" t="n">
        <v>700</v>
      </c>
      <c r="AV37" s="1058" t="n">
        <v>448</v>
      </c>
      <c r="AW37" s="1058" t="n">
        <v>50</v>
      </c>
      <c r="AX37" s="1058" t="n">
        <v>700</v>
      </c>
      <c r="AY37" s="1058" t="n">
        <v>448</v>
      </c>
      <c r="AZ37" s="1058" t="n">
        <v>100</v>
      </c>
      <c r="BA37" s="1058" t="n">
        <v>1400</v>
      </c>
      <c r="BB37" s="1058" t="n">
        <v>896</v>
      </c>
      <c r="BC37" s="1058" t="n">
        <v>150</v>
      </c>
      <c r="BD37" s="1058" t="n">
        <v>2100</v>
      </c>
      <c r="BE37" s="1058" t="n">
        <v>1344</v>
      </c>
      <c r="BF37" s="1058" t="n">
        <v>75</v>
      </c>
      <c r="BG37" s="1058" t="n">
        <v>1050</v>
      </c>
      <c r="BH37" s="1058" t="n">
        <v>672</v>
      </c>
      <c r="BI37" s="1058" t="n">
        <v>100</v>
      </c>
      <c r="BJ37" s="1058" t="n">
        <v>1400</v>
      </c>
      <c r="BK37" s="1058" t="n">
        <v>896</v>
      </c>
      <c r="BL37" s="1058" t="n">
        <v>0</v>
      </c>
      <c r="BM37" s="1058" t="n">
        <v>0</v>
      </c>
      <c r="BN37" s="1058" t="n">
        <v>0</v>
      </c>
      <c r="BO37" s="1058" t="n">
        <v>0</v>
      </c>
      <c r="BP37" s="1058" t="n">
        <v>0</v>
      </c>
      <c r="BQ37" s="1058" t="n">
        <v>0</v>
      </c>
      <c r="BR37" s="1058" t="n"/>
      <c r="BS37" s="1058" t="n"/>
      <c r="BT37" s="1058" t="n"/>
      <c r="BU37" s="1059">
        <f>BR37+BO37+BL37+BI37+BF37+BC37+AZ37+AW37+AT37+AQ37+AN37+AK37</f>
        <v/>
      </c>
      <c r="BV37" s="1059">
        <f>BS37+BP37+BM37+BJ37+BG37+BD37+BA37+AX37+AU37+AR37+AO37+AL37</f>
        <v/>
      </c>
      <c r="BW37" s="1059">
        <f>BT37+BQ37+BN37+BK37+BH37+BE37+BB37+AY37+AV37+AS37+AP37+AM37</f>
        <v/>
      </c>
      <c r="BX37" s="1060">
        <f>BU37/12</f>
        <v/>
      </c>
      <c r="BY37" s="1060">
        <f>BV37/12</f>
        <v/>
      </c>
      <c r="BZ37" s="1060">
        <f>BW37/12</f>
        <v/>
      </c>
      <c r="CA37" s="434">
        <f>BX37/AI37*100-100</f>
        <v/>
      </c>
      <c r="CB37" s="415" t="inlineStr">
        <is>
          <t>Must Grow</t>
        </is>
      </c>
    </row>
    <row r="38" ht="21" customHeight="1" thickBot="1">
      <c r="A38" s="852" t="n">
        <v>9</v>
      </c>
      <c r="B38" s="852" t="inlineStr">
        <is>
          <t>ဝတိံယံ</t>
        </is>
      </c>
      <c r="C38" s="852" t="inlineStr">
        <is>
          <t>Wattainyan</t>
        </is>
      </c>
      <c r="D38" s="852" t="inlineStr">
        <is>
          <t>ပခုက္ကူ</t>
        </is>
      </c>
      <c r="E38" s="852" t="inlineStr">
        <is>
          <t>Pakokku</t>
        </is>
      </c>
      <c r="F38" s="852" t="inlineStr">
        <is>
          <t>SemiWS</t>
        </is>
      </c>
      <c r="G38" s="1052" t="n">
        <v>200</v>
      </c>
      <c r="H38" s="1052" t="n">
        <v>2800</v>
      </c>
      <c r="I38" s="1052" t="n"/>
      <c r="J38" s="1052" t="n"/>
      <c r="K38" s="1052" t="n"/>
      <c r="L38" s="1052" t="n"/>
      <c r="M38" s="1052" t="n"/>
      <c r="N38" s="1052" t="n"/>
      <c r="O38" s="1052" t="n"/>
      <c r="P38" s="1052" t="n"/>
      <c r="Q38" s="1052" t="n"/>
      <c r="R38" s="1052" t="n"/>
      <c r="S38" s="1052" t="n">
        <v>250</v>
      </c>
      <c r="T38" s="1052" t="n">
        <v>3500</v>
      </c>
      <c r="U38" s="1052" t="n">
        <v>300</v>
      </c>
      <c r="V38" s="1052" t="n">
        <v>4200</v>
      </c>
      <c r="W38" s="1052" t="n">
        <v>300</v>
      </c>
      <c r="X38" s="1052" t="n">
        <v>4200</v>
      </c>
      <c r="Y38" s="1052" t="n">
        <v>150</v>
      </c>
      <c r="Z38" s="1053" t="n">
        <v>2100</v>
      </c>
      <c r="AA38" s="1054" t="n">
        <v>350</v>
      </c>
      <c r="AB38" s="1052" t="n">
        <v>4900</v>
      </c>
      <c r="AC38" s="1055">
        <f>(Y38+W38+U38+S38+Q38+O38+M38+K38+I38+G38+AA38)/11</f>
        <v/>
      </c>
      <c r="AD38" s="1056">
        <f>(Z38+X38+V38+T38+R38+P38+N38+L38+J38+H38+AB38)/11</f>
        <v/>
      </c>
      <c r="AE38" s="1052" t="n">
        <v>249</v>
      </c>
      <c r="AF38" s="1052" t="n">
        <v>3486</v>
      </c>
      <c r="AG38" s="1057" t="n">
        <v>1799</v>
      </c>
      <c r="AH38" s="1057" t="n">
        <v>25186</v>
      </c>
      <c r="AI38" s="1057">
        <f>AG38/12</f>
        <v/>
      </c>
      <c r="AJ38" s="1057">
        <f>AH38/12</f>
        <v/>
      </c>
      <c r="AK38" s="1058" t="n"/>
      <c r="AL38" s="1058" t="n"/>
      <c r="AM38" s="1058" t="n"/>
      <c r="AN38" s="1058" t="n"/>
      <c r="AO38" s="1058" t="n"/>
      <c r="AP38" s="1058" t="n"/>
      <c r="AQ38" s="1058" t="n">
        <v>200</v>
      </c>
      <c r="AR38" s="1058" t="n">
        <v>2800</v>
      </c>
      <c r="AS38" s="1058" t="n">
        <v>1792</v>
      </c>
      <c r="AT38" s="1058" t="n">
        <v>300</v>
      </c>
      <c r="AU38" s="1058" t="n">
        <v>4200</v>
      </c>
      <c r="AV38" s="1058" t="n">
        <v>2688</v>
      </c>
      <c r="AW38" s="1058" t="n">
        <v>0</v>
      </c>
      <c r="AX38" s="1058" t="n">
        <v>0</v>
      </c>
      <c r="AY38" s="1058" t="n">
        <v>0</v>
      </c>
      <c r="AZ38" s="1058" t="n">
        <v>0</v>
      </c>
      <c r="BA38" s="1058" t="n">
        <v>0</v>
      </c>
      <c r="BB38" s="1058" t="n">
        <v>0</v>
      </c>
      <c r="BC38" s="1058" t="n">
        <v>0</v>
      </c>
      <c r="BD38" s="1058" t="n">
        <v>0</v>
      </c>
      <c r="BE38" s="1058" t="n">
        <v>0</v>
      </c>
      <c r="BF38" s="1058" t="n">
        <v>300</v>
      </c>
      <c r="BG38" s="1058" t="n">
        <v>4200</v>
      </c>
      <c r="BH38" s="1058" t="n">
        <v>2688</v>
      </c>
      <c r="BI38" s="1058" t="n">
        <v>100</v>
      </c>
      <c r="BJ38" s="1058" t="n">
        <v>1400</v>
      </c>
      <c r="BK38" s="1058" t="n">
        <v>896</v>
      </c>
      <c r="BL38" s="1058" t="n">
        <v>100</v>
      </c>
      <c r="BM38" s="1058" t="n">
        <v>1400</v>
      </c>
      <c r="BN38" s="1058" t="n">
        <v>896</v>
      </c>
      <c r="BO38" s="1058" t="n">
        <v>200</v>
      </c>
      <c r="BP38" s="1058" t="n">
        <v>2800</v>
      </c>
      <c r="BQ38" s="1058" t="n">
        <v>1792</v>
      </c>
      <c r="BR38" s="1058" t="n">
        <v>500</v>
      </c>
      <c r="BS38" s="1058" t="n">
        <v>7000</v>
      </c>
      <c r="BT38" s="1058" t="n">
        <v>4480</v>
      </c>
      <c r="BU38" s="1059">
        <f>BR38+BO38+BL38+BI38+BF38+BC38+AZ38+AW38+AT38+AQ38+AN38+AK38</f>
        <v/>
      </c>
      <c r="BV38" s="1059">
        <f>BS38+BP38+BM38+BJ38+BG38+BD38+BA38+AX38+AU38+AR38+AO38+AL38</f>
        <v/>
      </c>
      <c r="BW38" s="1059">
        <f>BT38+BQ38+BN38+BK38+BH38+BE38+BB38+AY38+AV38+AS38+AP38+AM38</f>
        <v/>
      </c>
      <c r="BX38" s="1060">
        <f>BU38/12</f>
        <v/>
      </c>
      <c r="BY38" s="1060">
        <f>BV38/12</f>
        <v/>
      </c>
      <c r="BZ38" s="1060">
        <f>BW38/12</f>
        <v/>
      </c>
      <c r="CA38" s="434">
        <f>BX38/AI38*100-100</f>
        <v/>
      </c>
      <c r="CB38" s="416" t="inlineStr">
        <is>
          <t>Must Grow</t>
        </is>
      </c>
    </row>
    <row r="39">
      <c r="A39" s="852" t="n">
        <v>10</v>
      </c>
      <c r="B39" s="852" t="inlineStr">
        <is>
          <t>ပျားနက်</t>
        </is>
      </c>
      <c r="C39" s="852" t="inlineStr">
        <is>
          <t>Black Bee</t>
        </is>
      </c>
      <c r="D39" s="852" t="inlineStr">
        <is>
          <t>ပခုက္ကူ</t>
        </is>
      </c>
      <c r="E39" s="852" t="inlineStr">
        <is>
          <t>Pakokku</t>
        </is>
      </c>
      <c r="F39" s="852" t="inlineStr">
        <is>
          <t>SemiWS</t>
        </is>
      </c>
      <c r="G39" s="1052" t="n">
        <v>300</v>
      </c>
      <c r="H39" s="1052" t="n">
        <v>4200</v>
      </c>
      <c r="I39" s="1052" t="n">
        <v>300</v>
      </c>
      <c r="J39" s="1052" t="n">
        <v>4200</v>
      </c>
      <c r="K39" s="1052" t="n">
        <v>200</v>
      </c>
      <c r="L39" s="1052" t="n">
        <v>2800</v>
      </c>
      <c r="M39" s="1052" t="n"/>
      <c r="N39" s="1052" t="n"/>
      <c r="O39" s="1052" t="n"/>
      <c r="P39" s="1052" t="n"/>
      <c r="Q39" s="1052" t="n"/>
      <c r="R39" s="1052" t="n"/>
      <c r="S39" s="1052" t="n">
        <v>210</v>
      </c>
      <c r="T39" s="1052" t="n">
        <v>2940</v>
      </c>
      <c r="U39" s="1052" t="n">
        <v>130</v>
      </c>
      <c r="V39" s="1052" t="n">
        <v>1820</v>
      </c>
      <c r="W39" s="1052" t="n">
        <v>400</v>
      </c>
      <c r="X39" s="1052" t="n">
        <v>5600</v>
      </c>
      <c r="Y39" s="1052" t="n">
        <v>162</v>
      </c>
      <c r="Z39" s="1053" t="n">
        <v>2268</v>
      </c>
      <c r="AA39" s="1054" t="n">
        <v>400</v>
      </c>
      <c r="AB39" s="1052" t="n">
        <v>5600</v>
      </c>
      <c r="AC39" s="1055">
        <f>(Y39+W39+U39+S39+Q39+O39+M39+K39+I39+G39+AA39)/11</f>
        <v/>
      </c>
      <c r="AD39" s="1056">
        <f>(Z39+X39+V39+T39+R39+P39+N39+L39+J39+H39+AB39)/11</f>
        <v/>
      </c>
      <c r="AE39" s="1052" t="n">
        <v>200</v>
      </c>
      <c r="AF39" s="1052" t="n">
        <v>2800</v>
      </c>
      <c r="AG39" s="1057" t="n">
        <v>2302</v>
      </c>
      <c r="AH39" s="1057" t="n">
        <v>32228</v>
      </c>
      <c r="AI39" s="1057">
        <f>AG39/12</f>
        <v/>
      </c>
      <c r="AJ39" s="1057">
        <f>AH39/12</f>
        <v/>
      </c>
      <c r="AK39" s="1058" t="n"/>
      <c r="AL39" s="1058" t="n"/>
      <c r="AM39" s="1058" t="n"/>
      <c r="AN39" s="1058" t="n"/>
      <c r="AO39" s="1058" t="n"/>
      <c r="AP39" s="1058" t="n"/>
      <c r="AQ39" s="1058" t="n">
        <v>300</v>
      </c>
      <c r="AR39" s="1058" t="n">
        <v>4200</v>
      </c>
      <c r="AS39" s="1058" t="n">
        <v>2688</v>
      </c>
      <c r="AT39" s="1058" t="n">
        <v>200</v>
      </c>
      <c r="AU39" s="1058" t="n">
        <v>2800</v>
      </c>
      <c r="AV39" s="1058" t="n">
        <v>1792</v>
      </c>
      <c r="AW39" s="1058" t="n">
        <v>300</v>
      </c>
      <c r="AX39" s="1058" t="n">
        <v>4200</v>
      </c>
      <c r="AY39" s="1058" t="n">
        <v>2688</v>
      </c>
      <c r="AZ39" s="1058" t="n">
        <v>200</v>
      </c>
      <c r="BA39" s="1058" t="n">
        <v>2800</v>
      </c>
      <c r="BB39" s="1058" t="n">
        <v>1792</v>
      </c>
      <c r="BC39" s="1058" t="n">
        <v>150</v>
      </c>
      <c r="BD39" s="1058" t="n">
        <v>2100</v>
      </c>
      <c r="BE39" s="1058" t="n">
        <v>1344</v>
      </c>
      <c r="BF39" s="1058" t="n">
        <v>160</v>
      </c>
      <c r="BG39" s="1058" t="n">
        <v>2240</v>
      </c>
      <c r="BH39" s="1058" t="n">
        <v>1433.6</v>
      </c>
      <c r="BI39" s="1058" t="n">
        <v>200</v>
      </c>
      <c r="BJ39" s="1058" t="n">
        <v>2800</v>
      </c>
      <c r="BK39" s="1058" t="n">
        <v>1792</v>
      </c>
      <c r="BL39" s="1058" t="n">
        <v>250</v>
      </c>
      <c r="BM39" s="1058" t="n">
        <v>3500</v>
      </c>
      <c r="BN39" s="1058" t="n">
        <v>2240</v>
      </c>
      <c r="BO39" s="1058" t="n">
        <v>200</v>
      </c>
      <c r="BP39" s="1058" t="n">
        <v>2800</v>
      </c>
      <c r="BQ39" s="1058" t="n">
        <v>1792</v>
      </c>
      <c r="BR39" s="1058" t="n">
        <v>199</v>
      </c>
      <c r="BS39" s="1058" t="n">
        <v>2786</v>
      </c>
      <c r="BT39" s="1058" t="n">
        <v>1783.04</v>
      </c>
      <c r="BU39" s="1059">
        <f>BR39+BO39+BL39+BI39+BF39+BC39+AZ39+AW39+AT39+AQ39+AN39+AK39</f>
        <v/>
      </c>
      <c r="BV39" s="1059">
        <f>BS39+BP39+BM39+BJ39+BG39+BD39+BA39+AX39+AU39+AR39+AO39+AL39</f>
        <v/>
      </c>
      <c r="BW39" s="1059">
        <f>BT39+BQ39+BN39+BK39+BH39+BE39+BB39+AY39+AV39+AS39+AP39+AM39</f>
        <v/>
      </c>
      <c r="BX39" s="1060">
        <f>BU39/12</f>
        <v/>
      </c>
      <c r="BY39" s="1060">
        <f>BV39/12</f>
        <v/>
      </c>
      <c r="BZ39" s="1060">
        <f>BW39/12</f>
        <v/>
      </c>
      <c r="CA39" s="434">
        <f>BX39/AI39*100-100</f>
        <v/>
      </c>
    </row>
    <row r="40">
      <c r="A40" s="852" t="n">
        <v>11</v>
      </c>
      <c r="B40" s="852" t="inlineStr">
        <is>
          <t>ကောင်းဟိန်း</t>
        </is>
      </c>
      <c r="C40" s="852" t="inlineStr">
        <is>
          <t>Kaung Hein</t>
        </is>
      </c>
      <c r="D40" s="852" t="inlineStr">
        <is>
          <t>ပခုက္ကူ</t>
        </is>
      </c>
      <c r="E40" s="852" t="inlineStr">
        <is>
          <t>Pakokku</t>
        </is>
      </c>
      <c r="F40" s="852" t="inlineStr">
        <is>
          <t>SemiWS</t>
        </is>
      </c>
      <c r="G40" s="1052" t="n"/>
      <c r="H40" s="1052" t="n"/>
      <c r="I40" s="1052" t="n"/>
      <c r="J40" s="1052" t="n"/>
      <c r="K40" s="1052" t="n"/>
      <c r="L40" s="1052" t="n"/>
      <c r="M40" s="1052" t="n"/>
      <c r="N40" s="1052" t="n"/>
      <c r="O40" s="1052" t="n"/>
      <c r="P40" s="1052" t="n"/>
      <c r="Q40" s="1052" t="n"/>
      <c r="R40" s="1052" t="n"/>
      <c r="S40" s="1052" t="n"/>
      <c r="T40" s="1052" t="n"/>
      <c r="U40" s="1052" t="n"/>
      <c r="V40" s="1052" t="n"/>
      <c r="W40" s="1052" t="n"/>
      <c r="X40" s="1052" t="n"/>
      <c r="Y40" s="1052" t="n"/>
      <c r="Z40" s="1053" t="n"/>
      <c r="AA40" s="1054" t="n"/>
      <c r="AB40" s="1052" t="n"/>
      <c r="AC40" s="1055">
        <f>(Y40+W40+U40+S40+Q40+O40+M40+K40+I40+G40+AA40)/11</f>
        <v/>
      </c>
      <c r="AD40" s="1056">
        <f>(Z40+X40+V40+T40+R40+P40+N40+L40+J40+H40+AB40)/11</f>
        <v/>
      </c>
      <c r="AE40" s="1052" t="n"/>
      <c r="AF40" s="1052" t="n"/>
      <c r="AG40" s="1057" t="n">
        <v>0</v>
      </c>
      <c r="AH40" s="1057" t="n">
        <v>0</v>
      </c>
      <c r="AI40" s="1057">
        <f>AG40/12</f>
        <v/>
      </c>
      <c r="AJ40" s="1057">
        <f>AH40/12</f>
        <v/>
      </c>
      <c r="AK40" s="1058" t="n"/>
      <c r="AL40" s="1058" t="n"/>
      <c r="AM40" s="1058" t="n"/>
      <c r="AN40" s="1058" t="n"/>
      <c r="AO40" s="1058" t="n"/>
      <c r="AP40" s="1058" t="n"/>
      <c r="AQ40" s="1058" t="n">
        <v>1060</v>
      </c>
      <c r="AR40" s="1058" t="n">
        <v>14320</v>
      </c>
      <c r="AS40" s="1058" t="n">
        <v>10288</v>
      </c>
      <c r="AT40" s="1058" t="n">
        <v>500</v>
      </c>
      <c r="AU40" s="1058" t="n">
        <v>6400</v>
      </c>
      <c r="AV40" s="1058" t="n">
        <v>5392</v>
      </c>
      <c r="AW40" s="1058" t="n">
        <v>469</v>
      </c>
      <c r="AX40" s="1058" t="n">
        <v>6368</v>
      </c>
      <c r="AY40" s="1058" t="n">
        <v>4503.2</v>
      </c>
      <c r="AZ40" s="1058" t="n">
        <v>450</v>
      </c>
      <c r="BA40" s="1058" t="n">
        <v>5900</v>
      </c>
      <c r="BB40" s="1058" t="n">
        <v>3680</v>
      </c>
      <c r="BC40" s="1058" t="n"/>
      <c r="BD40" s="1058" t="n"/>
      <c r="BE40" s="1058" t="n"/>
      <c r="BF40" s="1058" t="n"/>
      <c r="BG40" s="1058" t="n"/>
      <c r="BH40" s="1058" t="n"/>
      <c r="BI40" s="1058" t="n"/>
      <c r="BJ40" s="1058" t="n"/>
      <c r="BK40" s="1058" t="n"/>
      <c r="BL40" s="1058" t="n"/>
      <c r="BM40" s="1058" t="n"/>
      <c r="BN40" s="1058" t="n"/>
      <c r="BO40" s="1058" t="n"/>
      <c r="BP40" s="1058" t="n"/>
      <c r="BQ40" s="1058" t="n"/>
      <c r="BR40" s="1058" t="n"/>
      <c r="BS40" s="1058" t="n"/>
      <c r="BT40" s="1058" t="n"/>
      <c r="BU40" s="1059">
        <f>BR40+BO40+BL40+BI40+BF40+BC40+AZ40+AW40+AT40+AQ40+AN40+AK40</f>
        <v/>
      </c>
      <c r="BV40" s="1059">
        <f>BS40+BP40+BM40+BJ40+BG40+BD40+BA40+AX40+AU40+AR40+AO40+AL40</f>
        <v/>
      </c>
      <c r="BW40" s="1059">
        <f>BT40+BQ40+BN40+BK40+BH40+BE40+BB40+AY40+AV40+AS40+AP40+AM40</f>
        <v/>
      </c>
      <c r="BX40" s="1060">
        <f>BU40/12</f>
        <v/>
      </c>
      <c r="BY40" s="1060">
        <f>BV40/12</f>
        <v/>
      </c>
      <c r="BZ40" s="1060">
        <f>BW40/12</f>
        <v/>
      </c>
      <c r="CA40" s="434">
        <f>BX40/AI40*100-100</f>
        <v/>
      </c>
    </row>
    <row r="41">
      <c r="A41" s="852" t="n">
        <v>12</v>
      </c>
      <c r="B41" s="852" t="inlineStr">
        <is>
          <t>ရွှေရောင်စင်</t>
        </is>
      </c>
      <c r="C41" s="852" t="inlineStr">
        <is>
          <t>Shwe Yaung Sin</t>
        </is>
      </c>
      <c r="D41" s="852" t="inlineStr">
        <is>
          <t>ပခုက္ကူ</t>
        </is>
      </c>
      <c r="E41" s="852" t="inlineStr">
        <is>
          <t>Pakokku</t>
        </is>
      </c>
      <c r="F41" s="852" t="inlineStr">
        <is>
          <t>SemiWS</t>
        </is>
      </c>
      <c r="G41" s="1052" t="n"/>
      <c r="H41" s="1052" t="n"/>
      <c r="I41" s="1052" t="n">
        <v>200</v>
      </c>
      <c r="J41" s="1052" t="n">
        <v>2800</v>
      </c>
      <c r="K41" s="1052" t="n"/>
      <c r="L41" s="1052" t="n"/>
      <c r="M41" s="1052" t="n"/>
      <c r="N41" s="1052" t="n"/>
      <c r="O41" s="1052" t="n">
        <v>150</v>
      </c>
      <c r="P41" s="1052" t="n">
        <v>2100</v>
      </c>
      <c r="Q41" s="1052" t="n"/>
      <c r="R41" s="1052" t="n"/>
      <c r="S41" s="1052" t="n"/>
      <c r="T41" s="1052" t="n"/>
      <c r="U41" s="1052" t="n"/>
      <c r="V41" s="1052" t="n"/>
      <c r="W41" s="1052" t="n"/>
      <c r="X41" s="1052" t="n"/>
      <c r="Y41" s="1052" t="n">
        <v>50</v>
      </c>
      <c r="Z41" s="1053" t="n">
        <v>700</v>
      </c>
      <c r="AA41" s="1054" t="n"/>
      <c r="AB41" s="1052" t="n"/>
      <c r="AC41" s="1055">
        <f>(Y41+W41+U41+S41+Q41+O41+M41+K41+I41+G41+AA41)/11</f>
        <v/>
      </c>
      <c r="AD41" s="1056">
        <f>(Z41+X41+V41+T41+R41+P41+N41+L41+J41+H41+AB41)/11</f>
        <v/>
      </c>
      <c r="AE41" s="1052" t="n"/>
      <c r="AF41" s="1052" t="n"/>
      <c r="AG41" s="1057" t="n">
        <v>400</v>
      </c>
      <c r="AH41" s="1057" t="n">
        <v>5600</v>
      </c>
      <c r="AI41" s="1057">
        <f>AG41/12</f>
        <v/>
      </c>
      <c r="AJ41" s="1057">
        <f>AH41/12</f>
        <v/>
      </c>
      <c r="AK41" s="1058" t="n"/>
      <c r="AL41" s="1058" t="n"/>
      <c r="AM41" s="1058" t="n"/>
      <c r="AN41" s="1058" t="n"/>
      <c r="AO41" s="1058" t="n"/>
      <c r="AP41" s="1058" t="n"/>
      <c r="AQ41" s="1058" t="n">
        <v>0</v>
      </c>
      <c r="AR41" s="1058" t="n">
        <v>0</v>
      </c>
      <c r="AS41" s="1058" t="n">
        <v>0</v>
      </c>
      <c r="AT41" s="1058" t="n">
        <v>30</v>
      </c>
      <c r="AU41" s="1058" t="n">
        <v>420</v>
      </c>
      <c r="AV41" s="1058" t="n">
        <v>268.8</v>
      </c>
      <c r="AW41" s="1058" t="n">
        <v>0</v>
      </c>
      <c r="AX41" s="1058" t="n">
        <v>0</v>
      </c>
      <c r="AY41" s="1058" t="n">
        <v>0</v>
      </c>
      <c r="AZ41" s="1058" t="n">
        <v>170</v>
      </c>
      <c r="BA41" s="1058" t="n">
        <v>2380</v>
      </c>
      <c r="BB41" s="1058" t="n">
        <v>1523.2</v>
      </c>
      <c r="BC41" s="1058" t="n">
        <v>156</v>
      </c>
      <c r="BD41" s="1058" t="n">
        <v>2482</v>
      </c>
      <c r="BE41" s="1058" t="n">
        <v>1588</v>
      </c>
      <c r="BF41" s="1058" t="n">
        <v>270</v>
      </c>
      <c r="BG41" s="1058" t="n">
        <v>3980</v>
      </c>
      <c r="BH41" s="1058" t="n">
        <v>2547.2</v>
      </c>
      <c r="BI41" s="1058" t="n">
        <v>300</v>
      </c>
      <c r="BJ41" s="1058" t="n">
        <v>4200</v>
      </c>
      <c r="BK41" s="1058" t="n">
        <v>2688</v>
      </c>
      <c r="BL41" s="1058" t="n">
        <v>100</v>
      </c>
      <c r="BM41" s="1058" t="n">
        <v>1400</v>
      </c>
      <c r="BN41" s="1058" t="n">
        <v>896</v>
      </c>
      <c r="BO41" s="1058" t="n">
        <v>230</v>
      </c>
      <c r="BP41" s="1058" t="n">
        <v>3400</v>
      </c>
      <c r="BQ41" s="1058" t="n">
        <v>2171.2</v>
      </c>
      <c r="BR41" s="1058" t="n">
        <v>250</v>
      </c>
      <c r="BS41" s="1058" t="n">
        <v>3500</v>
      </c>
      <c r="BT41" s="1058" t="n">
        <v>2240</v>
      </c>
      <c r="BU41" s="1059">
        <f>BR41+BO41+BL41+BI41+BF41+BC41+AZ41+AW41+AT41+AQ41+AN41+AK41</f>
        <v/>
      </c>
      <c r="BV41" s="1059">
        <f>BS41+BP41+BM41+BJ41+BG41+BD41+BA41+AX41+AU41+AR41+AO41+AL41</f>
        <v/>
      </c>
      <c r="BW41" s="1059">
        <f>BT41+BQ41+BN41+BK41+BH41+BE41+BB41+AY41+AV41+AS41+AP41+AM41</f>
        <v/>
      </c>
      <c r="BX41" s="1060">
        <f>BU41/12</f>
        <v/>
      </c>
      <c r="BY41" s="1060">
        <f>BV41/12</f>
        <v/>
      </c>
      <c r="BZ41" s="1060">
        <f>BW41/12</f>
        <v/>
      </c>
      <c r="CA41" s="434">
        <f>BX41/AI41*100-100</f>
        <v/>
      </c>
    </row>
    <row r="42">
      <c r="A42" s="852" t="n">
        <v>13</v>
      </c>
      <c r="B42" s="852" t="inlineStr">
        <is>
          <t>ဟိန်းသူ</t>
        </is>
      </c>
      <c r="C42" s="852" t="inlineStr">
        <is>
          <t>Hein Thu</t>
        </is>
      </c>
      <c r="D42" s="852" t="inlineStr">
        <is>
          <t>ပုဂံ</t>
        </is>
      </c>
      <c r="E42" s="852" t="inlineStr">
        <is>
          <t>Bagan</t>
        </is>
      </c>
      <c r="F42" s="852" t="inlineStr">
        <is>
          <t>SemiWS</t>
        </is>
      </c>
      <c r="G42" s="1052" t="n"/>
      <c r="H42" s="1052" t="n"/>
      <c r="I42" s="1052" t="n"/>
      <c r="J42" s="1052" t="n"/>
      <c r="K42" s="1052" t="n"/>
      <c r="L42" s="1052" t="n"/>
      <c r="M42" s="1052" t="n"/>
      <c r="N42" s="1052" t="n"/>
      <c r="O42" s="1052" t="n"/>
      <c r="P42" s="1052" t="n"/>
      <c r="Q42" s="1052" t="n"/>
      <c r="R42" s="1052" t="n"/>
      <c r="S42" s="1052" t="n"/>
      <c r="T42" s="1052" t="n"/>
      <c r="U42" s="1052" t="n"/>
      <c r="V42" s="1052" t="n"/>
      <c r="W42" s="1052" t="n"/>
      <c r="X42" s="1052" t="n"/>
      <c r="Y42" s="1052" t="n"/>
      <c r="Z42" s="1053" t="n"/>
      <c r="AA42" s="1054" t="n"/>
      <c r="AB42" s="1052" t="n"/>
      <c r="AC42" s="1055">
        <f>(Y42+W42+U42+S42+Q42+O42+M42+K42+I42+G42+AA42)/11</f>
        <v/>
      </c>
      <c r="AD42" s="1056">
        <f>(Z42+X42+V42+T42+R42+P42+N42+L42+J42+H42+AB42)/11</f>
        <v/>
      </c>
      <c r="AE42" s="1052" t="n"/>
      <c r="AF42" s="1052" t="n"/>
      <c r="AG42" s="1057" t="n">
        <v>0</v>
      </c>
      <c r="AH42" s="1057" t="n">
        <v>0</v>
      </c>
      <c r="AI42" s="1057">
        <f>AG42/12</f>
        <v/>
      </c>
      <c r="AJ42" s="1057">
        <f>AH42/12</f>
        <v/>
      </c>
      <c r="AK42" s="1058" t="n"/>
      <c r="AL42" s="1058" t="n"/>
      <c r="AM42" s="1058" t="n"/>
      <c r="AN42" s="1058" t="n"/>
      <c r="AO42" s="1058" t="n"/>
      <c r="AP42" s="1058" t="n"/>
      <c r="AQ42" s="1058" t="n"/>
      <c r="AR42" s="1058" t="n"/>
      <c r="AS42" s="1058" t="n"/>
      <c r="AT42" s="1058" t="n"/>
      <c r="AU42" s="1058" t="n"/>
      <c r="AV42" s="1058" t="n"/>
      <c r="AW42" s="1058" t="n">
        <v>0</v>
      </c>
      <c r="AX42" s="1058" t="n">
        <v>0</v>
      </c>
      <c r="AY42" s="1058" t="n">
        <v>0</v>
      </c>
      <c r="AZ42" s="1058" t="n">
        <v>0</v>
      </c>
      <c r="BA42" s="1058" t="n">
        <v>0</v>
      </c>
      <c r="BB42" s="1058" t="n">
        <v>0</v>
      </c>
      <c r="BC42" s="1058" t="n"/>
      <c r="BD42" s="1058" t="n"/>
      <c r="BE42" s="1058" t="n"/>
      <c r="BF42" s="1058" t="n"/>
      <c r="BG42" s="1058" t="n"/>
      <c r="BH42" s="1058" t="n"/>
      <c r="BI42" s="1058" t="n"/>
      <c r="BJ42" s="1058" t="n"/>
      <c r="BK42" s="1058" t="n"/>
      <c r="BL42" s="1058" t="n"/>
      <c r="BM42" s="1058" t="n"/>
      <c r="BN42" s="1058" t="n"/>
      <c r="BO42" s="1058" t="n"/>
      <c r="BP42" s="1058" t="n"/>
      <c r="BQ42" s="1058" t="n"/>
      <c r="BR42" s="1058" t="n"/>
      <c r="BS42" s="1058" t="n"/>
      <c r="BT42" s="1058" t="n"/>
      <c r="BU42" s="1059">
        <f>BR42+BO42+BL42+BI42+BF42+BC42+AZ42+AW42+AT42+AQ42+AN42+AK42</f>
        <v/>
      </c>
      <c r="BV42" s="1059">
        <f>BS42+BP42+BM42+BJ42+BG42+BD42+BA42+AX42+AU42+AR42+AO42+AL42</f>
        <v/>
      </c>
      <c r="BW42" s="1059">
        <f>BT42+BQ42+BN42+BK42+BH42+BE42+BB42+AY42+AV42+AS42+AP42+AM42</f>
        <v/>
      </c>
      <c r="BX42" s="1060">
        <f>BU42/12</f>
        <v/>
      </c>
      <c r="BY42" s="1060">
        <f>BV42/12</f>
        <v/>
      </c>
      <c r="BZ42" s="1060">
        <f>BW42/12</f>
        <v/>
      </c>
      <c r="CA42" s="434">
        <f>BX42/AI42*100-100</f>
        <v/>
      </c>
    </row>
    <row r="43">
      <c r="A43" s="852" t="n">
        <v>14</v>
      </c>
      <c r="B43" s="852" t="inlineStr">
        <is>
          <t>A1</t>
        </is>
      </c>
      <c r="C43" s="852" t="inlineStr">
        <is>
          <t>A1</t>
        </is>
      </c>
      <c r="D43" s="852" t="inlineStr">
        <is>
          <t>ပုဂံ</t>
        </is>
      </c>
      <c r="E43" s="852" t="inlineStr">
        <is>
          <t>Bagan</t>
        </is>
      </c>
      <c r="F43" s="852" t="inlineStr">
        <is>
          <t>SemiWS</t>
        </is>
      </c>
      <c r="G43" s="1052" t="n"/>
      <c r="H43" s="1052" t="n"/>
      <c r="I43" s="1052" t="n"/>
      <c r="J43" s="1052" t="n"/>
      <c r="K43" s="1052" t="n"/>
      <c r="L43" s="1052" t="n"/>
      <c r="M43" s="1052" t="n"/>
      <c r="N43" s="1052" t="n"/>
      <c r="O43" s="1052" t="n"/>
      <c r="P43" s="1052" t="n"/>
      <c r="Q43" s="1052" t="n"/>
      <c r="R43" s="1052" t="n"/>
      <c r="S43" s="1052" t="n"/>
      <c r="T43" s="1052" t="n"/>
      <c r="U43" s="1052" t="n"/>
      <c r="V43" s="1052" t="n"/>
      <c r="W43" s="1052" t="n"/>
      <c r="X43" s="1052" t="n"/>
      <c r="Y43" s="1052" t="n"/>
      <c r="Z43" s="1053" t="n"/>
      <c r="AA43" s="1054" t="n"/>
      <c r="AB43" s="1052" t="n"/>
      <c r="AC43" s="1055">
        <f>(Y43+W43+U43+S43+Q43+O43+M43+K43+I43+G43+AA43)/11</f>
        <v/>
      </c>
      <c r="AD43" s="1056">
        <f>(Z43+X43+V43+T43+R43+P43+N43+L43+J43+H43+AB43)/11</f>
        <v/>
      </c>
      <c r="AE43" s="1052" t="n"/>
      <c r="AF43" s="1052" t="n"/>
      <c r="AG43" s="1057" t="n">
        <v>0</v>
      </c>
      <c r="AH43" s="1057" t="n">
        <v>0</v>
      </c>
      <c r="AI43" s="1057">
        <f>AG43/12</f>
        <v/>
      </c>
      <c r="AJ43" s="1057">
        <f>AH43/12</f>
        <v/>
      </c>
      <c r="AK43" s="1058" t="n"/>
      <c r="AL43" s="1058" t="n"/>
      <c r="AM43" s="1058" t="n"/>
      <c r="AN43" s="1058" t="n"/>
      <c r="AO43" s="1058" t="n"/>
      <c r="AP43" s="1058" t="n"/>
      <c r="AQ43" s="1058" t="n"/>
      <c r="AR43" s="1058" t="n"/>
      <c r="AS43" s="1058" t="n"/>
      <c r="AT43" s="1058" t="n"/>
      <c r="AU43" s="1058" t="n"/>
      <c r="AV43" s="1058" t="n"/>
      <c r="AW43" s="1058" t="n">
        <v>150</v>
      </c>
      <c r="AX43" s="1058" t="n">
        <v>2100</v>
      </c>
      <c r="AY43" s="1058" t="n">
        <v>1344</v>
      </c>
      <c r="AZ43" s="1058" t="n">
        <v>0</v>
      </c>
      <c r="BA43" s="1058" t="n">
        <v>0</v>
      </c>
      <c r="BB43" s="1058" t="n">
        <v>0</v>
      </c>
      <c r="BC43" s="1058" t="n">
        <v>320</v>
      </c>
      <c r="BD43" s="1058" t="n">
        <v>4480</v>
      </c>
      <c r="BE43" s="1058" t="n">
        <v>2867.2</v>
      </c>
      <c r="BF43" s="1058" t="n">
        <v>200</v>
      </c>
      <c r="BG43" s="1058" t="n">
        <v>2800</v>
      </c>
      <c r="BH43" s="1058" t="n">
        <v>1792</v>
      </c>
      <c r="BI43" s="1058" t="n">
        <v>650</v>
      </c>
      <c r="BJ43" s="1058" t="n">
        <v>8300</v>
      </c>
      <c r="BK43" s="1058" t="n">
        <v>7040</v>
      </c>
      <c r="BL43" s="1058" t="n">
        <v>200</v>
      </c>
      <c r="BM43" s="1058" t="n">
        <v>2400</v>
      </c>
      <c r="BN43" s="1058" t="n">
        <v>2400</v>
      </c>
      <c r="BO43" s="1058" t="n">
        <v>560</v>
      </c>
      <c r="BP43" s="1058" t="n">
        <v>6940</v>
      </c>
      <c r="BQ43" s="1058" t="n">
        <v>6385.6</v>
      </c>
      <c r="BR43" s="1058" t="n">
        <v>720</v>
      </c>
      <c r="BS43" s="1058" t="n">
        <v>9120</v>
      </c>
      <c r="BT43" s="1058" t="n">
        <v>7910.4</v>
      </c>
      <c r="BU43" s="1059">
        <f>BR43+BO43+BL43+BI43+BF43+BC43+AZ43+AW43+AT43+AQ43+AN43+AK43</f>
        <v/>
      </c>
      <c r="BV43" s="1059">
        <f>BS43+BP43+BM43+BJ43+BG43+BD43+BA43+AX43+AU43+AR43+AO43+AL43</f>
        <v/>
      </c>
      <c r="BW43" s="1059">
        <f>BT43+BQ43+BN43+BK43+BH43+BE43+BB43+AY43+AV43+AS43+AP43+AM43</f>
        <v/>
      </c>
      <c r="BX43" s="1060">
        <f>BU43/12</f>
        <v/>
      </c>
      <c r="BY43" s="1060">
        <f>BV43/12</f>
        <v/>
      </c>
      <c r="BZ43" s="1060">
        <f>BW43/12</f>
        <v/>
      </c>
      <c r="CA43" s="434">
        <f>BX43/AI43*100-100</f>
        <v/>
      </c>
    </row>
    <row r="44">
      <c r="A44" s="852" t="n">
        <v>15</v>
      </c>
      <c r="B44" s="852" t="inlineStr">
        <is>
          <t>ရွှေခေတ်</t>
        </is>
      </c>
      <c r="C44" s="852" t="inlineStr">
        <is>
          <t>Shwe Khit</t>
        </is>
      </c>
      <c r="D44" s="852" t="inlineStr">
        <is>
          <t>မလှိုင်</t>
        </is>
      </c>
      <c r="E44" s="852" t="inlineStr">
        <is>
          <t>Mahlaing</t>
        </is>
      </c>
      <c r="F44" s="852" t="inlineStr">
        <is>
          <t>SemiWS</t>
        </is>
      </c>
      <c r="G44" s="1052" t="n"/>
      <c r="H44" s="1052" t="n"/>
      <c r="I44" s="1052" t="n"/>
      <c r="J44" s="1052" t="n"/>
      <c r="K44" s="1052" t="n"/>
      <c r="L44" s="1052" t="n"/>
      <c r="M44" s="1052" t="n"/>
      <c r="N44" s="1052" t="n"/>
      <c r="O44" s="1052" t="n"/>
      <c r="P44" s="1052" t="n"/>
      <c r="Q44" s="1052" t="n"/>
      <c r="R44" s="1052" t="n"/>
      <c r="S44" s="1052" t="n"/>
      <c r="T44" s="1052" t="n"/>
      <c r="U44" s="1052" t="n"/>
      <c r="V44" s="1052" t="n"/>
      <c r="W44" s="1052" t="n"/>
      <c r="X44" s="1052" t="n"/>
      <c r="Y44" s="1052" t="n"/>
      <c r="Z44" s="1053" t="n"/>
      <c r="AA44" s="1054" t="n"/>
      <c r="AB44" s="1052" t="n"/>
      <c r="AC44" s="1055">
        <f>(Y44+W44+U44+S44+Q44+O44+M44+K44+I44+G44+AA44)/11</f>
        <v/>
      </c>
      <c r="AD44" s="1056">
        <f>(Z44+X44+V44+T44+R44+P44+N44+L44+J44+H44+AB44)/11</f>
        <v/>
      </c>
      <c r="AE44" s="1052" t="n"/>
      <c r="AF44" s="1052" t="n"/>
      <c r="AG44" s="1057" t="n">
        <v>0</v>
      </c>
      <c r="AH44" s="1057" t="n">
        <v>0</v>
      </c>
      <c r="AI44" s="1057">
        <f>AG44/12</f>
        <v/>
      </c>
      <c r="AJ44" s="1057">
        <f>AH44/12</f>
        <v/>
      </c>
      <c r="AK44" s="1058" t="n"/>
      <c r="AL44" s="1058" t="n"/>
      <c r="AM44" s="1058" t="n"/>
      <c r="AN44" s="1058" t="n"/>
      <c r="AO44" s="1058" t="n"/>
      <c r="AP44" s="1058" t="n"/>
      <c r="AQ44" s="1058" t="n"/>
      <c r="AR44" s="1058" t="n"/>
      <c r="AS44" s="1058" t="n"/>
      <c r="AT44" s="1058" t="n"/>
      <c r="AU44" s="1058" t="n"/>
      <c r="AV44" s="1058" t="n"/>
      <c r="AW44" s="1058" t="n">
        <v>150</v>
      </c>
      <c r="AX44" s="1058" t="n">
        <v>2040</v>
      </c>
      <c r="AY44" s="1058" t="n">
        <v>1435.2</v>
      </c>
      <c r="AZ44" s="1058" t="n">
        <v>447</v>
      </c>
      <c r="BA44" s="1058" t="n">
        <v>5684</v>
      </c>
      <c r="BB44" s="1058" t="n">
        <v>4852.4</v>
      </c>
      <c r="BC44" s="1058" t="n">
        <v>225</v>
      </c>
      <c r="BD44" s="1058" t="n">
        <v>2910</v>
      </c>
      <c r="BE44" s="1058" t="n">
        <v>2380.8</v>
      </c>
      <c r="BF44" s="1058" t="n">
        <v>440</v>
      </c>
      <c r="BG44" s="1058" t="n">
        <v>5660</v>
      </c>
      <c r="BH44" s="1058" t="n">
        <v>4702.4</v>
      </c>
      <c r="BI44" s="1058" t="n">
        <v>379</v>
      </c>
      <c r="BJ44" s="1058" t="n">
        <v>4658</v>
      </c>
      <c r="BK44" s="1058" t="n">
        <v>4366.4</v>
      </c>
      <c r="BL44" s="1058" t="n">
        <v>384</v>
      </c>
      <c r="BM44" s="1058" t="n">
        <v>4652</v>
      </c>
      <c r="BN44" s="1058" t="n">
        <v>4533.92</v>
      </c>
      <c r="BO44" s="1058" t="n">
        <v>292</v>
      </c>
      <c r="BP44" s="1058" t="n">
        <v>3684</v>
      </c>
      <c r="BQ44" s="1058" t="n">
        <v>3223.2</v>
      </c>
      <c r="BR44" s="1058" t="n">
        <v>510</v>
      </c>
      <c r="BS44" s="1058" t="n">
        <v>6220</v>
      </c>
      <c r="BT44" s="1058" t="n">
        <v>5968</v>
      </c>
      <c r="BU44" s="1059">
        <f>BR44+BO44+BL44+BI44+BF44+BC44+AZ44+AW44+AT44+AQ44+AN44+AK44</f>
        <v/>
      </c>
      <c r="BV44" s="1059">
        <f>BS44+BP44+BM44+BJ44+BG44+BD44+BA44+AX44+AU44+AR44+AO44+AL44</f>
        <v/>
      </c>
      <c r="BW44" s="1059">
        <f>BT44+BQ44+BN44+BK44+BH44+BE44+BB44+AY44+AV44+AS44+AP44+AM44</f>
        <v/>
      </c>
      <c r="BX44" s="1060">
        <f>BU44/12</f>
        <v/>
      </c>
      <c r="BY44" s="1060">
        <f>BV44/12</f>
        <v/>
      </c>
      <c r="BZ44" s="1060">
        <f>BW44/12</f>
        <v/>
      </c>
      <c r="CA44" s="434">
        <f>BX44/AI44*100-100</f>
        <v/>
      </c>
    </row>
    <row r="45" ht="21" customHeight="1" thickBot="1">
      <c r="A45" s="852" t="n">
        <v>16</v>
      </c>
      <c r="B45" s="852" t="inlineStr">
        <is>
          <t>ဟိန်းမြန်မာ</t>
        </is>
      </c>
      <c r="C45" s="852" t="inlineStr">
        <is>
          <t>Hein Myanmar</t>
        </is>
      </c>
      <c r="D45" s="852" t="inlineStr">
        <is>
          <t>မလှိုင်</t>
        </is>
      </c>
      <c r="E45" s="852" t="inlineStr">
        <is>
          <t>Mahlaing</t>
        </is>
      </c>
      <c r="F45" s="852" t="inlineStr">
        <is>
          <t>SemiWS</t>
        </is>
      </c>
      <c r="G45" s="1052" t="n"/>
      <c r="H45" s="1052" t="n"/>
      <c r="I45" s="1052" t="n"/>
      <c r="J45" s="1052" t="n"/>
      <c r="K45" s="1052" t="n"/>
      <c r="L45" s="1052" t="n"/>
      <c r="M45" s="1052" t="n"/>
      <c r="N45" s="1052" t="n"/>
      <c r="O45" s="1052" t="n"/>
      <c r="P45" s="1052" t="n"/>
      <c r="Q45" s="1052" t="n"/>
      <c r="R45" s="1052" t="n"/>
      <c r="S45" s="1052" t="n"/>
      <c r="T45" s="1052" t="n"/>
      <c r="U45" s="1052" t="n"/>
      <c r="V45" s="1052" t="n"/>
      <c r="W45" s="1052" t="n"/>
      <c r="X45" s="1052" t="n"/>
      <c r="Y45" s="1052" t="n"/>
      <c r="Z45" s="1053" t="n"/>
      <c r="AA45" s="1054" t="n"/>
      <c r="AB45" s="1052" t="n"/>
      <c r="AC45" s="1055">
        <f>(Y45+W45+U45+S45+Q45+O45+M45+K45+I45+G45+AA45)/11</f>
        <v/>
      </c>
      <c r="AD45" s="1056">
        <f>(Z45+X45+V45+T45+R45+P45+N45+L45+J45+H45+AB45)/11</f>
        <v/>
      </c>
      <c r="AE45" s="1052" t="n"/>
      <c r="AF45" s="1052" t="n"/>
      <c r="AG45" s="1057" t="n">
        <v>0</v>
      </c>
      <c r="AH45" s="1057" t="n">
        <v>0</v>
      </c>
      <c r="AI45" s="1057">
        <f>AG45/12</f>
        <v/>
      </c>
      <c r="AJ45" s="1057">
        <f>AH45/12</f>
        <v/>
      </c>
      <c r="AK45" s="1058" t="n"/>
      <c r="AL45" s="1058" t="n"/>
      <c r="AM45" s="1058" t="n"/>
      <c r="AN45" s="1058" t="n"/>
      <c r="AO45" s="1058" t="n"/>
      <c r="AP45" s="1058" t="n"/>
      <c r="AQ45" s="1058" t="n"/>
      <c r="AR45" s="1058" t="n"/>
      <c r="AS45" s="1058" t="n"/>
      <c r="AT45" s="1058" t="n"/>
      <c r="AU45" s="1058" t="n"/>
      <c r="AV45" s="1058" t="n"/>
      <c r="AW45" s="1058" t="n">
        <v>110</v>
      </c>
      <c r="AX45" s="1058" t="n">
        <v>1590</v>
      </c>
      <c r="AY45" s="1058" t="n">
        <v>1017.6</v>
      </c>
      <c r="AZ45" s="1058" t="n">
        <v>105</v>
      </c>
      <c r="BA45" s="1058" t="n">
        <v>1470</v>
      </c>
      <c r="BB45" s="1058" t="n">
        <v>940.8000000000002</v>
      </c>
      <c r="BC45" s="1058" t="n">
        <v>120</v>
      </c>
      <c r="BD45" s="1058" t="n">
        <v>1680</v>
      </c>
      <c r="BE45" s="1058" t="n">
        <v>1075.2</v>
      </c>
      <c r="BF45" s="1058" t="n">
        <v>50</v>
      </c>
      <c r="BG45" s="1058" t="n">
        <v>700</v>
      </c>
      <c r="BH45" s="1058" t="n">
        <v>448.0000000000001</v>
      </c>
      <c r="BI45" s="1058" t="n">
        <v>110</v>
      </c>
      <c r="BJ45" s="1058" t="n">
        <v>1590</v>
      </c>
      <c r="BK45" s="1058" t="n">
        <v>1017.6</v>
      </c>
      <c r="BL45" s="1058" t="n">
        <v>70</v>
      </c>
      <c r="BM45" s="1058" t="n">
        <v>980</v>
      </c>
      <c r="BN45" s="1058" t="n">
        <v>627.1999999999999</v>
      </c>
      <c r="BO45" s="1058" t="n">
        <v>175</v>
      </c>
      <c r="BP45" s="1058" t="n">
        <v>2500</v>
      </c>
      <c r="BQ45" s="1058" t="n">
        <v>1600</v>
      </c>
      <c r="BR45" s="1058" t="n">
        <v>60</v>
      </c>
      <c r="BS45" s="1058" t="n">
        <v>840</v>
      </c>
      <c r="BT45" s="1058" t="n">
        <v>537.6</v>
      </c>
      <c r="BU45" s="1059">
        <f>BR45+BO45+BL45+BI45+BF45+BC45+AZ45+AW45+AT45+AQ45+AN45+AK45</f>
        <v/>
      </c>
      <c r="BV45" s="1059">
        <f>BS45+BP45+BM45+BJ45+BG45+BD45+BA45+AX45+AU45+AR45+AO45+AL45</f>
        <v/>
      </c>
      <c r="BW45" s="1059">
        <f>BT45+BQ45+BN45+BK45+BH45+BE45+BB45+AY45+AV45+AS45+AP45+AM45</f>
        <v/>
      </c>
      <c r="BX45" s="1060">
        <f>BU45/12</f>
        <v/>
      </c>
      <c r="BY45" s="1060">
        <f>BV45/12</f>
        <v/>
      </c>
      <c r="BZ45" s="1060">
        <f>BW45/12</f>
        <v/>
      </c>
      <c r="CA45" s="434">
        <f>BX45/AI45*100-100</f>
        <v/>
      </c>
    </row>
    <row r="46" ht="27" customHeight="1" thickBot="1">
      <c r="A46" s="853" t="inlineStr">
        <is>
          <t xml:space="preserve">Total SemiWholesales </t>
        </is>
      </c>
      <c r="B46" s="970" t="n"/>
      <c r="C46" s="970" t="n"/>
      <c r="D46" s="970" t="n"/>
      <c r="E46" s="970" t="n"/>
      <c r="F46" s="971" t="n"/>
      <c r="G46" s="1065" t="n">
        <v>2064</v>
      </c>
      <c r="H46" s="1065" t="n">
        <v>30646</v>
      </c>
      <c r="I46" s="1065" t="n">
        <v>2054</v>
      </c>
      <c r="J46" s="1065" t="n">
        <v>30466</v>
      </c>
      <c r="K46" s="1065" t="n">
        <v>1765</v>
      </c>
      <c r="L46" s="1065" t="n">
        <v>24410</v>
      </c>
      <c r="M46" s="1065" t="n">
        <v>1249</v>
      </c>
      <c r="N46" s="1065" t="n">
        <v>19036</v>
      </c>
      <c r="O46" s="1065" t="n">
        <v>1422</v>
      </c>
      <c r="P46" s="1065" t="n">
        <v>21408</v>
      </c>
      <c r="Q46" s="1065" t="n">
        <v>1595</v>
      </c>
      <c r="R46" s="1065" t="n">
        <v>24030</v>
      </c>
      <c r="S46" s="1065" t="n">
        <v>2420</v>
      </c>
      <c r="T46" s="1065" t="n">
        <v>36050</v>
      </c>
      <c r="U46" s="1065" t="n">
        <v>2084</v>
      </c>
      <c r="V46" s="1065" t="n">
        <v>32206</v>
      </c>
      <c r="W46" s="1065" t="n">
        <v>2375</v>
      </c>
      <c r="X46" s="1065" t="n">
        <v>34850</v>
      </c>
      <c r="Y46" s="1065" t="n">
        <v>1832</v>
      </c>
      <c r="Z46" s="1067" t="n">
        <v>28398</v>
      </c>
      <c r="AA46" s="1068" t="n">
        <v>1525</v>
      </c>
      <c r="AB46" s="1065" t="n">
        <v>22400</v>
      </c>
      <c r="AC46" s="1055">
        <f>(Y46+W46+U46+S46+Q46+O46+M46+K46+I46+G46+AA46)/11</f>
        <v/>
      </c>
      <c r="AD46" s="1056">
        <f>(Z46+X46+V46+T46+R46+P46+N46+L46+J46+H46+AB46)/11</f>
        <v/>
      </c>
      <c r="AE46" s="1065" t="n">
        <v>2159</v>
      </c>
      <c r="AF46" s="1065" t="n">
        <v>32676</v>
      </c>
      <c r="AG46" s="1064" t="n">
        <v>22544</v>
      </c>
      <c r="AH46" s="1064" t="n">
        <v>336576</v>
      </c>
      <c r="AI46" s="1057">
        <f>AG46/12</f>
        <v/>
      </c>
      <c r="AJ46" s="1057">
        <f>AH46/12</f>
        <v/>
      </c>
      <c r="AK46" s="1065" t="n">
        <v>0</v>
      </c>
      <c r="AL46" s="1065" t="n">
        <v>0</v>
      </c>
      <c r="AM46" s="1065" t="n">
        <v>0</v>
      </c>
      <c r="AN46" s="1065" t="n">
        <v>0</v>
      </c>
      <c r="AO46" s="1065" t="n">
        <v>0</v>
      </c>
      <c r="AP46" s="1065" t="n">
        <v>0</v>
      </c>
      <c r="AQ46" s="1065" t="n">
        <v>3375</v>
      </c>
      <c r="AR46" s="1065" t="n">
        <v>51230</v>
      </c>
      <c r="AS46" s="1065" t="n">
        <v>33910.4</v>
      </c>
      <c r="AT46" s="1065" t="n">
        <v>1925</v>
      </c>
      <c r="AU46" s="1065" t="n">
        <v>27350</v>
      </c>
      <c r="AV46" s="1065" t="n">
        <v>18800</v>
      </c>
      <c r="AW46" s="1065" t="n">
        <v>2938</v>
      </c>
      <c r="AX46" s="1065" t="n">
        <v>44524</v>
      </c>
      <c r="AY46" s="1065" t="n">
        <v>29259.04</v>
      </c>
      <c r="AZ46" s="1065" t="n">
        <v>2312</v>
      </c>
      <c r="BA46" s="1065" t="n">
        <v>33644</v>
      </c>
      <c r="BB46" s="1065" t="n">
        <v>22650.8</v>
      </c>
      <c r="BC46" s="1065" t="n">
        <v>1781</v>
      </c>
      <c r="BD46" s="1065" t="n">
        <v>26792</v>
      </c>
      <c r="BE46" s="1065" t="n">
        <v>17664.8</v>
      </c>
      <c r="BF46" s="1065" t="n">
        <v>2205</v>
      </c>
      <c r="BG46" s="1065" t="n">
        <v>31260</v>
      </c>
      <c r="BH46" s="1065" t="n">
        <v>21093.6</v>
      </c>
      <c r="BI46" s="1065" t="n">
        <v>2349</v>
      </c>
      <c r="BJ46" s="1065" t="n">
        <v>32938</v>
      </c>
      <c r="BK46" s="1065" t="n">
        <v>24193.6</v>
      </c>
      <c r="BL46" s="1065" t="n">
        <v>1504</v>
      </c>
      <c r="BM46" s="1065" t="n">
        <v>20532</v>
      </c>
      <c r="BN46" s="1065" t="n">
        <v>15561.12</v>
      </c>
      <c r="BO46" s="1065">
        <f>SUM(BO30:BO45)</f>
        <v/>
      </c>
      <c r="BP46" s="1065">
        <f>SUM(BP30:BP45)</f>
        <v/>
      </c>
      <c r="BQ46" s="1065">
        <f>SUM(BQ30:BQ45)</f>
        <v/>
      </c>
      <c r="BR46" s="1065" t="n">
        <v>2868</v>
      </c>
      <c r="BS46" s="1065" t="n">
        <v>39182</v>
      </c>
      <c r="BT46" s="1065" t="n">
        <v>29184.08</v>
      </c>
      <c r="BU46" s="1065">
        <f>SUM(BU30:BU45)</f>
        <v/>
      </c>
      <c r="BV46" s="1065">
        <f>SUM(BV30:BV45)</f>
        <v/>
      </c>
      <c r="BW46" s="1065">
        <f>SUM(BW30:BW45)</f>
        <v/>
      </c>
      <c r="BX46" s="1066">
        <f>BU46/12</f>
        <v/>
      </c>
      <c r="BY46" s="1066">
        <f>BV46/12</f>
        <v/>
      </c>
      <c r="BZ46" s="1066">
        <f>BW46/12</f>
        <v/>
      </c>
      <c r="CA46" s="434">
        <f>BX46/AI46*100-100</f>
        <v/>
      </c>
      <c r="CB46" s="413" t="n"/>
    </row>
    <row r="47">
      <c r="A47" s="852" t="n"/>
      <c r="B47" s="854" t="inlineStr">
        <is>
          <t>Mini+Van Sales Follow Up - (Region)</t>
        </is>
      </c>
      <c r="C47" s="970" t="n"/>
      <c r="D47" s="970" t="n"/>
      <c r="E47" s="970" t="n"/>
      <c r="F47" s="971" t="n"/>
      <c r="G47" s="1069" t="n"/>
      <c r="H47" s="1069" t="n"/>
      <c r="I47" s="1069" t="n"/>
      <c r="J47" s="1069" t="n"/>
      <c r="K47" s="1069" t="n"/>
      <c r="L47" s="1069" t="n"/>
      <c r="M47" s="1069" t="n"/>
      <c r="N47" s="1069" t="n"/>
      <c r="O47" s="1069" t="n"/>
      <c r="P47" s="1069" t="n"/>
      <c r="Q47" s="1069" t="n"/>
      <c r="R47" s="1069" t="n"/>
      <c r="S47" s="1069" t="n"/>
      <c r="T47" s="1069" t="n"/>
      <c r="U47" s="1069" t="n"/>
      <c r="V47" s="1069" t="n"/>
      <c r="W47" s="1069" t="n"/>
      <c r="X47" s="1069" t="n"/>
      <c r="Y47" s="1069" t="n"/>
      <c r="Z47" s="1070" t="n"/>
      <c r="AA47" s="1071" t="n"/>
      <c r="AB47" s="1069" t="n"/>
      <c r="AC47" s="1055">
        <f>(Y47+W47+U47+S47+Q47+O47+M47+K47+I47+G47+AA47)/11</f>
        <v/>
      </c>
      <c r="AD47" s="1056">
        <f>(Z47+X47+V47+T47+R47+P47+N47+L47+J47+H47+AB47)/11</f>
        <v/>
      </c>
      <c r="AE47" s="1069" t="n"/>
      <c r="AF47" s="1069" t="n"/>
      <c r="AG47" s="1057" t="n"/>
      <c r="AH47" s="1057" t="n"/>
      <c r="AI47" s="1057">
        <f>AG47/12</f>
        <v/>
      </c>
      <c r="AJ47" s="1057">
        <f>AH47/12</f>
        <v/>
      </c>
      <c r="AK47" s="1058" t="n"/>
      <c r="AL47" s="1058" t="n"/>
      <c r="AM47" s="1058" t="n"/>
      <c r="AN47" s="1058" t="n"/>
      <c r="AO47" s="1058" t="n"/>
      <c r="AP47" s="1058" t="n"/>
      <c r="AQ47" s="1058" t="n"/>
      <c r="AR47" s="1058" t="n"/>
      <c r="AS47" s="1058" t="n"/>
      <c r="AT47" s="1058" t="n"/>
      <c r="AU47" s="1058" t="n"/>
      <c r="AV47" s="1058" t="n"/>
      <c r="AW47" s="1058" t="n"/>
      <c r="AX47" s="1058" t="n"/>
      <c r="AY47" s="1058" t="n"/>
      <c r="AZ47" s="1058" t="n"/>
      <c r="BA47" s="1058" t="n"/>
      <c r="BB47" s="1058" t="n"/>
      <c r="BC47" s="1058" t="n"/>
      <c r="BD47" s="1058" t="n"/>
      <c r="BE47" s="1058" t="n"/>
      <c r="BF47" s="1058" t="n"/>
      <c r="BG47" s="1058" t="n"/>
      <c r="BH47" s="1058" t="n"/>
      <c r="BI47" s="1058" t="n"/>
      <c r="BJ47" s="1058" t="n"/>
      <c r="BK47" s="1058" t="n"/>
      <c r="BL47" s="1058" t="n"/>
      <c r="BM47" s="1058" t="n"/>
      <c r="BN47" s="1058" t="n"/>
      <c r="BO47" s="1058" t="n"/>
      <c r="BP47" s="1058" t="n"/>
      <c r="BQ47" s="1058" t="n"/>
      <c r="BR47" s="1058" t="n"/>
      <c r="BS47" s="1058" t="n"/>
      <c r="BT47" s="1058" t="n"/>
      <c r="BU47" s="1059" t="n"/>
      <c r="BV47" s="1059" t="n"/>
      <c r="BW47" s="1072" t="n"/>
      <c r="BX47" s="1060">
        <f>BU47/12</f>
        <v/>
      </c>
      <c r="BY47" s="1060">
        <f>BV47/12</f>
        <v/>
      </c>
      <c r="BZ47" s="1060">
        <f>BW47/12</f>
        <v/>
      </c>
      <c r="CA47" s="434">
        <f>BX47/AI47*100-100</f>
        <v/>
      </c>
    </row>
    <row r="48">
      <c r="A48" s="852" t="inlineStr">
        <is>
          <t>Sr .No</t>
        </is>
      </c>
      <c r="B48" s="852" t="inlineStr">
        <is>
          <t xml:space="preserve">Van </t>
        </is>
      </c>
      <c r="C48" s="852" t="inlineStr">
        <is>
          <t>ASM</t>
        </is>
      </c>
      <c r="D48" s="852" t="inlineStr">
        <is>
          <t>Area</t>
        </is>
      </c>
      <c r="E48" s="852" t="inlineStr">
        <is>
          <t xml:space="preserve">Total Outlet </t>
        </is>
      </c>
      <c r="F48" s="852" t="inlineStr">
        <is>
          <t xml:space="preserve">Frequancy </t>
        </is>
      </c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3" t="n"/>
      <c r="AA48" s="1054" t="n"/>
      <c r="AB48" s="1052" t="n"/>
      <c r="AC48" s="1055">
        <f>(Y48+W48+U48+S48+Q48+O48+M48+K48+I48+G48+AA48)/11</f>
        <v/>
      </c>
      <c r="AD48" s="1056">
        <f>(Z48+X48+V48+T48+R48+P48+N48+L48+J48+H48+AB48)/11</f>
        <v/>
      </c>
      <c r="AE48" s="1052" t="n"/>
      <c r="AF48" s="1052" t="n"/>
      <c r="AG48" s="1057" t="n"/>
      <c r="AH48" s="1057" t="n"/>
      <c r="AI48" s="1057">
        <f>AG48/12</f>
        <v/>
      </c>
      <c r="AJ48" s="1057">
        <f>AH48/12</f>
        <v/>
      </c>
      <c r="AK48" s="1058" t="n"/>
      <c r="AL48" s="1058" t="n"/>
      <c r="AM48" s="1058" t="n"/>
      <c r="AN48" s="1058" t="n"/>
      <c r="AO48" s="1058" t="n"/>
      <c r="AP48" s="1058" t="n"/>
      <c r="AQ48" s="1058" t="n"/>
      <c r="AR48" s="1058" t="n"/>
      <c r="AS48" s="1058" t="n"/>
      <c r="AT48" s="1058" t="n"/>
      <c r="AU48" s="1058" t="n"/>
      <c r="AV48" s="1058" t="n"/>
      <c r="AW48" s="1058" t="n"/>
      <c r="AX48" s="1058" t="n"/>
      <c r="AY48" s="1058" t="n"/>
      <c r="AZ48" s="1058" t="n"/>
      <c r="BA48" s="1058" t="n"/>
      <c r="BB48" s="1058" t="n"/>
      <c r="BC48" s="1058" t="n"/>
      <c r="BD48" s="1058" t="n"/>
      <c r="BE48" s="1058" t="n"/>
      <c r="BF48" s="1058" t="n"/>
      <c r="BG48" s="1058" t="n"/>
      <c r="BH48" s="1058" t="n"/>
      <c r="BI48" s="1058" t="n"/>
      <c r="BJ48" s="1058" t="n"/>
      <c r="BK48" s="1058" t="n"/>
      <c r="BL48" s="1058" t="n"/>
      <c r="BM48" s="1058" t="n"/>
      <c r="BN48" s="1058" t="n"/>
      <c r="BO48" s="1058" t="n"/>
      <c r="BP48" s="1058" t="n"/>
      <c r="BQ48" s="1058" t="n"/>
      <c r="BR48" s="1058" t="n"/>
      <c r="BS48" s="1058" t="n"/>
      <c r="BT48" s="1058" t="n"/>
      <c r="BU48" s="1059" t="n"/>
      <c r="BV48" s="1059" t="n"/>
      <c r="BW48" s="1072" t="n"/>
      <c r="BX48" s="1060">
        <f>BU48/12</f>
        <v/>
      </c>
      <c r="BY48" s="1060">
        <f>BV48/12</f>
        <v/>
      </c>
      <c r="BZ48" s="1060">
        <f>BW48/12</f>
        <v/>
      </c>
      <c r="CA48" s="434">
        <f>BX48/AI48*100-100</f>
        <v/>
      </c>
    </row>
    <row r="49">
      <c r="A49" s="852" t="n">
        <v>1</v>
      </c>
      <c r="B49" s="852" t="inlineStr">
        <is>
          <t>Van 1</t>
        </is>
      </c>
      <c r="C49" s="852" t="inlineStr">
        <is>
          <t xml:space="preserve">Ko Kyaw Po Po Win </t>
        </is>
      </c>
      <c r="D49" s="852" t="inlineStr">
        <is>
          <t>YMT,PB,KPT,BG,PKKU,MG</t>
        </is>
      </c>
      <c r="E49" s="852" t="n">
        <v>304</v>
      </c>
      <c r="F49" s="852" t="inlineStr">
        <is>
          <t>F1&amp;F2</t>
        </is>
      </c>
      <c r="G49" s="1052" t="n">
        <v>2066</v>
      </c>
      <c r="H49" s="1052" t="n">
        <v>27201</v>
      </c>
      <c r="I49" s="1052" t="n">
        <v>2509</v>
      </c>
      <c r="J49" s="1052" t="n">
        <v>34409</v>
      </c>
      <c r="K49" s="1052" t="n">
        <v>2849</v>
      </c>
      <c r="L49" s="1052" t="n">
        <v>42280</v>
      </c>
      <c r="M49" s="1052" t="n">
        <v>2900</v>
      </c>
      <c r="N49" s="1052" t="n">
        <v>53252</v>
      </c>
      <c r="O49" s="1052" t="n">
        <v>3500</v>
      </c>
      <c r="P49" s="1052" t="n">
        <v>53804</v>
      </c>
      <c r="Q49" s="1052" t="n">
        <v>3082</v>
      </c>
      <c r="R49" s="1052" t="n">
        <v>47968</v>
      </c>
      <c r="S49" s="1052" t="n">
        <v>3008</v>
      </c>
      <c r="T49" s="1052" t="n">
        <v>53175</v>
      </c>
      <c r="U49" s="1052" t="n">
        <v>4067</v>
      </c>
      <c r="V49" s="1052" t="n">
        <v>62780</v>
      </c>
      <c r="W49" s="1052" t="n">
        <v>2901</v>
      </c>
      <c r="X49" s="1052" t="n">
        <v>50290</v>
      </c>
      <c r="Y49" s="1052" t="n">
        <v>3873</v>
      </c>
      <c r="Z49" s="1053" t="n">
        <v>63620</v>
      </c>
      <c r="AA49" s="1054" t="n">
        <v>3032</v>
      </c>
      <c r="AB49" s="1052" t="n">
        <v>42415</v>
      </c>
      <c r="AC49" s="1055">
        <f>(Y49+W49+U49+S49+Q49+O49+M49+K49+I49+G49+AA49)/11</f>
        <v/>
      </c>
      <c r="AD49" s="1056">
        <f>(Z49+X49+V49+T49+R49+P49+N49+L49+J49+H49+AB49)/11</f>
        <v/>
      </c>
      <c r="AE49" s="1052" t="n">
        <v>3738</v>
      </c>
      <c r="AF49" s="1052" t="n">
        <v>53251</v>
      </c>
      <c r="AG49" s="1057" t="n">
        <v>37525</v>
      </c>
      <c r="AH49" s="1057" t="n">
        <v>584445</v>
      </c>
      <c r="AI49" s="1057">
        <f>AG49/12</f>
        <v/>
      </c>
      <c r="AJ49" s="1057">
        <f>AH49/12</f>
        <v/>
      </c>
      <c r="AK49" s="1058" t="n">
        <v>5969.75</v>
      </c>
      <c r="AL49" s="1058" t="n">
        <v>89005</v>
      </c>
      <c r="AM49" s="1058" t="n">
        <v>60083.68</v>
      </c>
      <c r="AN49" s="1058" t="n">
        <v>4551.345238095239</v>
      </c>
      <c r="AO49" s="1058" t="n">
        <v>71002</v>
      </c>
      <c r="AP49" s="1058" t="n">
        <v>47743.72000000001</v>
      </c>
      <c r="AQ49" s="1058" t="n">
        <v>3096.416666666667</v>
      </c>
      <c r="AR49" s="1058" t="n">
        <v>49364</v>
      </c>
      <c r="AS49" s="1058" t="n">
        <v>35167.03999999999</v>
      </c>
      <c r="AT49" s="1058" t="n">
        <v>2210.708333333333</v>
      </c>
      <c r="AU49" s="1058" t="n">
        <v>36496</v>
      </c>
      <c r="AV49" s="1058" t="n">
        <v>25269.76</v>
      </c>
      <c r="AW49" s="1058" t="n">
        <v>2997.395833333333</v>
      </c>
      <c r="AX49" s="1058" t="n">
        <v>47306</v>
      </c>
      <c r="AY49" s="1058" t="n">
        <v>33577.43</v>
      </c>
      <c r="AZ49" s="1058" t="n">
        <v>2632.416666666667</v>
      </c>
      <c r="BA49" s="1058" t="n">
        <v>42746</v>
      </c>
      <c r="BB49" s="1058" t="n">
        <v>29883.78</v>
      </c>
      <c r="BC49" s="1058" t="n">
        <v>3261.833333333333</v>
      </c>
      <c r="BD49" s="1058" t="n">
        <v>48692</v>
      </c>
      <c r="BE49" s="1058" t="n">
        <v>35518.16</v>
      </c>
      <c r="BF49" s="1058" t="n">
        <v>3080.541666666667</v>
      </c>
      <c r="BG49" s="1058" t="n">
        <v>47776</v>
      </c>
      <c r="BH49" s="1058" t="n">
        <v>35118.71999999999</v>
      </c>
      <c r="BI49" s="1058" t="n">
        <v>2582</v>
      </c>
      <c r="BJ49" s="1058" t="n">
        <v>37922</v>
      </c>
      <c r="BK49" s="1058" t="n">
        <v>28595.36000000001</v>
      </c>
      <c r="BL49" s="1058" t="n">
        <v>3077.345238095238</v>
      </c>
      <c r="BM49" s="1058" t="n">
        <v>42806</v>
      </c>
      <c r="BN49" s="1058" t="n">
        <v>35427.07999999999</v>
      </c>
      <c r="BO49" s="1058" t="n">
        <v>2961</v>
      </c>
      <c r="BP49" s="1058" t="n">
        <v>44494</v>
      </c>
      <c r="BQ49" s="1058" t="n">
        <v>33803.2</v>
      </c>
      <c r="BR49" s="1058" t="n">
        <v>3577</v>
      </c>
      <c r="BS49" s="1058" t="n">
        <v>51728</v>
      </c>
      <c r="BT49" s="1058" t="n">
        <v>39786.55999999999</v>
      </c>
      <c r="BU49" s="1059">
        <f>BR49+BO49+BL49+BI49+BF49+BC49+AZ49+AW49+AT49+AQ49+AN49+AK49</f>
        <v/>
      </c>
      <c r="BV49" s="1059">
        <f>BS49+BP49+BM49+BJ49+BG49+BD49+BA49+AX49+AU49+AR49+AO49+AL49</f>
        <v/>
      </c>
      <c r="BW49" s="1059">
        <f>BT49+BQ49+BN49+BK49+BH49+BE49+BB49+AY49+AV49+AS49+AP49+AM49</f>
        <v/>
      </c>
      <c r="BX49" s="1060">
        <f>BU49/12</f>
        <v/>
      </c>
      <c r="BY49" s="1060">
        <f>BV49/12</f>
        <v/>
      </c>
      <c r="BZ49" s="1060">
        <f>BW49/12</f>
        <v/>
      </c>
      <c r="CA49" s="434">
        <f>BX49/AI49*100-100</f>
        <v/>
      </c>
    </row>
    <row r="50">
      <c r="A50" s="852" t="n">
        <v>2</v>
      </c>
      <c r="B50" s="852" t="inlineStr">
        <is>
          <t>Van 2</t>
        </is>
      </c>
      <c r="C50" s="852" t="inlineStr">
        <is>
          <t xml:space="preserve">Ko Kyaw Po Po Win </t>
        </is>
      </c>
      <c r="D50" s="852" t="inlineStr">
        <is>
          <t>MTL,MH,TZ,WD</t>
        </is>
      </c>
      <c r="E50" s="852" t="n">
        <v>316</v>
      </c>
      <c r="F50" s="852" t="inlineStr">
        <is>
          <t>F1&amp;F2</t>
        </is>
      </c>
      <c r="G50" s="1052" t="n">
        <v>1400</v>
      </c>
      <c r="H50" s="1052" t="n">
        <v>23600</v>
      </c>
      <c r="I50" s="1052" t="n">
        <v>1640</v>
      </c>
      <c r="J50" s="1052" t="n">
        <v>25360</v>
      </c>
      <c r="K50" s="1052" t="n">
        <v>2200</v>
      </c>
      <c r="L50" s="1052" t="n">
        <v>33800</v>
      </c>
      <c r="M50" s="1052" t="n">
        <v>2053</v>
      </c>
      <c r="N50" s="1052" t="n">
        <v>32272</v>
      </c>
      <c r="O50" s="1052" t="n">
        <v>2030</v>
      </c>
      <c r="P50" s="1052" t="n">
        <v>30720</v>
      </c>
      <c r="Q50" s="1052" t="n">
        <v>2000</v>
      </c>
      <c r="R50" s="1052" t="n">
        <v>33094</v>
      </c>
      <c r="S50" s="1052" t="n">
        <v>1684</v>
      </c>
      <c r="T50" s="1052" t="n">
        <v>24776</v>
      </c>
      <c r="U50" s="1052" t="n">
        <v>2150</v>
      </c>
      <c r="V50" s="1052" t="n">
        <v>32609</v>
      </c>
      <c r="W50" s="1052" t="n">
        <v>1088</v>
      </c>
      <c r="X50" s="1052" t="n">
        <v>17113</v>
      </c>
      <c r="Y50" s="1052" t="n">
        <v>1198</v>
      </c>
      <c r="Z50" s="1053" t="n">
        <v>19752</v>
      </c>
      <c r="AA50" s="1054" t="n">
        <v>1585</v>
      </c>
      <c r="AB50" s="1052" t="n">
        <v>21227</v>
      </c>
      <c r="AC50" s="1055">
        <f>(Y50+W50+U50+S50+Q50+O50+M50+K50+I50+G50+AA50)/11</f>
        <v/>
      </c>
      <c r="AD50" s="1056">
        <f>(Z50+X50+V50+T50+R50+P50+N50+L50+J50+H50+AB50)/11</f>
        <v/>
      </c>
      <c r="AE50" s="1052" t="n">
        <v>1899</v>
      </c>
      <c r="AF50" s="1052" t="n">
        <v>28576</v>
      </c>
      <c r="AG50" s="1057" t="n">
        <v>20927</v>
      </c>
      <c r="AH50" s="1057" t="n">
        <v>322899</v>
      </c>
      <c r="AI50" s="1057">
        <f>AG50/12</f>
        <v/>
      </c>
      <c r="AJ50" s="1057">
        <f>AH50/12</f>
        <v/>
      </c>
      <c r="AK50" s="1058" t="n">
        <v>2592.785714285714</v>
      </c>
      <c r="AL50" s="1058" t="n">
        <v>42845</v>
      </c>
      <c r="AM50" s="1058" t="n">
        <v>29777.2</v>
      </c>
      <c r="AN50" s="1058" t="n">
        <v>2250.583333333333</v>
      </c>
      <c r="AO50" s="1058" t="n">
        <v>36535</v>
      </c>
      <c r="AP50" s="1058" t="n">
        <v>25404.52</v>
      </c>
      <c r="AQ50" s="1058" t="n">
        <v>2530.380952380952</v>
      </c>
      <c r="AR50" s="1058" t="n">
        <v>40513</v>
      </c>
      <c r="AS50" s="1058" t="n">
        <v>28907.02</v>
      </c>
      <c r="AT50" s="1058" t="n">
        <v>1800.339285714286</v>
      </c>
      <c r="AU50" s="1058" t="n">
        <v>30138</v>
      </c>
      <c r="AV50" s="1058" t="n">
        <v>20311.39</v>
      </c>
      <c r="AW50" s="1058" t="n">
        <v>2041.994047619047</v>
      </c>
      <c r="AX50" s="1058" t="n">
        <v>33947</v>
      </c>
      <c r="AY50" s="1058" t="n">
        <v>22849.27</v>
      </c>
      <c r="AZ50" s="1058" t="n">
        <v>2272.58630952381</v>
      </c>
      <c r="BA50" s="1058" t="n">
        <v>34259</v>
      </c>
      <c r="BB50" s="1058" t="n">
        <v>22892.26</v>
      </c>
      <c r="BC50" s="1058" t="n">
        <v>2327.065476190476</v>
      </c>
      <c r="BD50" s="1058" t="n">
        <v>33745</v>
      </c>
      <c r="BE50" s="1058" t="n">
        <v>23232.27000000001</v>
      </c>
      <c r="BF50" s="1058" t="n">
        <v>1840.791666666667</v>
      </c>
      <c r="BG50" s="1058" t="n">
        <v>28585</v>
      </c>
      <c r="BH50" s="1058" t="n">
        <v>19379.92</v>
      </c>
      <c r="BI50" s="1058" t="n">
        <v>1822.380952380953</v>
      </c>
      <c r="BJ50" s="1058" t="n">
        <v>27271</v>
      </c>
      <c r="BK50" s="1058" t="n">
        <v>19403.32</v>
      </c>
      <c r="BL50" s="1058" t="n">
        <v>1144.559523809524</v>
      </c>
      <c r="BM50" s="1058" t="n">
        <v>17824</v>
      </c>
      <c r="BN50" s="1058" t="n">
        <v>11979.22</v>
      </c>
      <c r="BO50" s="1058" t="n">
        <v>1424.583333333333</v>
      </c>
      <c r="BP50" s="1058" t="n">
        <v>21525</v>
      </c>
      <c r="BQ50" s="1058" t="n">
        <v>15236.28</v>
      </c>
      <c r="BR50" s="1058" t="n">
        <v>1454.619047619048</v>
      </c>
      <c r="BS50" s="1058" t="n">
        <v>21782</v>
      </c>
      <c r="BT50" s="1058" t="n">
        <v>15362.48</v>
      </c>
      <c r="BU50" s="1059">
        <f>BR50+BO50+BL50+BI50+BF50+BC50+AZ50+AW50+AT50+AQ50+AN50+AK50</f>
        <v/>
      </c>
      <c r="BV50" s="1059">
        <f>BS50+BP50+BM50+BJ50+BG50+BD50+BA50+AX50+AU50+AR50+AO50+AL50</f>
        <v/>
      </c>
      <c r="BW50" s="1059">
        <f>BT50+BQ50+BN50+BK50+BH50+BE50+BB50+AY50+AV50+AS50+AP50+AM50</f>
        <v/>
      </c>
      <c r="BX50" s="1060">
        <f>BU50/12</f>
        <v/>
      </c>
      <c r="BY50" s="1060">
        <f>BV50/12</f>
        <v/>
      </c>
      <c r="BZ50" s="1060">
        <f>BW50/12</f>
        <v/>
      </c>
      <c r="CA50" s="434">
        <f>BX50/AI50*100-100</f>
        <v/>
      </c>
    </row>
    <row r="51">
      <c r="A51" s="853" t="inlineStr">
        <is>
          <t xml:space="preserve">Total Mini+Van Sales Follow Up </t>
        </is>
      </c>
      <c r="B51" s="970" t="n"/>
      <c r="C51" s="970" t="n"/>
      <c r="D51" s="970" t="n"/>
      <c r="E51" s="970" t="n"/>
      <c r="F51" s="971" t="n"/>
      <c r="G51" s="1065" t="n">
        <v>3466</v>
      </c>
      <c r="H51" s="1065" t="n">
        <v>50801</v>
      </c>
      <c r="I51" s="1065" t="n">
        <v>4149</v>
      </c>
      <c r="J51" s="1065" t="n">
        <v>59769</v>
      </c>
      <c r="K51" s="1065" t="n">
        <v>5049</v>
      </c>
      <c r="L51" s="1065" t="n">
        <v>76080</v>
      </c>
      <c r="M51" s="1065" t="n">
        <v>4953</v>
      </c>
      <c r="N51" s="1065" t="n">
        <v>85524</v>
      </c>
      <c r="O51" s="1065" t="n">
        <v>5530</v>
      </c>
      <c r="P51" s="1065" t="n">
        <v>84524</v>
      </c>
      <c r="Q51" s="1065" t="n">
        <v>5082</v>
      </c>
      <c r="R51" s="1065" t="n">
        <v>81062</v>
      </c>
      <c r="S51" s="1065" t="n">
        <v>4692</v>
      </c>
      <c r="T51" s="1065" t="n">
        <v>77951</v>
      </c>
      <c r="U51" s="1065" t="n">
        <v>6217</v>
      </c>
      <c r="V51" s="1065" t="n">
        <v>95389</v>
      </c>
      <c r="W51" s="1065" t="n">
        <v>3989</v>
      </c>
      <c r="X51" s="1065" t="n">
        <v>67403</v>
      </c>
      <c r="Y51" s="1065" t="n">
        <v>5071</v>
      </c>
      <c r="Z51" s="1067" t="n">
        <v>83372</v>
      </c>
      <c r="AA51" s="1068" t="n">
        <v>4617</v>
      </c>
      <c r="AB51" s="1065" t="n">
        <v>63642</v>
      </c>
      <c r="AC51" s="1055">
        <f>(Y51+W51+U51+S51+Q51+O51+M51+K51+I51+G51+AA51)/11</f>
        <v/>
      </c>
      <c r="AD51" s="1056">
        <f>(Z51+X51+V51+T51+R51+P51+N51+L51+J51+H51+AB51)/11</f>
        <v/>
      </c>
      <c r="AE51" s="1065" t="n">
        <v>5637</v>
      </c>
      <c r="AF51" s="1065" t="n">
        <v>81827</v>
      </c>
      <c r="AG51" s="1064" t="n">
        <v>58452</v>
      </c>
      <c r="AH51" s="1064" t="n">
        <v>907344</v>
      </c>
      <c r="AI51" s="1057">
        <f>AG51/12</f>
        <v/>
      </c>
      <c r="AJ51" s="1057">
        <f>AH51/12</f>
        <v/>
      </c>
      <c r="AK51" s="1065" t="n">
        <v>8562.535714285714</v>
      </c>
      <c r="AL51" s="1065" t="n">
        <v>131850</v>
      </c>
      <c r="AM51" s="1065" t="n">
        <v>89860.88</v>
      </c>
      <c r="AN51" s="1065" t="n">
        <v>6801.928571428572</v>
      </c>
      <c r="AO51" s="1065" t="n">
        <v>107537</v>
      </c>
      <c r="AP51" s="1065" t="n">
        <v>73148.24000000001</v>
      </c>
      <c r="AQ51" s="1065" t="n">
        <v>5626.797619047619</v>
      </c>
      <c r="AR51" s="1065" t="n">
        <v>89877</v>
      </c>
      <c r="AS51" s="1065" t="n">
        <v>64074.06</v>
      </c>
      <c r="AT51" s="1065" t="n">
        <v>4011.047619047619</v>
      </c>
      <c r="AU51" s="1065" t="n">
        <v>66634</v>
      </c>
      <c r="AV51" s="1065" t="n">
        <v>45581.14999999999</v>
      </c>
      <c r="AW51" s="1065" t="n">
        <v>5039.389880952381</v>
      </c>
      <c r="AX51" s="1065" t="n">
        <v>81253</v>
      </c>
      <c r="AY51" s="1065" t="n">
        <v>56426.7</v>
      </c>
      <c r="AZ51" s="1065" t="n">
        <v>4905.002976190476</v>
      </c>
      <c r="BA51" s="1065" t="n">
        <v>77005</v>
      </c>
      <c r="BB51" s="1065" t="n">
        <v>52776.03999999999</v>
      </c>
      <c r="BC51" s="1065" t="n">
        <v>5588.898809523809</v>
      </c>
      <c r="BD51" s="1065" t="n">
        <v>82437</v>
      </c>
      <c r="BE51" s="1065" t="n">
        <v>58750.43000000001</v>
      </c>
      <c r="BF51" s="1065" t="n">
        <v>4921.333333333333</v>
      </c>
      <c r="BG51" s="1065" t="n">
        <v>76361</v>
      </c>
      <c r="BH51" s="1065" t="n">
        <v>54498.63999999999</v>
      </c>
      <c r="BI51" s="1065" t="n">
        <v>4404.380952380952</v>
      </c>
      <c r="BJ51" s="1065" t="n">
        <v>65193</v>
      </c>
      <c r="BK51" s="1065" t="n">
        <v>47998.68000000001</v>
      </c>
      <c r="BL51" s="1065" t="n">
        <v>4221.904761904761</v>
      </c>
      <c r="BM51" s="1065" t="n">
        <v>60630</v>
      </c>
      <c r="BN51" s="1065" t="n">
        <v>47406.3</v>
      </c>
      <c r="BO51" s="1065">
        <f>SUM(BO49:BO50)</f>
        <v/>
      </c>
      <c r="BP51" s="1065">
        <f>SUM(BP49:BP50)</f>
        <v/>
      </c>
      <c r="BQ51" s="1065">
        <f>SUM(BQ49:BQ50)</f>
        <v/>
      </c>
      <c r="BR51" s="1065" t="n">
        <v>5031.619047619048</v>
      </c>
      <c r="BS51" s="1065" t="n">
        <v>73510</v>
      </c>
      <c r="BT51" s="1065" t="n">
        <v>55149.03999999999</v>
      </c>
      <c r="BU51" s="1065">
        <f>SUM(BU49:BU50)</f>
        <v/>
      </c>
      <c r="BV51" s="1065">
        <f>SUM(BV49:BV50)</f>
        <v/>
      </c>
      <c r="BW51" s="1065">
        <f>SUM(BW49:BW50)</f>
        <v/>
      </c>
      <c r="BX51" s="1066">
        <f>BU51/12</f>
        <v/>
      </c>
      <c r="BY51" s="1066">
        <f>BV51/12</f>
        <v/>
      </c>
      <c r="BZ51" s="1066">
        <f>BW51/12</f>
        <v/>
      </c>
      <c r="CA51" s="434">
        <f>BX51/AI51*100-100</f>
        <v/>
      </c>
    </row>
    <row r="52" ht="38.25" customFormat="1" customHeight="1" s="401">
      <c r="A52" s="858" t="n"/>
      <c r="B52" s="970" t="n"/>
      <c r="C52" s="970" t="n"/>
      <c r="D52" s="970" t="n"/>
      <c r="E52" s="970" t="n"/>
      <c r="F52" s="971" t="n"/>
      <c r="G52" s="1057" t="n">
        <v>61590</v>
      </c>
      <c r="H52" s="1057" t="n">
        <v>949178</v>
      </c>
      <c r="I52" s="1057" t="n">
        <v>49571</v>
      </c>
      <c r="J52" s="1057" t="n">
        <v>773779</v>
      </c>
      <c r="K52" s="1057" t="n">
        <v>50984</v>
      </c>
      <c r="L52" s="1057" t="n">
        <v>794108</v>
      </c>
      <c r="M52" s="1057" t="n">
        <v>47795</v>
      </c>
      <c r="N52" s="1057" t="n">
        <v>749078</v>
      </c>
      <c r="O52" s="1057" t="n">
        <v>53290</v>
      </c>
      <c r="P52" s="1057" t="n">
        <v>840592</v>
      </c>
      <c r="Q52" s="1057" t="n">
        <v>52420</v>
      </c>
      <c r="R52" s="1057" t="n">
        <v>820396</v>
      </c>
      <c r="S52" s="1057" t="n">
        <v>54899</v>
      </c>
      <c r="T52" s="1057" t="n">
        <v>868137</v>
      </c>
      <c r="U52" s="1057" t="n">
        <v>54905</v>
      </c>
      <c r="V52" s="1057" t="n">
        <v>864657</v>
      </c>
      <c r="W52" s="1057" t="n">
        <v>56780</v>
      </c>
      <c r="X52" s="1057" t="n">
        <v>901641</v>
      </c>
      <c r="Y52" s="1057" t="n">
        <v>59704</v>
      </c>
      <c r="Z52" s="1073" t="n">
        <v>946416</v>
      </c>
      <c r="AA52" s="1074" t="n">
        <v>57497</v>
      </c>
      <c r="AB52" s="1057" t="n">
        <v>917030</v>
      </c>
      <c r="AC52" s="1055">
        <f>(Y52+W52+U52+S52+Q52+O52+M52+K52+I52+G52+AA52)/11</f>
        <v/>
      </c>
      <c r="AD52" s="1056">
        <f>(Z52+X52+V52+T52+R52+P52+N52+L52+J52+H52+AB52)/11</f>
        <v/>
      </c>
      <c r="AE52" s="1057" t="n">
        <v>64662</v>
      </c>
      <c r="AF52" s="1057" t="n">
        <v>1013431</v>
      </c>
      <c r="AG52" s="1057" t="n">
        <v>664097</v>
      </c>
      <c r="AH52" s="1057" t="n">
        <v>10438443</v>
      </c>
      <c r="AI52" s="1057">
        <f>AG52/12</f>
        <v/>
      </c>
      <c r="AJ52" s="1057">
        <f>AH52/12</f>
        <v/>
      </c>
      <c r="AK52" s="1057" t="n">
        <v>61011.53571428571</v>
      </c>
      <c r="AL52" s="1057" t="n">
        <v>965752</v>
      </c>
      <c r="AM52" s="1057" t="n">
        <v>631832.8799999999</v>
      </c>
      <c r="AN52" s="1057" t="n">
        <v>51494.92857142857</v>
      </c>
      <c r="AO52" s="1057" t="n">
        <v>818851</v>
      </c>
      <c r="AP52" s="1057" t="n">
        <v>532828.4800000001</v>
      </c>
      <c r="AQ52" s="1057" t="n">
        <v>64297.44047619047</v>
      </c>
      <c r="AR52" s="1057" t="n">
        <v>1020554</v>
      </c>
      <c r="AS52" s="1057" t="n">
        <v>677348.72</v>
      </c>
      <c r="AT52" s="1057" t="n">
        <v>50054.04761904762</v>
      </c>
      <c r="AU52" s="1057" t="n">
        <v>803099</v>
      </c>
      <c r="AV52" s="1057" t="n">
        <v>524612.25</v>
      </c>
      <c r="AW52" s="1057" t="n">
        <v>56047.59821428572</v>
      </c>
      <c r="AX52" s="1057" t="n">
        <v>888740</v>
      </c>
      <c r="AY52" s="1057" t="n">
        <v>583181.4899999999</v>
      </c>
      <c r="AZ52" s="1057" t="n">
        <v>56044.50297619047</v>
      </c>
      <c r="BA52" s="1057" t="n">
        <v>884247</v>
      </c>
      <c r="BB52" s="1057" t="n">
        <v>578612.4</v>
      </c>
      <c r="BC52" s="1057" t="n">
        <v>54742.89880952381</v>
      </c>
      <c r="BD52" s="1057" t="n">
        <v>863703</v>
      </c>
      <c r="BE52" s="1057" t="n">
        <v>571258.1900000001</v>
      </c>
      <c r="BF52" s="1057" t="n">
        <v>53877.33333333334</v>
      </c>
      <c r="BG52" s="1057" t="n">
        <v>848693</v>
      </c>
      <c r="BH52" s="1057" t="n">
        <v>558733.8399999999</v>
      </c>
      <c r="BI52" s="1057" t="n">
        <v>55617.38095238095</v>
      </c>
      <c r="BJ52" s="1057" t="n">
        <v>866201</v>
      </c>
      <c r="BK52" s="1057" t="n">
        <v>583840.0400000002</v>
      </c>
      <c r="BL52" s="1057" t="n">
        <v>57434.90476190476</v>
      </c>
      <c r="BM52" s="1057" t="n">
        <v>899036</v>
      </c>
      <c r="BN52" s="1057" t="n">
        <v>603753.98</v>
      </c>
      <c r="BO52" s="1057">
        <f>BO51+BO46+BO29</f>
        <v/>
      </c>
      <c r="BP52" s="1057">
        <f>BP51+BP46+BP29</f>
        <v/>
      </c>
      <c r="BQ52" s="1057">
        <f>BQ51+BQ46+BQ29</f>
        <v/>
      </c>
      <c r="BR52" s="1057" t="n">
        <v>60869.61904761905</v>
      </c>
      <c r="BS52" s="1057" t="n">
        <v>956796</v>
      </c>
      <c r="BT52" s="1057" t="n">
        <v>636981.1199999999</v>
      </c>
      <c r="BU52" s="1057">
        <f>BU51+BU46+BU29</f>
        <v/>
      </c>
      <c r="BV52" s="1057">
        <f>BV51+BV46+BV29</f>
        <v/>
      </c>
      <c r="BW52" s="1057">
        <f>BW51+BW46+BW29</f>
        <v/>
      </c>
      <c r="BX52" s="1060">
        <f>BU52/12</f>
        <v/>
      </c>
      <c r="BY52" s="1060">
        <f>BV52/12</f>
        <v/>
      </c>
      <c r="BZ52" s="1060">
        <f>BW52/12</f>
        <v/>
      </c>
      <c r="CA52" s="434">
        <f>BX52/AI52*100-100</f>
        <v/>
      </c>
    </row>
  </sheetData>
  <autoFilter ref="A3:CB52">
    <filterColumn colId="1" hiddenButton="0" showButton="0"/>
    <filterColumn colId="3" hiddenButton="0" showButton="0"/>
  </autoFilter>
  <mergeCells count="37">
    <mergeCell ref="BO2:BQ2"/>
    <mergeCell ref="A46:F46"/>
    <mergeCell ref="B47:F47"/>
    <mergeCell ref="G2:H2"/>
    <mergeCell ref="B3:C3"/>
    <mergeCell ref="I2:J2"/>
    <mergeCell ref="AQ2:AS2"/>
    <mergeCell ref="A2:F2"/>
    <mergeCell ref="M2:N2"/>
    <mergeCell ref="S2:T2"/>
    <mergeCell ref="AN2:AP2"/>
    <mergeCell ref="U2:V2"/>
    <mergeCell ref="BX2:BZ2"/>
    <mergeCell ref="Y2:Z2"/>
    <mergeCell ref="AE2:AF2"/>
    <mergeCell ref="AG2:AH2"/>
    <mergeCell ref="A29:F29"/>
    <mergeCell ref="AT2:AV2"/>
    <mergeCell ref="AZ2:BB2"/>
    <mergeCell ref="A52:F52"/>
    <mergeCell ref="AK2:AM2"/>
    <mergeCell ref="BF2:BH2"/>
    <mergeCell ref="BL2:BN2"/>
    <mergeCell ref="K2:L2"/>
    <mergeCell ref="D3:E3"/>
    <mergeCell ref="AW2:AY2"/>
    <mergeCell ref="A51:F51"/>
    <mergeCell ref="O2:P2"/>
    <mergeCell ref="BR2:BT2"/>
    <mergeCell ref="Q2:R2"/>
    <mergeCell ref="W2:X2"/>
    <mergeCell ref="BC2:BE2"/>
    <mergeCell ref="BI2:BK2"/>
    <mergeCell ref="AA2:AB2"/>
    <mergeCell ref="AC2:AD2"/>
    <mergeCell ref="AI2:AJ2"/>
    <mergeCell ref="BU2:B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DX70"/>
  <sheetViews>
    <sheetView zoomScale="90" zoomScaleNormal="90" workbookViewId="0">
      <pane xSplit="31" ySplit="3" topLeftCell="CK33" activePane="bottomRight" state="frozen"/>
      <selection pane="topRight" activeCell="AF1" sqref="AF1"/>
      <selection pane="bottomLeft" activeCell="A4" sqref="A4"/>
      <selection pane="bottomRight" activeCell="DK30" sqref="DK30"/>
    </sheetView>
  </sheetViews>
  <sheetFormatPr baseColWidth="8" defaultColWidth="10.5546875" defaultRowHeight="19.8"/>
  <cols>
    <col width="3.44140625" bestFit="1" customWidth="1" style="40" min="1" max="1"/>
    <col width="23.44140625" bestFit="1" customWidth="1" style="40" min="2" max="2"/>
    <col width="7.33203125" bestFit="1" customWidth="1" style="40" min="3" max="4"/>
    <col width="5.33203125" bestFit="1" customWidth="1" style="40" min="5" max="5"/>
    <col width="7.6640625" bestFit="1" customWidth="1" style="40" min="6" max="6"/>
    <col width="9.44140625" bestFit="1" customWidth="1" style="40" min="7" max="7"/>
    <col hidden="1" width="9" customWidth="1" style="40" min="8" max="31"/>
    <col width="9" bestFit="1" customWidth="1" style="40" min="32" max="33"/>
    <col hidden="1" width="9" customWidth="1" style="40" min="34" max="57"/>
    <col width="9" bestFit="1" customWidth="1" style="40" min="58" max="59"/>
    <col hidden="1" width="9" customWidth="1" style="40" min="60" max="69"/>
    <col width="9" bestFit="1" customWidth="1" style="40" min="70" max="71"/>
    <col hidden="1" width="9" customWidth="1" style="40" min="72" max="83"/>
    <col hidden="1" width="10.44140625" customWidth="1" style="40" min="84" max="84"/>
    <col hidden="1" width="9" customWidth="1" style="40" min="85" max="85"/>
    <col width="9" bestFit="1" customWidth="1" style="40" min="86" max="89"/>
    <col hidden="1" width="9" customWidth="1" style="1" min="90" max="90"/>
    <col hidden="1" width="9" customWidth="1" style="969" min="91" max="91"/>
    <col hidden="1" width="9" customWidth="1" style="1" min="92" max="92"/>
    <col hidden="1" width="10.109375" customWidth="1" style="42" min="93" max="93"/>
    <col hidden="1" width="10.44140625" customWidth="1" style="1" min="94" max="94"/>
    <col hidden="1" width="10.109375" customWidth="1" style="42" min="95" max="95"/>
    <col hidden="1" width="9" customWidth="1" style="1" min="96" max="96"/>
    <col hidden="1" width="10.109375" customWidth="1" style="42" min="97" max="97"/>
    <col hidden="1" width="9" customWidth="1" style="1" min="98" max="98"/>
    <col hidden="1" width="10.109375" customWidth="1" style="42" min="99" max="99"/>
    <col hidden="1" width="5.33203125" customWidth="1" style="1" min="100" max="100"/>
    <col hidden="1" width="5.33203125" customWidth="1" style="42" min="101" max="101"/>
    <col hidden="1" width="5.33203125" customWidth="1" style="1" min="102" max="102"/>
    <col hidden="1" width="5.33203125" customWidth="1" style="42" min="103" max="103"/>
    <col hidden="1" width="5.33203125" customWidth="1" style="1" min="104" max="104"/>
    <col hidden="1" width="5.33203125" customWidth="1" style="42" min="105" max="105"/>
    <col hidden="1" width="5.33203125" customWidth="1" style="1" min="106" max="106"/>
    <col hidden="1" width="5.33203125" customWidth="1" style="42" min="107" max="107"/>
    <col hidden="1" width="5.33203125" customWidth="1" style="1" min="108" max="108"/>
    <col hidden="1" width="5.33203125" customWidth="1" style="42" min="109" max="109"/>
    <col hidden="1" width="5.33203125" customWidth="1" style="1" min="110" max="110"/>
    <col hidden="1" width="5.33203125" customWidth="1" style="42" min="111" max="111"/>
    <col hidden="1" width="5.33203125" customWidth="1" style="1" min="112" max="112"/>
    <col hidden="1" width="5.33203125" customWidth="1" style="42" min="113" max="113"/>
    <col width="10.6640625" bestFit="1" customWidth="1" style="42" min="114" max="114"/>
    <col width="14.109375" bestFit="1" customWidth="1" style="42" min="115" max="115"/>
    <col width="10.44140625" bestFit="1" customWidth="1" style="1" min="116" max="116"/>
    <col width="10.44140625" bestFit="1" customWidth="1" style="42" min="117" max="117"/>
    <col width="8.6640625" bestFit="1" customWidth="1" style="1" min="118" max="119"/>
    <col width="10.6640625" bestFit="1" customWidth="1" style="1" min="120" max="120"/>
    <col width="8.6640625" bestFit="1" customWidth="1" style="1" min="121" max="121"/>
    <col width="19.33203125" bestFit="1" customWidth="1" style="1" min="122" max="122"/>
    <col width="19" bestFit="1" customWidth="1" style="1" min="123" max="123"/>
    <col width="9.88671875" bestFit="1" customWidth="1" style="1" min="124" max="124"/>
    <col width="12.33203125" bestFit="1" customWidth="1" style="1" min="125" max="125"/>
    <col width="25.5546875" bestFit="1" customWidth="1" style="1" min="126" max="126"/>
    <col width="6.109375" bestFit="1" customWidth="1" style="1" min="127" max="127"/>
    <col width="15.44140625" customWidth="1" style="1" min="128" max="128"/>
    <col width="10.5546875" customWidth="1" style="1" min="129" max="16384"/>
  </cols>
  <sheetData>
    <row r="1">
      <c r="A1" s="830" t="inlineStr">
        <is>
          <t>MTL</t>
        </is>
      </c>
      <c r="B1" s="970" t="n"/>
      <c r="C1" s="970" t="n"/>
      <c r="D1" s="970" t="n"/>
      <c r="E1" s="970" t="n"/>
      <c r="F1" s="970" t="n"/>
      <c r="G1" s="971" t="n"/>
      <c r="H1" s="830" t="n"/>
      <c r="I1" s="830" t="n"/>
      <c r="J1" s="830" t="n"/>
      <c r="K1" s="830" t="n"/>
      <c r="L1" s="830" t="n"/>
      <c r="M1" s="830" t="n"/>
      <c r="N1" s="830" t="n"/>
      <c r="O1" s="830" t="n"/>
      <c r="P1" s="830" t="n"/>
      <c r="Q1" s="830" t="n"/>
      <c r="R1" s="830" t="n"/>
      <c r="S1" s="830" t="n"/>
      <c r="T1" s="830" t="n"/>
      <c r="U1" s="830" t="n"/>
      <c r="V1" s="830" t="n"/>
      <c r="W1" s="830" t="n"/>
      <c r="X1" s="830" t="n"/>
      <c r="Y1" s="830" t="n"/>
      <c r="Z1" s="830" t="n"/>
      <c r="AA1" s="830" t="n"/>
      <c r="AB1" s="830" t="n"/>
      <c r="AC1" s="830" t="n"/>
      <c r="AD1" s="830" t="n"/>
      <c r="AE1" s="830" t="n"/>
      <c r="AF1" s="830" t="n"/>
      <c r="AG1" s="830" t="n"/>
      <c r="AH1" s="830" t="n"/>
      <c r="AI1" s="830" t="n"/>
      <c r="AJ1" s="830" t="n"/>
      <c r="AK1" s="830" t="n"/>
      <c r="AL1" s="830" t="n"/>
      <c r="AM1" s="830" t="n"/>
      <c r="AN1" s="830" t="n"/>
      <c r="AO1" s="830" t="n"/>
      <c r="AP1" s="830" t="n"/>
      <c r="AQ1" s="830" t="n"/>
      <c r="AR1" s="830" t="n"/>
      <c r="AS1" s="830" t="n"/>
      <c r="AT1" s="830" t="n"/>
      <c r="AU1" s="830" t="n"/>
      <c r="AV1" s="830" t="n"/>
      <c r="AW1" s="830" t="n"/>
      <c r="AX1" s="830" t="n"/>
      <c r="AY1" s="830" t="n"/>
      <c r="AZ1" s="830" t="n"/>
      <c r="BA1" s="830" t="n"/>
      <c r="BB1" s="830" t="n"/>
      <c r="BC1" s="830" t="n"/>
      <c r="BD1" s="830" t="n"/>
      <c r="BE1" s="830" t="n"/>
      <c r="BF1" s="830" t="n"/>
      <c r="BG1" s="830" t="n"/>
      <c r="BH1" s="830" t="n">
        <v>0</v>
      </c>
      <c r="BI1" s="830" t="n"/>
      <c r="BJ1" s="830" t="n"/>
      <c r="BK1" s="830" t="n"/>
      <c r="BL1" s="830" t="n"/>
      <c r="BM1" s="830" t="n"/>
      <c r="BN1" s="830" t="n"/>
      <c r="BO1" s="830" t="n"/>
      <c r="BP1" s="830" t="n"/>
      <c r="BQ1" s="830" t="n"/>
      <c r="BR1" s="830" t="n"/>
      <c r="BS1" s="830" t="n"/>
      <c r="BT1" s="830" t="n"/>
      <c r="BU1" s="830" t="n"/>
      <c r="BV1" s="830" t="n"/>
      <c r="BW1" s="830" t="n"/>
      <c r="BX1" s="830" t="n"/>
      <c r="BY1" s="830" t="n"/>
      <c r="BZ1" s="830" t="n"/>
      <c r="CA1" s="830" t="n"/>
      <c r="CB1" s="830" t="n"/>
      <c r="CC1" s="830" t="n"/>
      <c r="CD1" s="830" t="n"/>
      <c r="CE1" s="830" t="n"/>
      <c r="CF1" s="830" t="n"/>
      <c r="CG1" s="830" t="n"/>
      <c r="CH1" s="830" t="n"/>
      <c r="CI1" s="830" t="n"/>
      <c r="CJ1" s="830" t="n"/>
      <c r="CK1" s="830" t="n"/>
      <c r="CL1" s="834" t="n"/>
      <c r="CM1" s="970" t="n"/>
      <c r="CN1" s="970" t="n"/>
      <c r="CO1" s="970" t="n"/>
      <c r="CP1" s="970" t="n"/>
      <c r="CQ1" s="970" t="n"/>
      <c r="CR1" s="970" t="n"/>
      <c r="CS1" s="970" t="n"/>
      <c r="CT1" s="970" t="n"/>
      <c r="CU1" s="970" t="n"/>
      <c r="CV1" s="970" t="n"/>
      <c r="CW1" s="970" t="n"/>
      <c r="CX1" s="970" t="n"/>
      <c r="CY1" s="970" t="n"/>
      <c r="CZ1" s="970" t="n"/>
      <c r="DA1" s="970" t="n"/>
      <c r="DB1" s="970" t="n"/>
      <c r="DC1" s="970" t="n"/>
      <c r="DD1" s="970" t="n"/>
      <c r="DE1" s="970" t="n"/>
      <c r="DF1" s="970" t="n"/>
      <c r="DG1" s="970" t="n"/>
      <c r="DH1" s="970" t="n"/>
      <c r="DI1" s="970" t="n"/>
      <c r="DJ1" s="970" t="n"/>
      <c r="DK1" s="970" t="n"/>
      <c r="DL1" s="970" t="n"/>
      <c r="DM1" s="971" t="n"/>
      <c r="DN1" s="47" t="n"/>
      <c r="DO1" s="47" t="n"/>
      <c r="DP1" s="47" t="n"/>
      <c r="DQ1" s="47" t="n"/>
      <c r="DR1" s="47" t="n"/>
      <c r="DS1" s="47" t="n"/>
      <c r="DT1" s="832" t="inlineStr">
        <is>
          <t>Monthly GAP</t>
        </is>
      </c>
      <c r="DU1" s="970" t="n"/>
      <c r="DV1" s="970" t="n"/>
      <c r="DW1" s="971" t="n"/>
      <c r="DX1" s="832" t="inlineStr">
        <is>
          <t>Actual Sales Gain/ Loss in Carton (last 5 Months)</t>
        </is>
      </c>
    </row>
    <row r="2" ht="18.75" customHeight="1">
      <c r="A2" s="831" t="inlineStr">
        <is>
          <t>Sr.</t>
        </is>
      </c>
      <c r="B2" s="831" t="inlineStr">
        <is>
          <t xml:space="preserve">Product Name </t>
        </is>
      </c>
      <c r="C2" s="831" t="n"/>
      <c r="D2" s="829" t="inlineStr">
        <is>
          <t>Ranking</t>
        </is>
      </c>
      <c r="E2" s="829" t="inlineStr">
        <is>
          <t>ML</t>
        </is>
      </c>
      <c r="F2" s="829" t="inlineStr">
        <is>
          <t xml:space="preserve">Packing </t>
        </is>
      </c>
      <c r="G2" s="829" t="inlineStr">
        <is>
          <t>Sales Price</t>
        </is>
      </c>
      <c r="H2" s="827" t="n">
        <v>44562</v>
      </c>
      <c r="I2" s="971" t="n"/>
      <c r="J2" s="827" t="n">
        <v>44593</v>
      </c>
      <c r="K2" s="971" t="n"/>
      <c r="L2" s="827" t="n">
        <v>44621</v>
      </c>
      <c r="M2" s="971" t="n"/>
      <c r="N2" s="827" t="n">
        <v>44652</v>
      </c>
      <c r="O2" s="971" t="n"/>
      <c r="P2" s="827" t="n">
        <v>44682</v>
      </c>
      <c r="Q2" s="971" t="n"/>
      <c r="R2" s="827" t="n">
        <v>44713</v>
      </c>
      <c r="S2" s="971" t="n"/>
      <c r="T2" s="827" t="n">
        <v>44743</v>
      </c>
      <c r="U2" s="971" t="n"/>
      <c r="V2" s="827" t="n">
        <v>44774</v>
      </c>
      <c r="W2" s="971" t="n"/>
      <c r="X2" s="827" t="n">
        <v>44805</v>
      </c>
      <c r="Y2" s="971" t="n"/>
      <c r="Z2" s="827" t="n">
        <v>44835</v>
      </c>
      <c r="AA2" s="971" t="n"/>
      <c r="AB2" s="827" t="n">
        <v>44866</v>
      </c>
      <c r="AC2" s="971" t="n"/>
      <c r="AD2" s="827" t="n">
        <v>44896</v>
      </c>
      <c r="AE2" s="971" t="n"/>
      <c r="AF2" s="828" t="inlineStr">
        <is>
          <t>2022 Average</t>
        </is>
      </c>
      <c r="AG2" s="971" t="n"/>
      <c r="AH2" s="827" t="n">
        <v>44927</v>
      </c>
      <c r="AI2" s="971" t="n"/>
      <c r="AJ2" s="827" t="n">
        <v>44958</v>
      </c>
      <c r="AK2" s="971" t="n"/>
      <c r="AL2" s="827" t="n">
        <v>44986</v>
      </c>
      <c r="AM2" s="971" t="n"/>
      <c r="AN2" s="827" t="n">
        <v>45017</v>
      </c>
      <c r="AO2" s="971" t="n"/>
      <c r="AP2" s="827" t="n">
        <v>45047</v>
      </c>
      <c r="AQ2" s="971" t="n"/>
      <c r="AR2" s="827" t="n">
        <v>45078</v>
      </c>
      <c r="AS2" s="971" t="n"/>
      <c r="AT2" s="827" t="n">
        <v>45108</v>
      </c>
      <c r="AU2" s="971" t="n"/>
      <c r="AV2" s="827" t="n">
        <v>45139</v>
      </c>
      <c r="AW2" s="971" t="n"/>
      <c r="AX2" s="827" t="n">
        <v>45170</v>
      </c>
      <c r="AY2" s="971" t="n"/>
      <c r="AZ2" s="827" t="n">
        <v>45200</v>
      </c>
      <c r="BA2" s="971" t="n"/>
      <c r="BB2" s="827" t="n">
        <v>45231</v>
      </c>
      <c r="BC2" s="971" t="n"/>
      <c r="BD2" s="827" t="n">
        <v>45261</v>
      </c>
      <c r="BE2" s="971" t="n"/>
      <c r="BF2" s="828" t="inlineStr">
        <is>
          <t>2023 Average</t>
        </is>
      </c>
      <c r="BG2" s="971" t="n"/>
      <c r="BH2" s="827" t="n">
        <v>45292</v>
      </c>
      <c r="BI2" s="971" t="n"/>
      <c r="BJ2" s="827" t="n">
        <v>45323</v>
      </c>
      <c r="BK2" s="971" t="n"/>
      <c r="BL2" s="827" t="n">
        <v>45352</v>
      </c>
      <c r="BM2" s="971" t="n"/>
      <c r="BN2" s="827" t="n">
        <v>45383</v>
      </c>
      <c r="BO2" s="971" t="n"/>
      <c r="BP2" s="827" t="n">
        <v>45413</v>
      </c>
      <c r="BQ2" s="971" t="n"/>
      <c r="BR2" s="827" t="inlineStr">
        <is>
          <t>Jan-May AVG 2024</t>
        </is>
      </c>
      <c r="BS2" s="971" t="n"/>
      <c r="BT2" s="827" t="n">
        <v>45444</v>
      </c>
      <c r="BU2" s="971" t="n"/>
      <c r="BV2" s="827" t="n">
        <v>45474</v>
      </c>
      <c r="BW2" s="971" t="n"/>
      <c r="BX2" s="827" t="n">
        <v>45505</v>
      </c>
      <c r="BY2" s="971" t="n"/>
      <c r="BZ2" s="827" t="n">
        <v>45536</v>
      </c>
      <c r="CA2" s="971" t="n"/>
      <c r="CB2" s="827" t="n">
        <v>45566</v>
      </c>
      <c r="CC2" s="971" t="n"/>
      <c r="CD2" s="827" t="n">
        <v>45597</v>
      </c>
      <c r="CE2" s="971" t="n"/>
      <c r="CF2" s="827" t="n">
        <v>45627</v>
      </c>
      <c r="CG2" s="971" t="n"/>
      <c r="CH2" s="828" t="inlineStr">
        <is>
          <t>2024 Average</t>
        </is>
      </c>
      <c r="CI2" s="971" t="n"/>
      <c r="CJ2" s="829" t="inlineStr">
        <is>
          <t>2024 Average</t>
        </is>
      </c>
      <c r="CK2" s="971" t="n"/>
      <c r="CL2" s="827" t="n">
        <v>45658</v>
      </c>
      <c r="CM2" s="971" t="n"/>
      <c r="CN2" s="827" t="n">
        <v>45689</v>
      </c>
      <c r="CO2" s="971" t="n"/>
      <c r="CP2" s="827" t="n">
        <v>45717</v>
      </c>
      <c r="CQ2" s="971" t="n"/>
      <c r="CR2" s="827" t="n">
        <v>45748</v>
      </c>
      <c r="CS2" s="971" t="n"/>
      <c r="CT2" s="827" t="n">
        <v>45778</v>
      </c>
      <c r="CU2" s="971" t="n"/>
      <c r="CV2" s="827" t="n">
        <v>45809</v>
      </c>
      <c r="CW2" s="971" t="n"/>
      <c r="CX2" s="827" t="n">
        <v>45839</v>
      </c>
      <c r="CY2" s="971" t="n"/>
      <c r="CZ2" s="827" t="n">
        <v>45870</v>
      </c>
      <c r="DA2" s="971" t="n"/>
      <c r="DB2" s="827" t="n">
        <v>45901</v>
      </c>
      <c r="DC2" s="971" t="n"/>
      <c r="DD2" s="827" t="n">
        <v>45931</v>
      </c>
      <c r="DE2" s="971" t="n"/>
      <c r="DF2" s="827" t="n">
        <v>45962</v>
      </c>
      <c r="DG2" s="971" t="n"/>
      <c r="DH2" s="827" t="n">
        <v>45992</v>
      </c>
      <c r="DI2" s="971" t="n"/>
      <c r="DJ2" s="834" t="inlineStr">
        <is>
          <t>Contribution</t>
        </is>
      </c>
      <c r="DK2" s="834" t="inlineStr">
        <is>
          <t>Fly. Contribution</t>
        </is>
      </c>
      <c r="DL2" s="834" t="inlineStr">
        <is>
          <t>2025 Total</t>
        </is>
      </c>
      <c r="DM2" s="971" t="n"/>
      <c r="DN2" s="834" t="inlineStr">
        <is>
          <t>Jan-May AVG 2025</t>
        </is>
      </c>
      <c r="DO2" s="971" t="n"/>
      <c r="DP2" s="47" t="n"/>
      <c r="DQ2" s="833" t="inlineStr">
        <is>
          <t>SKU Wise Difference</t>
        </is>
      </c>
      <c r="DR2" s="48" t="inlineStr">
        <is>
          <t>GOLY Jan-May 24 Vs 25</t>
        </is>
      </c>
      <c r="DS2" s="48" t="inlineStr">
        <is>
          <t>GOLY Jan-Dec 24 Vs 25</t>
        </is>
      </c>
      <c r="DT2" s="832" t="inlineStr">
        <is>
          <t>Litre Wise Difference</t>
        </is>
      </c>
      <c r="DU2" s="971" t="n"/>
      <c r="DV2" s="49" t="inlineStr">
        <is>
          <t>Carton (14Pcs) wise Difference</t>
        </is>
      </c>
      <c r="DW2" s="49" t="n"/>
      <c r="DX2" s="972" t="n"/>
    </row>
    <row r="3" ht="18.75" customHeight="1">
      <c r="A3" s="973" t="n"/>
      <c r="B3" s="973" t="n"/>
      <c r="C3" s="973" t="n"/>
      <c r="D3" s="973" t="n"/>
      <c r="E3" s="973" t="n"/>
      <c r="F3" s="973" t="n"/>
      <c r="G3" s="973" t="n"/>
      <c r="H3" s="827" t="inlineStr">
        <is>
          <t>Bot</t>
        </is>
      </c>
      <c r="I3" s="3" t="inlineStr">
        <is>
          <t>Lit</t>
        </is>
      </c>
      <c r="J3" s="827" t="inlineStr">
        <is>
          <t>Bot</t>
        </is>
      </c>
      <c r="K3" s="3" t="inlineStr">
        <is>
          <t>Lit</t>
        </is>
      </c>
      <c r="L3" s="827" t="inlineStr">
        <is>
          <t>Bot</t>
        </is>
      </c>
      <c r="M3" s="3" t="inlineStr">
        <is>
          <t>Lit</t>
        </is>
      </c>
      <c r="N3" s="827" t="inlineStr">
        <is>
          <t>Bot</t>
        </is>
      </c>
      <c r="O3" s="3" t="inlineStr">
        <is>
          <t>Lit</t>
        </is>
      </c>
      <c r="P3" s="827" t="inlineStr">
        <is>
          <t>Bot</t>
        </is>
      </c>
      <c r="Q3" s="3" t="inlineStr">
        <is>
          <t>Lit</t>
        </is>
      </c>
      <c r="R3" s="827" t="inlineStr">
        <is>
          <t>Bot</t>
        </is>
      </c>
      <c r="S3" s="3" t="inlineStr">
        <is>
          <t>Lit</t>
        </is>
      </c>
      <c r="T3" s="827" t="inlineStr">
        <is>
          <t>Bot</t>
        </is>
      </c>
      <c r="U3" s="3" t="inlineStr">
        <is>
          <t>Lit</t>
        </is>
      </c>
      <c r="V3" s="827" t="inlineStr">
        <is>
          <t>Bot</t>
        </is>
      </c>
      <c r="W3" s="3" t="inlineStr">
        <is>
          <t>Lit</t>
        </is>
      </c>
      <c r="X3" s="827" t="inlineStr">
        <is>
          <t>Bot</t>
        </is>
      </c>
      <c r="Y3" s="3" t="inlineStr">
        <is>
          <t>Lit</t>
        </is>
      </c>
      <c r="Z3" s="827" t="inlineStr">
        <is>
          <t>Bot</t>
        </is>
      </c>
      <c r="AA3" s="3" t="inlineStr">
        <is>
          <t>Lit</t>
        </is>
      </c>
      <c r="AB3" s="827" t="inlineStr">
        <is>
          <t>Bot</t>
        </is>
      </c>
      <c r="AC3" s="3" t="inlineStr">
        <is>
          <t>Lit</t>
        </is>
      </c>
      <c r="AD3" s="827" t="inlineStr">
        <is>
          <t>Bot</t>
        </is>
      </c>
      <c r="AE3" s="3" t="inlineStr">
        <is>
          <t>Lit</t>
        </is>
      </c>
      <c r="AF3" s="828" t="inlineStr">
        <is>
          <t>Bot</t>
        </is>
      </c>
      <c r="AG3" s="5" t="inlineStr">
        <is>
          <t>Lit</t>
        </is>
      </c>
      <c r="AH3" s="827" t="inlineStr">
        <is>
          <t>Bot</t>
        </is>
      </c>
      <c r="AI3" s="3" t="inlineStr">
        <is>
          <t>Lit</t>
        </is>
      </c>
      <c r="AJ3" s="827" t="inlineStr">
        <is>
          <t>Bot</t>
        </is>
      </c>
      <c r="AK3" s="3" t="inlineStr">
        <is>
          <t>Lit</t>
        </is>
      </c>
      <c r="AL3" s="827" t="inlineStr">
        <is>
          <t>Bot</t>
        </is>
      </c>
      <c r="AM3" s="3" t="inlineStr">
        <is>
          <t>Lit</t>
        </is>
      </c>
      <c r="AN3" s="827" t="inlineStr">
        <is>
          <t>Bot</t>
        </is>
      </c>
      <c r="AO3" s="3" t="inlineStr">
        <is>
          <t>Lit</t>
        </is>
      </c>
      <c r="AP3" s="827" t="inlineStr">
        <is>
          <t>Bot</t>
        </is>
      </c>
      <c r="AQ3" s="3" t="inlineStr">
        <is>
          <t>Lit</t>
        </is>
      </c>
      <c r="AR3" s="827" t="inlineStr">
        <is>
          <t>Bot</t>
        </is>
      </c>
      <c r="AS3" s="3" t="inlineStr">
        <is>
          <t>Lit</t>
        </is>
      </c>
      <c r="AT3" s="827" t="inlineStr">
        <is>
          <t>Bot</t>
        </is>
      </c>
      <c r="AU3" s="3" t="inlineStr">
        <is>
          <t>Lit</t>
        </is>
      </c>
      <c r="AV3" s="827" t="inlineStr">
        <is>
          <t>Bot</t>
        </is>
      </c>
      <c r="AW3" s="3" t="inlineStr">
        <is>
          <t>Lit</t>
        </is>
      </c>
      <c r="AX3" s="827" t="inlineStr">
        <is>
          <t>Bot</t>
        </is>
      </c>
      <c r="AY3" s="3" t="inlineStr">
        <is>
          <t>Lit</t>
        </is>
      </c>
      <c r="AZ3" s="827" t="inlineStr">
        <is>
          <t>Bot</t>
        </is>
      </c>
      <c r="BA3" s="3" t="inlineStr">
        <is>
          <t>Lit</t>
        </is>
      </c>
      <c r="BB3" s="827" t="inlineStr">
        <is>
          <t>Bot</t>
        </is>
      </c>
      <c r="BC3" s="3" t="inlineStr">
        <is>
          <t>Lit</t>
        </is>
      </c>
      <c r="BD3" s="827" t="inlineStr">
        <is>
          <t>Bot</t>
        </is>
      </c>
      <c r="BE3" s="3" t="inlineStr">
        <is>
          <t>Lit</t>
        </is>
      </c>
      <c r="BF3" s="828" t="inlineStr">
        <is>
          <t>Bot</t>
        </is>
      </c>
      <c r="BG3" s="5" t="inlineStr">
        <is>
          <t>Lit</t>
        </is>
      </c>
      <c r="BH3" s="827" t="inlineStr">
        <is>
          <t>Bot</t>
        </is>
      </c>
      <c r="BI3" s="3" t="inlineStr">
        <is>
          <t>Lit</t>
        </is>
      </c>
      <c r="BJ3" s="827" t="inlineStr">
        <is>
          <t>Bot</t>
        </is>
      </c>
      <c r="BK3" s="3" t="inlineStr">
        <is>
          <t>Lit</t>
        </is>
      </c>
      <c r="BL3" s="827" t="inlineStr">
        <is>
          <t>Bot</t>
        </is>
      </c>
      <c r="BM3" s="3" t="inlineStr">
        <is>
          <t>Lit</t>
        </is>
      </c>
      <c r="BN3" s="827" t="inlineStr">
        <is>
          <t>Bot</t>
        </is>
      </c>
      <c r="BO3" s="3" t="inlineStr">
        <is>
          <t>Lit</t>
        </is>
      </c>
      <c r="BP3" s="827" t="inlineStr">
        <is>
          <t>Bot</t>
        </is>
      </c>
      <c r="BQ3" s="3" t="inlineStr">
        <is>
          <t>Lit</t>
        </is>
      </c>
      <c r="BR3" s="827" t="inlineStr">
        <is>
          <t>Bot</t>
        </is>
      </c>
      <c r="BS3" s="3" t="inlineStr">
        <is>
          <t>Lit</t>
        </is>
      </c>
      <c r="BT3" s="827" t="inlineStr">
        <is>
          <t>Bot</t>
        </is>
      </c>
      <c r="BU3" s="3" t="inlineStr">
        <is>
          <t>Lit</t>
        </is>
      </c>
      <c r="BV3" s="827" t="inlineStr">
        <is>
          <t>Bot</t>
        </is>
      </c>
      <c r="BW3" s="3" t="inlineStr">
        <is>
          <t>Lit</t>
        </is>
      </c>
      <c r="BX3" s="827" t="inlineStr">
        <is>
          <t>Bot</t>
        </is>
      </c>
      <c r="BY3" s="3" t="inlineStr">
        <is>
          <t>Lit</t>
        </is>
      </c>
      <c r="BZ3" s="827" t="inlineStr">
        <is>
          <t>Bot</t>
        </is>
      </c>
      <c r="CA3" s="3" t="inlineStr">
        <is>
          <t>Lit</t>
        </is>
      </c>
      <c r="CB3" s="827" t="inlineStr">
        <is>
          <t>Bot</t>
        </is>
      </c>
      <c r="CC3" s="3" t="inlineStr">
        <is>
          <t>Lit</t>
        </is>
      </c>
      <c r="CD3" s="827" t="inlineStr">
        <is>
          <t>Bot</t>
        </is>
      </c>
      <c r="CE3" s="3" t="inlineStr">
        <is>
          <t>Lit</t>
        </is>
      </c>
      <c r="CF3" s="827" t="inlineStr">
        <is>
          <t>Bot</t>
        </is>
      </c>
      <c r="CG3" s="3" t="inlineStr">
        <is>
          <t>Lit</t>
        </is>
      </c>
      <c r="CH3" s="828" t="inlineStr">
        <is>
          <t>Bot</t>
        </is>
      </c>
      <c r="CI3" s="5" t="inlineStr">
        <is>
          <t>Lit</t>
        </is>
      </c>
      <c r="CJ3" s="827" t="inlineStr">
        <is>
          <t>Bot</t>
        </is>
      </c>
      <c r="CK3" s="974" t="inlineStr">
        <is>
          <t>Lit</t>
        </is>
      </c>
      <c r="CL3" s="827" t="inlineStr">
        <is>
          <t>Bot</t>
        </is>
      </c>
      <c r="CM3" s="974" t="inlineStr">
        <is>
          <t>Lit</t>
        </is>
      </c>
      <c r="CN3" s="827" t="inlineStr">
        <is>
          <t>Bot</t>
        </is>
      </c>
      <c r="CO3" s="3" t="inlineStr">
        <is>
          <t>Lit</t>
        </is>
      </c>
      <c r="CP3" s="827" t="inlineStr">
        <is>
          <t>Bot</t>
        </is>
      </c>
      <c r="CQ3" s="3" t="inlineStr">
        <is>
          <t>Lit</t>
        </is>
      </c>
      <c r="CR3" s="827" t="inlineStr">
        <is>
          <t>Bot</t>
        </is>
      </c>
      <c r="CS3" s="3" t="inlineStr">
        <is>
          <t>Lit</t>
        </is>
      </c>
      <c r="CT3" s="827" t="inlineStr">
        <is>
          <t>Bot</t>
        </is>
      </c>
      <c r="CU3" s="3" t="inlineStr">
        <is>
          <t>Lit</t>
        </is>
      </c>
      <c r="CV3" s="827" t="inlineStr">
        <is>
          <t>Bot</t>
        </is>
      </c>
      <c r="CW3" s="3" t="inlineStr">
        <is>
          <t>Lit</t>
        </is>
      </c>
      <c r="CX3" s="827" t="inlineStr">
        <is>
          <t>Bot</t>
        </is>
      </c>
      <c r="CY3" s="3" t="inlineStr">
        <is>
          <t>Lit</t>
        </is>
      </c>
      <c r="CZ3" s="827" t="inlineStr">
        <is>
          <t>Bot</t>
        </is>
      </c>
      <c r="DA3" s="3" t="inlineStr">
        <is>
          <t>Lit</t>
        </is>
      </c>
      <c r="DB3" s="827" t="inlineStr">
        <is>
          <t>Bot</t>
        </is>
      </c>
      <c r="DC3" s="3" t="inlineStr">
        <is>
          <t>Lit</t>
        </is>
      </c>
      <c r="DD3" s="827" t="inlineStr">
        <is>
          <t>Bot</t>
        </is>
      </c>
      <c r="DE3" s="3" t="inlineStr">
        <is>
          <t>Lit</t>
        </is>
      </c>
      <c r="DF3" s="827" t="inlineStr">
        <is>
          <t>Bot</t>
        </is>
      </c>
      <c r="DG3" s="3" t="inlineStr">
        <is>
          <t>Lit</t>
        </is>
      </c>
      <c r="DH3" s="827" t="inlineStr">
        <is>
          <t>Bot</t>
        </is>
      </c>
      <c r="DI3" s="3" t="inlineStr">
        <is>
          <t>Lit</t>
        </is>
      </c>
      <c r="DJ3" s="66" t="inlineStr">
        <is>
          <t>Litre</t>
        </is>
      </c>
      <c r="DK3" s="67" t="inlineStr">
        <is>
          <t>Lit</t>
        </is>
      </c>
      <c r="DL3" s="827" t="inlineStr">
        <is>
          <t>Bot</t>
        </is>
      </c>
      <c r="DM3" s="3" t="inlineStr">
        <is>
          <t>Lit</t>
        </is>
      </c>
      <c r="DN3" s="827" t="inlineStr">
        <is>
          <t>Bot</t>
        </is>
      </c>
      <c r="DO3" s="3" t="inlineStr">
        <is>
          <t>Lit</t>
        </is>
      </c>
      <c r="DP3" s="50" t="inlineStr">
        <is>
          <t>Contribution</t>
        </is>
      </c>
      <c r="DQ3" s="973" t="n"/>
      <c r="DR3" s="48" t="inlineStr">
        <is>
          <t>Litre</t>
        </is>
      </c>
      <c r="DS3" s="48" t="inlineStr">
        <is>
          <t>Litre</t>
        </is>
      </c>
      <c r="DT3" s="51" t="inlineStr">
        <is>
          <t>Annual AVG</t>
        </is>
      </c>
      <c r="DU3" s="51" t="inlineStr">
        <is>
          <t>YTD (Jan-May)</t>
        </is>
      </c>
      <c r="DV3" s="51" t="inlineStr">
        <is>
          <t>Annual AVG</t>
        </is>
      </c>
      <c r="DW3" s="51" t="inlineStr">
        <is>
          <t>YTD</t>
        </is>
      </c>
      <c r="DX3" s="973" t="n"/>
    </row>
    <row r="4" ht="20.4" customHeight="1" thickBot="1">
      <c r="A4" s="73" t="n">
        <v>1</v>
      </c>
      <c r="B4" s="74" t="inlineStr">
        <is>
          <t>"Zay" Vodka 700-ml</t>
        </is>
      </c>
      <c r="C4" s="74" t="inlineStr">
        <is>
          <t>ပုလင်း</t>
        </is>
      </c>
      <c r="D4" s="73" t="n">
        <v>22</v>
      </c>
      <c r="E4" s="73" t="n">
        <v>0.7</v>
      </c>
      <c r="F4" s="73" t="inlineStr">
        <is>
          <t>1 * 12</t>
        </is>
      </c>
      <c r="G4" s="73" t="n">
        <v>1870</v>
      </c>
      <c r="H4" s="1075" t="n">
        <v>19961</v>
      </c>
      <c r="I4" s="1076" t="n">
        <v>13972.7</v>
      </c>
      <c r="J4" s="1075" t="n">
        <v>12844</v>
      </c>
      <c r="K4" s="1076" t="n">
        <v>8990.799999999999</v>
      </c>
      <c r="L4" s="1075" t="n">
        <v>22152</v>
      </c>
      <c r="M4" s="1076" t="n">
        <v>15506.4</v>
      </c>
      <c r="N4" s="1075" t="n">
        <v>13368</v>
      </c>
      <c r="O4" s="1076" t="n">
        <v>9357.599999999999</v>
      </c>
      <c r="P4" s="1075" t="n">
        <v>13720</v>
      </c>
      <c r="Q4" s="1076" t="n">
        <v>9604</v>
      </c>
      <c r="R4" s="1075" t="n">
        <v>8880</v>
      </c>
      <c r="S4" s="1076" t="n">
        <v>6216</v>
      </c>
      <c r="T4" s="1075" t="n">
        <v>8208</v>
      </c>
      <c r="U4" s="1076" t="n">
        <v>5745.599999999999</v>
      </c>
      <c r="V4" s="1075" t="n">
        <v>14127</v>
      </c>
      <c r="W4" s="1076" t="n">
        <v>9888.9</v>
      </c>
      <c r="X4" s="1075" t="n">
        <v>6948</v>
      </c>
      <c r="Y4" s="1076" t="n">
        <v>4863.599999999999</v>
      </c>
      <c r="Z4" s="1075" t="n">
        <v>3876</v>
      </c>
      <c r="AA4" s="1076" t="n">
        <v>2713.2</v>
      </c>
      <c r="AB4" s="1075" t="n">
        <v>5580</v>
      </c>
      <c r="AC4" s="1076" t="n">
        <v>3906</v>
      </c>
      <c r="AD4" s="1075" t="n">
        <v>4932</v>
      </c>
      <c r="AE4" s="1076" t="n">
        <v>3452.4</v>
      </c>
      <c r="AF4" s="1077" t="n">
        <v>11216.33333333333</v>
      </c>
      <c r="AG4" s="1078" t="n">
        <v>7851.433333333333</v>
      </c>
      <c r="AH4" s="1075" t="n">
        <v>6960</v>
      </c>
      <c r="AI4" s="1076" t="n">
        <v>4872</v>
      </c>
      <c r="AJ4" s="1075" t="n">
        <v>6120</v>
      </c>
      <c r="AK4" s="1076" t="n">
        <v>4284</v>
      </c>
      <c r="AL4" s="1075" t="n">
        <v>4584</v>
      </c>
      <c r="AM4" s="1076" t="n">
        <v>3208.8</v>
      </c>
      <c r="AN4" s="1075" t="n">
        <v>2172</v>
      </c>
      <c r="AO4" s="1076" t="n">
        <v>1520.4</v>
      </c>
      <c r="AP4" s="1075" t="n">
        <v>3288</v>
      </c>
      <c r="AQ4" s="1076" t="n">
        <v>2301.6</v>
      </c>
      <c r="AR4" s="1075" t="n">
        <v>3060</v>
      </c>
      <c r="AS4" s="1076" t="n">
        <v>2142</v>
      </c>
      <c r="AT4" s="1075" t="n">
        <v>2472</v>
      </c>
      <c r="AU4" s="1076" t="n">
        <v>1730.4</v>
      </c>
      <c r="AV4" s="1075" t="n">
        <v>2232</v>
      </c>
      <c r="AW4" s="1076" t="n">
        <v>1562.4</v>
      </c>
      <c r="AX4" s="1075" t="n">
        <v>1032</v>
      </c>
      <c r="AY4" s="1076" t="n">
        <v>722.4</v>
      </c>
      <c r="AZ4" s="1075" t="n">
        <v>2856</v>
      </c>
      <c r="BA4" s="1076" t="n">
        <v>1999.2</v>
      </c>
      <c r="BB4" s="1075" t="n">
        <v>2235</v>
      </c>
      <c r="BC4" s="1076" t="n">
        <v>1564.5</v>
      </c>
      <c r="BD4" s="1075" t="n">
        <v>3036</v>
      </c>
      <c r="BE4" s="1076" t="n">
        <v>2125.2</v>
      </c>
      <c r="BF4" s="1077" t="n">
        <v>3337.25</v>
      </c>
      <c r="BG4" s="1078" t="n">
        <v>2336.075</v>
      </c>
      <c r="BH4" s="1075" t="n">
        <v>2178</v>
      </c>
      <c r="BI4" s="1076" t="n">
        <v>1524.6</v>
      </c>
      <c r="BJ4" s="1075" t="n">
        <v>2118</v>
      </c>
      <c r="BK4" s="1076" t="n">
        <v>1482.6</v>
      </c>
      <c r="BL4" s="1075" t="n">
        <v>2737</v>
      </c>
      <c r="BM4" s="1076" t="n">
        <v>1915.9</v>
      </c>
      <c r="BN4" s="1075" t="n">
        <v>2268</v>
      </c>
      <c r="BO4" s="1076" t="n">
        <v>1587.6</v>
      </c>
      <c r="BP4" s="1075" t="n">
        <v>1992</v>
      </c>
      <c r="BQ4" s="1076" t="n">
        <v>1394.4</v>
      </c>
      <c r="BR4" s="1079" t="n">
        <v>2258.6</v>
      </c>
      <c r="BS4" s="1076" t="n">
        <v>1581.02</v>
      </c>
      <c r="BT4" s="1075" t="n">
        <v>1452</v>
      </c>
      <c r="BU4" s="1076" t="n">
        <v>1016.4</v>
      </c>
      <c r="BV4" s="1075" t="n">
        <v>2598</v>
      </c>
      <c r="BW4" s="1076" t="n">
        <v>1818.6</v>
      </c>
      <c r="BX4" s="1075" t="n">
        <v>2496</v>
      </c>
      <c r="BY4" s="1076" t="n">
        <v>1747.2</v>
      </c>
      <c r="BZ4" s="1075" t="n">
        <v>1668</v>
      </c>
      <c r="CA4" s="1076" t="n">
        <v>1167.6</v>
      </c>
      <c r="CB4" s="1075" t="n">
        <v>948</v>
      </c>
      <c r="CC4" s="1076" t="n">
        <v>663.5999999999999</v>
      </c>
      <c r="CD4" s="1075" t="n">
        <v>1212</v>
      </c>
      <c r="CE4" s="1076" t="n">
        <v>848.4</v>
      </c>
      <c r="CF4" s="1075" t="n">
        <v>3264</v>
      </c>
      <c r="CG4" s="1076" t="n">
        <v>2284.8</v>
      </c>
      <c r="CH4" s="1077" t="n">
        <v>2077.583333333333</v>
      </c>
      <c r="CI4" s="1078" t="n">
        <v>1454.308333333333</v>
      </c>
      <c r="CJ4" s="1080" t="n">
        <v>2078</v>
      </c>
      <c r="CK4" s="1081" t="n">
        <v>1454.6</v>
      </c>
      <c r="CL4" s="1082" t="n">
        <v>1308</v>
      </c>
      <c r="CM4" s="1076" t="n">
        <v>915.5999999999999</v>
      </c>
      <c r="CN4" s="1082" t="n">
        <v>1860</v>
      </c>
      <c r="CO4" s="83" t="n">
        <v>1302</v>
      </c>
      <c r="CP4" s="1082" t="n">
        <v>840</v>
      </c>
      <c r="CQ4" s="83" t="n">
        <v>588</v>
      </c>
      <c r="CR4" s="1082" t="n">
        <v>358</v>
      </c>
      <c r="CS4" s="83" t="n">
        <v>250.6</v>
      </c>
      <c r="CT4" s="1082" t="n">
        <v>2640</v>
      </c>
      <c r="CU4" s="83" t="n">
        <v>1848</v>
      </c>
      <c r="CV4" s="1082" t="n"/>
      <c r="CW4" s="83" t="n">
        <v>0</v>
      </c>
      <c r="CX4" s="1082" t="n"/>
      <c r="CY4" s="83" t="n">
        <v>0</v>
      </c>
      <c r="CZ4" s="1082" t="n"/>
      <c r="DA4" s="83" t="n">
        <v>0</v>
      </c>
      <c r="DB4" s="1082" t="n"/>
      <c r="DC4" s="83" t="n">
        <v>0</v>
      </c>
      <c r="DD4" s="1082" t="n"/>
      <c r="DE4" s="83" t="n">
        <v>0</v>
      </c>
      <c r="DF4" s="1082" t="n"/>
      <c r="DG4" s="83" t="n">
        <v>0</v>
      </c>
      <c r="DH4" s="1082" t="n">
        <v>0</v>
      </c>
      <c r="DI4" s="83" t="n">
        <v>0</v>
      </c>
      <c r="DJ4" s="83" t="n">
        <v>0.2579907732918819</v>
      </c>
      <c r="DK4" s="83" t="n">
        <v>0.26</v>
      </c>
      <c r="DL4" s="1083" t="n">
        <v>7006</v>
      </c>
      <c r="DM4" s="1084" t="n">
        <v>4904.2</v>
      </c>
      <c r="DN4" s="1085" t="n">
        <v>1401.2</v>
      </c>
      <c r="DO4" s="1085" t="n">
        <v>980.8399999999999</v>
      </c>
      <c r="DP4" s="87" t="n">
        <v>0.1662551240441475</v>
      </c>
      <c r="DQ4" s="88" t="n">
        <v>-0.09173564924773442</v>
      </c>
      <c r="DR4" s="1005" t="n">
        <v>-37.9615691136102</v>
      </c>
      <c r="DS4" s="1005" t="n">
        <v>-32.55625526453011</v>
      </c>
      <c r="DT4" s="90" t="n">
        <v>-473.4683333333335</v>
      </c>
      <c r="DU4" s="90" t="n">
        <v>-600.1799999999998</v>
      </c>
      <c r="DV4" s="90" t="n">
        <v>-33.81916666666667</v>
      </c>
      <c r="DW4" s="90" t="n">
        <v>-42.86999999999999</v>
      </c>
      <c r="DX4" s="90" t="n">
        <v>-214.35</v>
      </c>
    </row>
    <row r="5" ht="20.4" customFormat="1" customHeight="1" s="125" thickBot="1">
      <c r="A5" s="119" t="n"/>
      <c r="B5" s="120" t="n"/>
      <c r="C5" s="120" t="n"/>
      <c r="D5" s="121" t="n"/>
      <c r="E5" s="121" t="n"/>
      <c r="F5" s="121" t="n"/>
      <c r="G5" s="121" t="n"/>
      <c r="H5" s="1086" t="n"/>
      <c r="I5" s="1087" t="n">
        <v>0</v>
      </c>
      <c r="J5" s="1086" t="n"/>
      <c r="K5" s="1087" t="n">
        <v>0</v>
      </c>
      <c r="L5" s="1086" t="n"/>
      <c r="M5" s="1087" t="n">
        <v>0</v>
      </c>
      <c r="N5" s="1086" t="n"/>
      <c r="O5" s="1087" t="n">
        <v>0</v>
      </c>
      <c r="P5" s="1086" t="n"/>
      <c r="Q5" s="1087" t="n">
        <v>0</v>
      </c>
      <c r="R5" s="1086" t="n"/>
      <c r="S5" s="1087" t="n">
        <v>0</v>
      </c>
      <c r="T5" s="1086" t="n"/>
      <c r="U5" s="1087" t="n">
        <v>0</v>
      </c>
      <c r="V5" s="1086" t="n"/>
      <c r="W5" s="1087" t="n">
        <v>0</v>
      </c>
      <c r="X5" s="1086" t="n"/>
      <c r="Y5" s="1087" t="n">
        <v>0</v>
      </c>
      <c r="Z5" s="1086" t="n"/>
      <c r="AA5" s="1087" t="n">
        <v>0</v>
      </c>
      <c r="AB5" s="1086" t="n"/>
      <c r="AC5" s="1087" t="n">
        <v>0</v>
      </c>
      <c r="AD5" s="1086" t="n"/>
      <c r="AE5" s="1087" t="n">
        <v>0</v>
      </c>
      <c r="AF5" s="1086" t="n">
        <v>0</v>
      </c>
      <c r="AG5" s="1087" t="n">
        <v>0</v>
      </c>
      <c r="AH5" s="1086" t="n"/>
      <c r="AI5" s="1087" t="n">
        <v>0</v>
      </c>
      <c r="AJ5" s="1086" t="n"/>
      <c r="AK5" s="1087" t="n">
        <v>0</v>
      </c>
      <c r="AL5" s="1086" t="n"/>
      <c r="AM5" s="1087" t="n">
        <v>0</v>
      </c>
      <c r="AN5" s="1086" t="n"/>
      <c r="AO5" s="1087" t="n">
        <v>0</v>
      </c>
      <c r="AP5" s="1086" t="n"/>
      <c r="AQ5" s="1087" t="n">
        <v>0</v>
      </c>
      <c r="AR5" s="1086" t="n"/>
      <c r="AS5" s="1087" t="n">
        <v>0</v>
      </c>
      <c r="AT5" s="1086" t="n"/>
      <c r="AU5" s="1087" t="n">
        <v>0</v>
      </c>
      <c r="AV5" s="1086" t="n"/>
      <c r="AW5" s="1087" t="n">
        <v>0</v>
      </c>
      <c r="AX5" s="1086" t="n"/>
      <c r="AY5" s="1087" t="n">
        <v>0</v>
      </c>
      <c r="AZ5" s="1086" t="n"/>
      <c r="BA5" s="1087" t="n">
        <v>0</v>
      </c>
      <c r="BB5" s="1086" t="n"/>
      <c r="BC5" s="1087" t="n">
        <v>0</v>
      </c>
      <c r="BD5" s="1086" t="n"/>
      <c r="BE5" s="1087" t="n">
        <v>0</v>
      </c>
      <c r="BF5" s="1086" t="n">
        <v>0</v>
      </c>
      <c r="BG5" s="1087" t="n">
        <v>0</v>
      </c>
      <c r="BH5" s="1086" t="n"/>
      <c r="BI5" s="1087" t="n">
        <v>0</v>
      </c>
      <c r="BJ5" s="1086" t="n"/>
      <c r="BK5" s="1087" t="n">
        <v>0</v>
      </c>
      <c r="BL5" s="1086" t="n"/>
      <c r="BM5" s="1087" t="n">
        <v>0</v>
      </c>
      <c r="BN5" s="1086" t="n"/>
      <c r="BO5" s="1087" t="n">
        <v>0</v>
      </c>
      <c r="BP5" s="1086" t="n"/>
      <c r="BQ5" s="1087" t="n">
        <v>0</v>
      </c>
      <c r="BR5" s="1088">
        <f>BR4</f>
        <v/>
      </c>
      <c r="BS5" s="1088">
        <f>BS4</f>
        <v/>
      </c>
      <c r="BT5" s="1088">
        <f>BT4</f>
        <v/>
      </c>
      <c r="BU5" s="1088">
        <f>BU4</f>
        <v/>
      </c>
      <c r="BV5" s="1088">
        <f>BV4</f>
        <v/>
      </c>
      <c r="BW5" s="1088">
        <f>BW4</f>
        <v/>
      </c>
      <c r="BX5" s="1088">
        <f>BX4</f>
        <v/>
      </c>
      <c r="BY5" s="1088">
        <f>BY4</f>
        <v/>
      </c>
      <c r="BZ5" s="1088">
        <f>BZ4</f>
        <v/>
      </c>
      <c r="CA5" s="1088">
        <f>CA4</f>
        <v/>
      </c>
      <c r="CB5" s="1088">
        <f>CB4</f>
        <v/>
      </c>
      <c r="CC5" s="1088">
        <f>CC4</f>
        <v/>
      </c>
      <c r="CD5" s="1088">
        <f>CD4</f>
        <v/>
      </c>
      <c r="CE5" s="1088">
        <f>CE4</f>
        <v/>
      </c>
      <c r="CF5" s="1088">
        <f>CF4</f>
        <v/>
      </c>
      <c r="CG5" s="1088">
        <f>CG4</f>
        <v/>
      </c>
      <c r="CH5" s="1088">
        <f>CH4</f>
        <v/>
      </c>
      <c r="CI5" s="1088">
        <f>CI4</f>
        <v/>
      </c>
      <c r="CJ5" s="1088">
        <f>CJ4</f>
        <v/>
      </c>
      <c r="CK5" s="1088">
        <f>CK4</f>
        <v/>
      </c>
      <c r="CL5" s="1088">
        <f>CL4</f>
        <v/>
      </c>
      <c r="CM5" s="1088">
        <f>CM4</f>
        <v/>
      </c>
      <c r="CN5" s="1088">
        <f>CN4</f>
        <v/>
      </c>
      <c r="CO5" s="1088">
        <f>CO4</f>
        <v/>
      </c>
      <c r="CP5" s="1088">
        <f>CP4</f>
        <v/>
      </c>
      <c r="CQ5" s="1088">
        <f>CQ4</f>
        <v/>
      </c>
      <c r="CR5" s="1088">
        <f>CR4</f>
        <v/>
      </c>
      <c r="CS5" s="1088">
        <f>CS4</f>
        <v/>
      </c>
      <c r="CT5" s="1088">
        <f>CT4</f>
        <v/>
      </c>
      <c r="CU5" s="1088">
        <f>CU4</f>
        <v/>
      </c>
      <c r="CV5" s="1088">
        <f>CV4</f>
        <v/>
      </c>
      <c r="CW5" s="1088">
        <f>CW4</f>
        <v/>
      </c>
      <c r="CX5" s="1088">
        <f>CX4</f>
        <v/>
      </c>
      <c r="CY5" s="1088">
        <f>CY4</f>
        <v/>
      </c>
      <c r="CZ5" s="1088">
        <f>CZ4</f>
        <v/>
      </c>
      <c r="DA5" s="1088">
        <f>DA4</f>
        <v/>
      </c>
      <c r="DB5" s="1088">
        <f>DB4</f>
        <v/>
      </c>
      <c r="DC5" s="1088">
        <f>DC4</f>
        <v/>
      </c>
      <c r="DD5" s="1088">
        <f>DD4</f>
        <v/>
      </c>
      <c r="DE5" s="1088">
        <f>DE4</f>
        <v/>
      </c>
      <c r="DF5" s="1088">
        <f>DF4</f>
        <v/>
      </c>
      <c r="DG5" s="1088">
        <f>DG4</f>
        <v/>
      </c>
      <c r="DH5" s="1088">
        <f>DH4</f>
        <v/>
      </c>
      <c r="DI5" s="1088">
        <f>DI4</f>
        <v/>
      </c>
      <c r="DJ5" s="214" t="n">
        <v>0.26</v>
      </c>
      <c r="DK5" s="214">
        <f>DK4</f>
        <v/>
      </c>
      <c r="DL5" s="1088">
        <f>DL4</f>
        <v/>
      </c>
      <c r="DM5" s="1088">
        <f>DM4</f>
        <v/>
      </c>
      <c r="DN5" s="1088">
        <f>DN4</f>
        <v/>
      </c>
      <c r="DO5" s="1088">
        <f>DO4</f>
        <v/>
      </c>
      <c r="DP5" s="214">
        <f>DP4</f>
        <v/>
      </c>
      <c r="DQ5" s="214">
        <f>DQ4</f>
        <v/>
      </c>
      <c r="DR5" s="1088">
        <f>DR4</f>
        <v/>
      </c>
      <c r="DS5" s="1088">
        <f>DS4</f>
        <v/>
      </c>
      <c r="DT5" s="1088">
        <f>DT4</f>
        <v/>
      </c>
      <c r="DU5" s="1088">
        <f>DU4</f>
        <v/>
      </c>
      <c r="DV5" s="1088">
        <f>DV4</f>
        <v/>
      </c>
      <c r="DW5" s="1088">
        <f>DW4</f>
        <v/>
      </c>
      <c r="DX5" s="215">
        <f>DX4</f>
        <v/>
      </c>
    </row>
    <row r="6">
      <c r="A6" s="92" t="n">
        <v>3</v>
      </c>
      <c r="B6" s="93" t="inlineStr">
        <is>
          <t>"Zay" (1 Liter)</t>
        </is>
      </c>
      <c r="C6" s="93" t="inlineStr">
        <is>
          <t>‌ကော်ဘူး</t>
        </is>
      </c>
      <c r="D6" s="92" t="n">
        <v>30</v>
      </c>
      <c r="E6" s="92" t="n">
        <v>1</v>
      </c>
      <c r="F6" s="92" t="inlineStr">
        <is>
          <t>1 * 12</t>
        </is>
      </c>
      <c r="G6" s="92" t="n">
        <v>1580</v>
      </c>
      <c r="H6" s="996" t="n">
        <v>972</v>
      </c>
      <c r="I6" s="997" t="n">
        <v>972</v>
      </c>
      <c r="J6" s="996" t="n">
        <v>468</v>
      </c>
      <c r="K6" s="997" t="n">
        <v>468</v>
      </c>
      <c r="L6" s="996" t="n"/>
      <c r="M6" s="997" t="n">
        <v>0</v>
      </c>
      <c r="N6" s="996" t="n">
        <v>420</v>
      </c>
      <c r="O6" s="997" t="n">
        <v>420</v>
      </c>
      <c r="P6" s="996" t="n">
        <v>600</v>
      </c>
      <c r="Q6" s="997" t="n">
        <v>600</v>
      </c>
      <c r="R6" s="996" t="n"/>
      <c r="S6" s="997" t="n">
        <v>0</v>
      </c>
      <c r="T6" s="996" t="n"/>
      <c r="U6" s="997" t="n">
        <v>0</v>
      </c>
      <c r="V6" s="996" t="n">
        <v>420</v>
      </c>
      <c r="W6" s="997" t="n">
        <v>420</v>
      </c>
      <c r="X6" s="996" t="n">
        <v>288</v>
      </c>
      <c r="Y6" s="997" t="n">
        <v>288</v>
      </c>
      <c r="Z6" s="996" t="n">
        <v>180</v>
      </c>
      <c r="AA6" s="997" t="n">
        <v>180</v>
      </c>
      <c r="AB6" s="996" t="n"/>
      <c r="AC6" s="997" t="n">
        <v>0</v>
      </c>
      <c r="AD6" s="996" t="n">
        <v>120</v>
      </c>
      <c r="AE6" s="997" t="n">
        <v>120</v>
      </c>
      <c r="AF6" s="998" t="n">
        <v>289</v>
      </c>
      <c r="AG6" s="999" t="n">
        <v>289</v>
      </c>
      <c r="AH6" s="996" t="n">
        <v>120</v>
      </c>
      <c r="AI6" s="997" t="n">
        <v>120</v>
      </c>
      <c r="AJ6" s="996" t="n"/>
      <c r="AK6" s="997" t="n">
        <v>0</v>
      </c>
      <c r="AL6" s="996" t="n">
        <v>60</v>
      </c>
      <c r="AM6" s="997" t="n">
        <v>60</v>
      </c>
      <c r="AN6" s="996" t="n"/>
      <c r="AO6" s="997" t="n">
        <v>0</v>
      </c>
      <c r="AP6" s="996" t="n">
        <v>300</v>
      </c>
      <c r="AQ6" s="997" t="n">
        <v>300</v>
      </c>
      <c r="AR6" s="996" t="n"/>
      <c r="AS6" s="997" t="n">
        <v>0</v>
      </c>
      <c r="AT6" s="996" t="n"/>
      <c r="AU6" s="997" t="n">
        <v>0</v>
      </c>
      <c r="AV6" s="996" t="n"/>
      <c r="AW6" s="997" t="n">
        <v>0</v>
      </c>
      <c r="AX6" s="996" t="n">
        <v>180</v>
      </c>
      <c r="AY6" s="997" t="n">
        <v>180</v>
      </c>
      <c r="AZ6" s="996" t="n">
        <v>12</v>
      </c>
      <c r="BA6" s="997" t="n">
        <v>12</v>
      </c>
      <c r="BB6" s="996" t="n">
        <v>828</v>
      </c>
      <c r="BC6" s="997" t="n">
        <v>828</v>
      </c>
      <c r="BD6" s="996" t="n">
        <v>600</v>
      </c>
      <c r="BE6" s="997" t="n">
        <v>600</v>
      </c>
      <c r="BF6" s="998" t="n">
        <v>175</v>
      </c>
      <c r="BG6" s="999" t="n">
        <v>175</v>
      </c>
      <c r="BH6" s="996" t="n"/>
      <c r="BI6" s="997" t="n">
        <v>0</v>
      </c>
      <c r="BJ6" s="996" t="n">
        <v>240</v>
      </c>
      <c r="BK6" s="997" t="n">
        <v>240</v>
      </c>
      <c r="BL6" s="996" t="n"/>
      <c r="BM6" s="997" t="n">
        <v>0</v>
      </c>
      <c r="BN6" s="996" t="n"/>
      <c r="BO6" s="997" t="n">
        <v>0</v>
      </c>
      <c r="BP6" s="996" t="n">
        <v>660</v>
      </c>
      <c r="BQ6" s="997" t="n">
        <v>660</v>
      </c>
      <c r="BR6" s="1000" t="n">
        <v>180</v>
      </c>
      <c r="BS6" s="997" t="n">
        <v>180</v>
      </c>
      <c r="BT6" s="996" t="n"/>
      <c r="BU6" s="997" t="n">
        <v>0</v>
      </c>
      <c r="BV6" s="996" t="n"/>
      <c r="BW6" s="997" t="n">
        <v>0</v>
      </c>
      <c r="BX6" s="996" t="n"/>
      <c r="BY6" s="997" t="n">
        <v>0</v>
      </c>
      <c r="BZ6" s="996" t="n"/>
      <c r="CA6" s="997" t="n">
        <v>0</v>
      </c>
      <c r="CB6" s="996" t="n"/>
      <c r="CC6" s="997" t="n">
        <v>0</v>
      </c>
      <c r="CD6" s="996" t="n"/>
      <c r="CE6" s="997" t="n">
        <v>0</v>
      </c>
      <c r="CF6" s="996" t="n"/>
      <c r="CG6" s="997" t="n">
        <v>0</v>
      </c>
      <c r="CH6" s="998" t="n">
        <v>75</v>
      </c>
      <c r="CI6" s="999" t="n">
        <v>75</v>
      </c>
      <c r="CJ6" s="1089" t="n">
        <v>75</v>
      </c>
      <c r="CK6" s="997" t="n">
        <v>75</v>
      </c>
      <c r="CL6" s="1002" t="n"/>
      <c r="CM6" s="997" t="n">
        <v>0</v>
      </c>
      <c r="CN6" s="1002" t="n"/>
      <c r="CO6" s="95" t="n">
        <v>0</v>
      </c>
      <c r="CP6" s="1002" t="n"/>
      <c r="CQ6" s="95" t="n">
        <v>0</v>
      </c>
      <c r="CR6" s="1002" t="n"/>
      <c r="CS6" s="95" t="n">
        <v>0</v>
      </c>
      <c r="CT6" s="1002" t="n"/>
      <c r="CU6" s="95" t="n">
        <v>0</v>
      </c>
      <c r="CV6" s="1002" t="n"/>
      <c r="CW6" s="95" t="n">
        <v>0</v>
      </c>
      <c r="CX6" s="1002" t="n"/>
      <c r="CY6" s="95" t="n">
        <v>0</v>
      </c>
      <c r="CZ6" s="1002" t="n"/>
      <c r="DA6" s="95" t="n">
        <v>0</v>
      </c>
      <c r="DB6" s="1002" t="n"/>
      <c r="DC6" s="95" t="n">
        <v>0</v>
      </c>
      <c r="DD6" s="1002" t="n"/>
      <c r="DE6" s="95" t="n">
        <v>0</v>
      </c>
      <c r="DF6" s="1002" t="n"/>
      <c r="DG6" s="95" t="n">
        <v>0</v>
      </c>
      <c r="DH6" s="1002" t="n"/>
      <c r="DI6" s="95" t="n">
        <v>0</v>
      </c>
      <c r="DJ6" s="95" t="n">
        <v>0.01330481821041467</v>
      </c>
      <c r="DK6" s="95" t="n"/>
      <c r="DL6" s="1003" t="n">
        <v>0</v>
      </c>
      <c r="DM6" s="1001" t="n">
        <v>0</v>
      </c>
      <c r="DN6" s="1090" t="n">
        <v>0</v>
      </c>
      <c r="DO6" s="1090" t="n">
        <v>0</v>
      </c>
      <c r="DP6" s="97" t="n">
        <v>0</v>
      </c>
      <c r="DQ6" s="98" t="n">
        <v>-0.01330481821041467</v>
      </c>
      <c r="DR6" s="1091" t="n">
        <v>-100</v>
      </c>
      <c r="DS6" s="1091" t="n">
        <v>-100</v>
      </c>
      <c r="DT6" s="100" t="n">
        <v>-75</v>
      </c>
      <c r="DU6" s="100" t="n">
        <v>-180</v>
      </c>
      <c r="DV6" s="100" t="n">
        <v>-5.357142857142857</v>
      </c>
      <c r="DW6" s="100" t="n">
        <v>-12.85714285714286</v>
      </c>
      <c r="DX6" s="100" t="n">
        <v>-64.28571428571429</v>
      </c>
    </row>
    <row r="7" ht="20.4" customHeight="1" thickBot="1">
      <c r="A7" s="73" t="n">
        <v>8</v>
      </c>
      <c r="B7" s="74" t="inlineStr">
        <is>
          <t>"Zay" Vodka - 640ml</t>
        </is>
      </c>
      <c r="C7" s="74" t="inlineStr">
        <is>
          <t>ပုလင်း</t>
        </is>
      </c>
      <c r="D7" s="73" t="n">
        <v>2</v>
      </c>
      <c r="E7" s="73" t="n">
        <v>0.64</v>
      </c>
      <c r="F7" s="73" t="inlineStr">
        <is>
          <t>1 * 14</t>
        </is>
      </c>
      <c r="G7" s="73" t="n">
        <v>1230</v>
      </c>
      <c r="H7" s="1075" t="n"/>
      <c r="I7" s="1076" t="n">
        <v>0</v>
      </c>
      <c r="J7" s="1075" t="n"/>
      <c r="K7" s="1076" t="n">
        <v>0</v>
      </c>
      <c r="L7" s="1075" t="n"/>
      <c r="M7" s="1076" t="n">
        <v>0</v>
      </c>
      <c r="N7" s="1075" t="n"/>
      <c r="O7" s="1076" t="n">
        <v>0</v>
      </c>
      <c r="P7" s="1075" t="n"/>
      <c r="Q7" s="1076" t="n">
        <v>0</v>
      </c>
      <c r="R7" s="1075" t="n"/>
      <c r="S7" s="1076" t="n">
        <v>0</v>
      </c>
      <c r="T7" s="1075" t="n"/>
      <c r="U7" s="1076" t="n">
        <v>0</v>
      </c>
      <c r="V7" s="1075" t="n"/>
      <c r="W7" s="1076" t="n">
        <v>0</v>
      </c>
      <c r="X7" s="1075" t="n"/>
      <c r="Y7" s="1076" t="n">
        <v>0</v>
      </c>
      <c r="Z7" s="1075" t="n"/>
      <c r="AA7" s="1076" t="n">
        <v>0</v>
      </c>
      <c r="AB7" s="1075" t="n"/>
      <c r="AC7" s="1076" t="n">
        <v>0</v>
      </c>
      <c r="AD7" s="1075" t="n"/>
      <c r="AE7" s="1076" t="n">
        <v>0</v>
      </c>
      <c r="AF7" s="1077" t="n">
        <v>0</v>
      </c>
      <c r="AG7" s="1078" t="n">
        <v>0</v>
      </c>
      <c r="AH7" s="1075" t="n"/>
      <c r="AI7" s="1076" t="n">
        <v>0</v>
      </c>
      <c r="AJ7" s="1075" t="n"/>
      <c r="AK7" s="1076" t="n">
        <v>0</v>
      </c>
      <c r="AL7" s="1075" t="n"/>
      <c r="AM7" s="1076" t="n">
        <v>0</v>
      </c>
      <c r="AN7" s="1075" t="n"/>
      <c r="AO7" s="1076" t="n">
        <v>0</v>
      </c>
      <c r="AP7" s="1075" t="n"/>
      <c r="AQ7" s="1076" t="n">
        <v>0</v>
      </c>
      <c r="AR7" s="1075" t="n"/>
      <c r="AS7" s="1076" t="n">
        <v>0</v>
      </c>
      <c r="AT7" s="1075" t="n"/>
      <c r="AU7" s="1076" t="n">
        <v>0</v>
      </c>
      <c r="AV7" s="1075" t="n"/>
      <c r="AW7" s="1076" t="n">
        <v>0</v>
      </c>
      <c r="AX7" s="1075" t="n"/>
      <c r="AY7" s="1076" t="n">
        <v>0</v>
      </c>
      <c r="AZ7" s="1075" t="n"/>
      <c r="BA7" s="1076" t="n">
        <v>0</v>
      </c>
      <c r="BB7" s="1075" t="n"/>
      <c r="BC7" s="1076" t="n">
        <v>0</v>
      </c>
      <c r="BD7" s="1075" t="n"/>
      <c r="BE7" s="1076" t="n">
        <v>0</v>
      </c>
      <c r="BF7" s="1077" t="n">
        <v>0</v>
      </c>
      <c r="BG7" s="1078" t="n">
        <v>0</v>
      </c>
      <c r="BH7" s="1075" t="n">
        <v>175070</v>
      </c>
      <c r="BI7" s="1076" t="n">
        <v>112044.8</v>
      </c>
      <c r="BJ7" s="1075" t="n">
        <v>155676</v>
      </c>
      <c r="BK7" s="1076" t="n">
        <v>99632.64</v>
      </c>
      <c r="BL7" s="1075" t="n">
        <v>162568</v>
      </c>
      <c r="BM7" s="1076" t="n">
        <v>104043.52</v>
      </c>
      <c r="BN7" s="1075" t="n">
        <v>148862</v>
      </c>
      <c r="BO7" s="1076" t="n">
        <v>95271.68000000001</v>
      </c>
      <c r="BP7" s="1075" t="n">
        <v>160404</v>
      </c>
      <c r="BQ7" s="1076" t="n">
        <v>102658.56</v>
      </c>
      <c r="BR7" s="1079" t="n">
        <v>160516</v>
      </c>
      <c r="BS7" s="1076" t="n">
        <v>102730.24</v>
      </c>
      <c r="BT7" s="1075" t="n">
        <v>149233</v>
      </c>
      <c r="BU7" s="1076" t="n">
        <v>95509.12</v>
      </c>
      <c r="BV7" s="1075" t="n">
        <v>157353</v>
      </c>
      <c r="BW7" s="1076" t="n">
        <v>100705.92</v>
      </c>
      <c r="BX7" s="1075" t="n">
        <v>179116</v>
      </c>
      <c r="BY7" s="1076" t="n">
        <v>114634.24</v>
      </c>
      <c r="BZ7" s="1075" t="n">
        <v>170683</v>
      </c>
      <c r="CA7" s="1076" t="n">
        <v>109237.12</v>
      </c>
      <c r="CB7" s="1075" t="n">
        <v>185136</v>
      </c>
      <c r="CC7" s="1076" t="n">
        <v>118487.04</v>
      </c>
      <c r="CD7" s="1075" t="n">
        <v>155498</v>
      </c>
      <c r="CE7" s="1076" t="n">
        <v>99518.72</v>
      </c>
      <c r="CF7" s="1075" t="n">
        <v>193405</v>
      </c>
      <c r="CG7" s="1076" t="n">
        <v>123779.2</v>
      </c>
      <c r="CH7" s="1077" t="n">
        <v>166083.6666666667</v>
      </c>
      <c r="CI7" s="1078" t="n">
        <v>106293.5466666667</v>
      </c>
      <c r="CJ7" s="1080" t="n">
        <v>166084</v>
      </c>
      <c r="CK7" s="1076" t="n">
        <v>106293.76</v>
      </c>
      <c r="CL7" s="1082" t="n">
        <v>179189</v>
      </c>
      <c r="CM7" s="1076" t="n">
        <v>114680.96</v>
      </c>
      <c r="CN7" s="1082" t="n">
        <v>156743</v>
      </c>
      <c r="CO7" s="83" t="n">
        <v>100315.52</v>
      </c>
      <c r="CP7" s="1082" t="n">
        <v>209757</v>
      </c>
      <c r="CQ7" s="83" t="n">
        <v>134244.48</v>
      </c>
      <c r="CR7" s="1082" t="n">
        <v>163352</v>
      </c>
      <c r="CS7" s="83" t="n">
        <v>104545.28</v>
      </c>
      <c r="CT7" s="1082" t="n">
        <v>167668</v>
      </c>
      <c r="CU7" s="83" t="n">
        <v>107307.52</v>
      </c>
      <c r="CV7" s="1082" t="n"/>
      <c r="CW7" s="83" t="n">
        <v>0</v>
      </c>
      <c r="CX7" s="1082" t="n"/>
      <c r="CY7" s="83" t="n">
        <v>0</v>
      </c>
      <c r="CZ7" s="1082" t="n"/>
      <c r="DA7" s="83" t="n">
        <v>0</v>
      </c>
      <c r="DB7" s="1082" t="n"/>
      <c r="DC7" s="83" t="n">
        <v>0</v>
      </c>
      <c r="DD7" s="1082" t="n"/>
      <c r="DE7" s="83" t="n">
        <v>0</v>
      </c>
      <c r="DF7" s="1082" t="n"/>
      <c r="DG7" s="83" t="n">
        <v>0</v>
      </c>
      <c r="DH7" s="1082" t="n"/>
      <c r="DI7" s="83" t="n">
        <v>0</v>
      </c>
      <c r="DJ7" s="83" t="n">
        <v>18.85621753786971</v>
      </c>
      <c r="DK7" s="83" t="n">
        <v>18.87</v>
      </c>
      <c r="DL7" s="1083" t="n">
        <v>876709</v>
      </c>
      <c r="DM7" s="1084" t="n">
        <v>561093.76</v>
      </c>
      <c r="DN7" s="1085" t="n">
        <v>175341.8</v>
      </c>
      <c r="DO7" s="1085" t="n">
        <v>112218.752</v>
      </c>
      <c r="DP7" s="87" t="n">
        <v>19.0213924124622</v>
      </c>
      <c r="DQ7" s="88" t="n">
        <v>0.1651748745924912</v>
      </c>
      <c r="DR7" s="1005" t="n">
        <v>9.23633781056094</v>
      </c>
      <c r="DS7" s="1005" t="n">
        <v>5.574379178365945</v>
      </c>
      <c r="DT7" s="90" t="n">
        <v>5925.205333333346</v>
      </c>
      <c r="DU7" s="90" t="n">
        <v>9488.512000000002</v>
      </c>
      <c r="DV7" s="90" t="n">
        <v>423.2289523809533</v>
      </c>
      <c r="DW7" s="90" t="n">
        <v>677.7508571428573</v>
      </c>
      <c r="DX7" s="90" t="n">
        <v>3388.754285714286</v>
      </c>
    </row>
    <row r="8" ht="20.4" customFormat="1" customHeight="1" s="125" thickBot="1">
      <c r="A8" s="119" t="n"/>
      <c r="B8" s="120" t="n"/>
      <c r="C8" s="120" t="n"/>
      <c r="D8" s="121" t="n"/>
      <c r="E8" s="121" t="n"/>
      <c r="F8" s="121" t="n"/>
      <c r="G8" s="121" t="n"/>
      <c r="H8" s="1086" t="n"/>
      <c r="I8" s="1087" t="n">
        <v>0</v>
      </c>
      <c r="J8" s="1086" t="n"/>
      <c r="K8" s="1087" t="n">
        <v>0</v>
      </c>
      <c r="L8" s="1086" t="n"/>
      <c r="M8" s="1087" t="n">
        <v>0</v>
      </c>
      <c r="N8" s="1086" t="n"/>
      <c r="O8" s="1087" t="n">
        <v>0</v>
      </c>
      <c r="P8" s="1086" t="n"/>
      <c r="Q8" s="1087" t="n">
        <v>0</v>
      </c>
      <c r="R8" s="1086" t="n"/>
      <c r="S8" s="1087" t="n">
        <v>0</v>
      </c>
      <c r="T8" s="1086" t="n"/>
      <c r="U8" s="1087" t="n">
        <v>0</v>
      </c>
      <c r="V8" s="1086" t="n"/>
      <c r="W8" s="1087" t="n">
        <v>0</v>
      </c>
      <c r="X8" s="1086" t="n"/>
      <c r="Y8" s="1087" t="n">
        <v>0</v>
      </c>
      <c r="Z8" s="1086" t="n"/>
      <c r="AA8" s="1087" t="n">
        <v>0</v>
      </c>
      <c r="AB8" s="1086" t="n"/>
      <c r="AC8" s="1087" t="n">
        <v>0</v>
      </c>
      <c r="AD8" s="1086" t="n"/>
      <c r="AE8" s="1087" t="n">
        <v>0</v>
      </c>
      <c r="AF8" s="1086" t="n">
        <v>0</v>
      </c>
      <c r="AG8" s="1087" t="n">
        <v>0</v>
      </c>
      <c r="AH8" s="1086" t="n"/>
      <c r="AI8" s="1087" t="n">
        <v>0</v>
      </c>
      <c r="AJ8" s="1086" t="n"/>
      <c r="AK8" s="1087" t="n">
        <v>0</v>
      </c>
      <c r="AL8" s="1086" t="n"/>
      <c r="AM8" s="1087" t="n">
        <v>0</v>
      </c>
      <c r="AN8" s="1086" t="n"/>
      <c r="AO8" s="1087" t="n">
        <v>0</v>
      </c>
      <c r="AP8" s="1086" t="n"/>
      <c r="AQ8" s="1087" t="n">
        <v>0</v>
      </c>
      <c r="AR8" s="1086" t="n"/>
      <c r="AS8" s="1087" t="n">
        <v>0</v>
      </c>
      <c r="AT8" s="1086" t="n"/>
      <c r="AU8" s="1087" t="n">
        <v>0</v>
      </c>
      <c r="AV8" s="1086" t="n"/>
      <c r="AW8" s="1087" t="n">
        <v>0</v>
      </c>
      <c r="AX8" s="1086" t="n"/>
      <c r="AY8" s="1087" t="n">
        <v>0</v>
      </c>
      <c r="AZ8" s="1086" t="n"/>
      <c r="BA8" s="1087" t="n">
        <v>0</v>
      </c>
      <c r="BB8" s="1086" t="n"/>
      <c r="BC8" s="1087" t="n">
        <v>0</v>
      </c>
      <c r="BD8" s="1086" t="n"/>
      <c r="BE8" s="1087" t="n">
        <v>0</v>
      </c>
      <c r="BF8" s="1086" t="n">
        <v>0</v>
      </c>
      <c r="BG8" s="1087" t="n">
        <v>0</v>
      </c>
      <c r="BH8" s="1086" t="n"/>
      <c r="BI8" s="1087" t="n">
        <v>0</v>
      </c>
      <c r="BJ8" s="1086" t="n"/>
      <c r="BK8" s="1087" t="n">
        <v>0</v>
      </c>
      <c r="BL8" s="1086" t="n"/>
      <c r="BM8" s="1087" t="n">
        <v>0</v>
      </c>
      <c r="BN8" s="1086" t="n"/>
      <c r="BO8" s="1087" t="n">
        <v>0</v>
      </c>
      <c r="BP8" s="1086" t="n"/>
      <c r="BQ8" s="1087" t="n">
        <v>0</v>
      </c>
      <c r="BR8" s="1088">
        <f>BR6+BR7</f>
        <v/>
      </c>
      <c r="BS8" s="1088">
        <f>BS6+BS7</f>
        <v/>
      </c>
      <c r="BT8" s="1088">
        <f>BT6+BT7</f>
        <v/>
      </c>
      <c r="BU8" s="1088">
        <f>BU6+BU7</f>
        <v/>
      </c>
      <c r="BV8" s="1088">
        <f>BV6+BV7</f>
        <v/>
      </c>
      <c r="BW8" s="1088">
        <f>BW6+BW7</f>
        <v/>
      </c>
      <c r="BX8" s="1088">
        <f>BX6+BX7</f>
        <v/>
      </c>
      <c r="BY8" s="1088">
        <f>BY6+BY7</f>
        <v/>
      </c>
      <c r="BZ8" s="1088">
        <f>BZ6+BZ7</f>
        <v/>
      </c>
      <c r="CA8" s="1088">
        <f>CA6+CA7</f>
        <v/>
      </c>
      <c r="CB8" s="1088">
        <f>CB6+CB7</f>
        <v/>
      </c>
      <c r="CC8" s="1088">
        <f>CC6+CC7</f>
        <v/>
      </c>
      <c r="CD8" s="1088">
        <f>CD6+CD7</f>
        <v/>
      </c>
      <c r="CE8" s="1088">
        <f>CE6+CE7</f>
        <v/>
      </c>
      <c r="CF8" s="1088">
        <f>CF6+CF7</f>
        <v/>
      </c>
      <c r="CG8" s="1088">
        <f>CG6+CG7</f>
        <v/>
      </c>
      <c r="CH8" s="1088">
        <f>CH6+CH7</f>
        <v/>
      </c>
      <c r="CI8" s="1088">
        <f>CI6+CI7</f>
        <v/>
      </c>
      <c r="CJ8" s="1088">
        <f>CJ6+CJ7</f>
        <v/>
      </c>
      <c r="CK8" s="1088">
        <f>CK6+CK7</f>
        <v/>
      </c>
      <c r="CL8" s="1088">
        <f>CL6+CL7</f>
        <v/>
      </c>
      <c r="CM8" s="1088">
        <f>CM6+CM7</f>
        <v/>
      </c>
      <c r="CN8" s="1088">
        <f>CN6+CN7</f>
        <v/>
      </c>
      <c r="CO8" s="1088">
        <f>CO6+CO7</f>
        <v/>
      </c>
      <c r="CP8" s="1088">
        <f>CP6+CP7</f>
        <v/>
      </c>
      <c r="CQ8" s="1088">
        <f>CQ6+CQ7</f>
        <v/>
      </c>
      <c r="CR8" s="1088">
        <f>CR6+CR7</f>
        <v/>
      </c>
      <c r="CS8" s="1088">
        <f>CS6+CS7</f>
        <v/>
      </c>
      <c r="CT8" s="1088">
        <f>CT6+CT7</f>
        <v/>
      </c>
      <c r="CU8" s="1088">
        <f>CU6+CU7</f>
        <v/>
      </c>
      <c r="CV8" s="1088">
        <f>CV6+CV7</f>
        <v/>
      </c>
      <c r="CW8" s="1088">
        <f>CW6+CW7</f>
        <v/>
      </c>
      <c r="CX8" s="1088">
        <f>CX6+CX7</f>
        <v/>
      </c>
      <c r="CY8" s="1088">
        <f>CY6+CY7</f>
        <v/>
      </c>
      <c r="CZ8" s="1088">
        <f>CZ6+CZ7</f>
        <v/>
      </c>
      <c r="DA8" s="1088">
        <f>DA6+DA7</f>
        <v/>
      </c>
      <c r="DB8" s="1088">
        <f>DB6+DB7</f>
        <v/>
      </c>
      <c r="DC8" s="1088">
        <f>DC6+DC7</f>
        <v/>
      </c>
      <c r="DD8" s="1088">
        <f>DD6+DD7</f>
        <v/>
      </c>
      <c r="DE8" s="1088">
        <f>DE6+DE7</f>
        <v/>
      </c>
      <c r="DF8" s="1088">
        <f>DF6+DF7</f>
        <v/>
      </c>
      <c r="DG8" s="1088">
        <f>DG6+DG7</f>
        <v/>
      </c>
      <c r="DH8" s="1088">
        <f>DH6+DH7</f>
        <v/>
      </c>
      <c r="DI8" s="1088">
        <f>DI6+DI7</f>
        <v/>
      </c>
      <c r="DJ8" s="214">
        <f>SUM(DJ6:DJ7)</f>
        <v/>
      </c>
      <c r="DK8" s="214">
        <f>DK6+DK7</f>
        <v/>
      </c>
      <c r="DL8" s="1088">
        <f>DL6+DL7</f>
        <v/>
      </c>
      <c r="DM8" s="1088">
        <f>DM6+DM7</f>
        <v/>
      </c>
      <c r="DN8" s="1088">
        <f>DN6+DN7</f>
        <v/>
      </c>
      <c r="DO8" s="1088">
        <f>DO6+DO7</f>
        <v/>
      </c>
      <c r="DP8" s="214">
        <f>DP6+DP7</f>
        <v/>
      </c>
      <c r="DQ8" s="214">
        <f>DQ6+DQ7</f>
        <v/>
      </c>
      <c r="DR8" s="1088">
        <f>DR6+DR7</f>
        <v/>
      </c>
      <c r="DS8" s="1088">
        <f>DS6+DS7</f>
        <v/>
      </c>
      <c r="DT8" s="1088">
        <f>DT6+DT7</f>
        <v/>
      </c>
      <c r="DU8" s="1088">
        <f>DU6+DU7</f>
        <v/>
      </c>
      <c r="DV8" s="1088">
        <f>DV6+DV7</f>
        <v/>
      </c>
      <c r="DW8" s="1088">
        <f>DW6+DW7</f>
        <v/>
      </c>
      <c r="DX8" s="215">
        <f>DX6+DX7</f>
        <v/>
      </c>
    </row>
    <row r="9">
      <c r="A9" s="92" t="n">
        <v>11</v>
      </c>
      <c r="B9" s="93" t="inlineStr">
        <is>
          <t>Kaung Kyi (1 Liter)_25%</t>
        </is>
      </c>
      <c r="C9" s="93" t="inlineStr">
        <is>
          <t>‌ကော်ဘူး</t>
        </is>
      </c>
      <c r="D9" s="92" t="n">
        <v>9</v>
      </c>
      <c r="E9" s="92" t="n">
        <v>1</v>
      </c>
      <c r="F9" s="92" t="inlineStr">
        <is>
          <t>1 * 12</t>
        </is>
      </c>
      <c r="G9" s="92" t="n">
        <v>1530</v>
      </c>
      <c r="H9" s="996" t="n">
        <v>8475</v>
      </c>
      <c r="I9" s="997" t="n">
        <v>8475</v>
      </c>
      <c r="J9" s="996" t="n">
        <v>7344</v>
      </c>
      <c r="K9" s="997" t="n">
        <v>7344</v>
      </c>
      <c r="L9" s="996" t="n">
        <v>14040</v>
      </c>
      <c r="M9" s="997" t="n">
        <v>14040</v>
      </c>
      <c r="N9" s="996" t="n">
        <v>10788</v>
      </c>
      <c r="O9" s="997" t="n">
        <v>10788</v>
      </c>
      <c r="P9" s="996" t="n">
        <v>5844</v>
      </c>
      <c r="Q9" s="997" t="n">
        <v>5844</v>
      </c>
      <c r="R9" s="996" t="n">
        <v>7104</v>
      </c>
      <c r="S9" s="997" t="n">
        <v>7104</v>
      </c>
      <c r="T9" s="996" t="n">
        <v>10047</v>
      </c>
      <c r="U9" s="997" t="n">
        <v>10047</v>
      </c>
      <c r="V9" s="996" t="n">
        <v>12900</v>
      </c>
      <c r="W9" s="997" t="n">
        <v>12900</v>
      </c>
      <c r="X9" s="996" t="n">
        <v>8244</v>
      </c>
      <c r="Y9" s="997" t="n">
        <v>8244</v>
      </c>
      <c r="Z9" s="996" t="n">
        <v>9120</v>
      </c>
      <c r="AA9" s="997" t="n">
        <v>9120</v>
      </c>
      <c r="AB9" s="996" t="n">
        <v>13236</v>
      </c>
      <c r="AC9" s="997" t="n">
        <v>13236</v>
      </c>
      <c r="AD9" s="996" t="n">
        <v>10632</v>
      </c>
      <c r="AE9" s="997" t="n">
        <v>10632</v>
      </c>
      <c r="AF9" s="998" t="n">
        <v>9814.5</v>
      </c>
      <c r="AG9" s="999" t="n">
        <v>9814.5</v>
      </c>
      <c r="AH9" s="996" t="n">
        <v>12312</v>
      </c>
      <c r="AI9" s="997" t="n">
        <v>12312</v>
      </c>
      <c r="AJ9" s="996" t="n">
        <v>6684</v>
      </c>
      <c r="AK9" s="997" t="n">
        <v>6684</v>
      </c>
      <c r="AL9" s="996" t="n">
        <v>12432</v>
      </c>
      <c r="AM9" s="997" t="n">
        <v>12432</v>
      </c>
      <c r="AN9" s="996" t="n">
        <v>12108</v>
      </c>
      <c r="AO9" s="997" t="n">
        <v>12108</v>
      </c>
      <c r="AP9" s="996" t="n">
        <v>12456</v>
      </c>
      <c r="AQ9" s="997" t="n">
        <v>12456</v>
      </c>
      <c r="AR9" s="996" t="n">
        <v>13150</v>
      </c>
      <c r="AS9" s="997" t="n">
        <v>13150</v>
      </c>
      <c r="AT9" s="996" t="n">
        <v>15358</v>
      </c>
      <c r="AU9" s="997" t="n">
        <v>15358</v>
      </c>
      <c r="AV9" s="996" t="n">
        <v>10075</v>
      </c>
      <c r="AW9" s="997" t="n">
        <v>10075</v>
      </c>
      <c r="AX9" s="996" t="n">
        <v>13018</v>
      </c>
      <c r="AY9" s="997" t="n">
        <v>13018</v>
      </c>
      <c r="AZ9" s="996" t="n">
        <v>10356</v>
      </c>
      <c r="BA9" s="997" t="n">
        <v>10356</v>
      </c>
      <c r="BB9" s="996" t="n">
        <v>16800</v>
      </c>
      <c r="BC9" s="997" t="n">
        <v>16800</v>
      </c>
      <c r="BD9" s="996" t="n">
        <v>16884</v>
      </c>
      <c r="BE9" s="997" t="n">
        <v>16884</v>
      </c>
      <c r="BF9" s="998" t="n">
        <v>12636.08333333333</v>
      </c>
      <c r="BG9" s="999" t="n">
        <v>12636.08333333333</v>
      </c>
      <c r="BH9" s="996" t="n">
        <v>15300</v>
      </c>
      <c r="BI9" s="997" t="n">
        <v>15300</v>
      </c>
      <c r="BJ9" s="996" t="n">
        <v>13344</v>
      </c>
      <c r="BK9" s="997" t="n">
        <v>13344</v>
      </c>
      <c r="BL9" s="996" t="n">
        <v>11724</v>
      </c>
      <c r="BM9" s="997" t="n">
        <v>11724</v>
      </c>
      <c r="BN9" s="996" t="n">
        <v>18996</v>
      </c>
      <c r="BO9" s="997" t="n">
        <v>18996</v>
      </c>
      <c r="BP9" s="996" t="n">
        <v>9228</v>
      </c>
      <c r="BQ9" s="997" t="n">
        <v>9228</v>
      </c>
      <c r="BR9" s="1000" t="n">
        <v>13718.4</v>
      </c>
      <c r="BS9" s="997" t="n">
        <v>13718.4</v>
      </c>
      <c r="BT9" s="996" t="n">
        <v>13296</v>
      </c>
      <c r="BU9" s="997" t="n">
        <v>13296</v>
      </c>
      <c r="BV9" s="996" t="n">
        <v>18504</v>
      </c>
      <c r="BW9" s="997" t="n">
        <v>18504</v>
      </c>
      <c r="BX9" s="996" t="n">
        <v>21840</v>
      </c>
      <c r="BY9" s="997" t="n">
        <v>21840</v>
      </c>
      <c r="BZ9" s="996" t="n">
        <v>19896</v>
      </c>
      <c r="CA9" s="997" t="n">
        <v>19896</v>
      </c>
      <c r="CB9" s="996" t="n">
        <v>28848</v>
      </c>
      <c r="CC9" s="997" t="n">
        <v>28848</v>
      </c>
      <c r="CD9" s="996" t="n">
        <v>25560</v>
      </c>
      <c r="CE9" s="997" t="n">
        <v>25560</v>
      </c>
      <c r="CF9" s="996" t="n">
        <v>36288</v>
      </c>
      <c r="CG9" s="997" t="n">
        <v>36288</v>
      </c>
      <c r="CH9" s="998" t="n">
        <v>19402</v>
      </c>
      <c r="CI9" s="999" t="n">
        <v>19402</v>
      </c>
      <c r="CJ9" s="1089" t="n">
        <v>19402</v>
      </c>
      <c r="CK9" s="997" t="n">
        <v>19402</v>
      </c>
      <c r="CL9" s="1002" t="n">
        <v>33792</v>
      </c>
      <c r="CM9" s="997" t="n">
        <v>33792</v>
      </c>
      <c r="CN9" s="1002" t="n">
        <v>20238</v>
      </c>
      <c r="CO9" s="95" t="n">
        <v>20238</v>
      </c>
      <c r="CP9" s="1002" t="n">
        <v>48540</v>
      </c>
      <c r="CQ9" s="95" t="n">
        <v>48540</v>
      </c>
      <c r="CR9" s="1002" t="n">
        <v>22764</v>
      </c>
      <c r="CS9" s="95" t="n">
        <v>22764</v>
      </c>
      <c r="CT9" s="1002" t="n">
        <v>26844</v>
      </c>
      <c r="CU9" s="95" t="n">
        <v>26844</v>
      </c>
      <c r="CV9" s="1002" t="n"/>
      <c r="CW9" s="95" t="n">
        <v>0</v>
      </c>
      <c r="CX9" s="1002" t="n"/>
      <c r="CY9" s="95" t="n">
        <v>0</v>
      </c>
      <c r="CZ9" s="1002" t="n"/>
      <c r="DA9" s="95" t="n">
        <v>0</v>
      </c>
      <c r="DB9" s="1002" t="n"/>
      <c r="DC9" s="95" t="n">
        <v>0</v>
      </c>
      <c r="DD9" s="1002" t="n"/>
      <c r="DE9" s="95" t="n">
        <v>0</v>
      </c>
      <c r="DF9" s="1002" t="n"/>
      <c r="DG9" s="95" t="n">
        <v>0</v>
      </c>
      <c r="DH9" s="1002" t="n"/>
      <c r="DI9" s="95" t="n">
        <v>0</v>
      </c>
      <c r="DJ9" s="95" t="n">
        <v>3.441867772246206</v>
      </c>
      <c r="DK9" s="95" t="n"/>
      <c r="DL9" s="1003" t="n">
        <v>152178</v>
      </c>
      <c r="DM9" s="1001" t="n">
        <v>152178</v>
      </c>
      <c r="DN9" s="1090" t="n">
        <v>30435.6</v>
      </c>
      <c r="DO9" s="1090" t="n">
        <v>30435.6</v>
      </c>
      <c r="DP9" s="97" t="n">
        <v>5.15891934806702</v>
      </c>
      <c r="DQ9" s="98" t="n">
        <v>1.717051575820813</v>
      </c>
      <c r="DR9" s="1091" t="n">
        <v>121.8596920923723</v>
      </c>
      <c r="DS9" s="1091" t="n">
        <v>56.86836408617668</v>
      </c>
      <c r="DT9" s="100" t="n">
        <v>11033.6</v>
      </c>
      <c r="DU9" s="100" t="n">
        <v>16717.2</v>
      </c>
      <c r="DV9" s="100" t="n">
        <v>788.1142857142856</v>
      </c>
      <c r="DW9" s="100" t="n">
        <v>1194.085714285714</v>
      </c>
      <c r="DX9" s="100" t="n">
        <v>5970.428571428571</v>
      </c>
    </row>
    <row r="10">
      <c r="A10" s="7" t="n">
        <v>13</v>
      </c>
      <c r="B10" s="8" t="inlineStr">
        <is>
          <t>Kaung Kyi (0.6 Liter)_25%</t>
        </is>
      </c>
      <c r="C10" s="8" t="inlineStr">
        <is>
          <t>‌ကော်ဘူး</t>
        </is>
      </c>
      <c r="D10" s="7" t="n">
        <v>23</v>
      </c>
      <c r="E10" s="7" t="n">
        <v>0.6</v>
      </c>
      <c r="F10" s="7" t="inlineStr">
        <is>
          <t>1 * 12</t>
        </is>
      </c>
      <c r="G10" s="7" t="n">
        <v>1090</v>
      </c>
      <c r="H10" s="975" t="n">
        <v>1824</v>
      </c>
      <c r="I10" s="976" t="n">
        <v>1094.4</v>
      </c>
      <c r="J10" s="975" t="n">
        <v>1464</v>
      </c>
      <c r="K10" s="976" t="n">
        <v>878.4</v>
      </c>
      <c r="L10" s="975" t="n">
        <v>3360</v>
      </c>
      <c r="M10" s="976" t="n">
        <v>2016</v>
      </c>
      <c r="N10" s="975" t="n">
        <v>3240</v>
      </c>
      <c r="O10" s="976" t="n">
        <v>1944</v>
      </c>
      <c r="P10" s="975" t="n">
        <v>660</v>
      </c>
      <c r="Q10" s="976" t="n">
        <v>396</v>
      </c>
      <c r="R10" s="975" t="n">
        <v>720</v>
      </c>
      <c r="S10" s="976" t="n">
        <v>432</v>
      </c>
      <c r="T10" s="975" t="n">
        <v>1056</v>
      </c>
      <c r="U10" s="976" t="n">
        <v>633.6</v>
      </c>
      <c r="V10" s="975" t="n">
        <v>1224</v>
      </c>
      <c r="W10" s="976" t="n">
        <v>734.4</v>
      </c>
      <c r="X10" s="975" t="n">
        <v>852</v>
      </c>
      <c r="Y10" s="976" t="n">
        <v>511.2</v>
      </c>
      <c r="Z10" s="975" t="n">
        <v>480</v>
      </c>
      <c r="AA10" s="976" t="n">
        <v>288</v>
      </c>
      <c r="AB10" s="975" t="n">
        <v>744</v>
      </c>
      <c r="AC10" s="976" t="n">
        <v>446.4</v>
      </c>
      <c r="AD10" s="975" t="n">
        <v>1608</v>
      </c>
      <c r="AE10" s="976" t="n">
        <v>964.8</v>
      </c>
      <c r="AF10" s="977" t="n">
        <v>1436</v>
      </c>
      <c r="AG10" s="978" t="n">
        <v>861.6</v>
      </c>
      <c r="AH10" s="975" t="n">
        <v>1488</v>
      </c>
      <c r="AI10" s="976" t="n">
        <v>892.8</v>
      </c>
      <c r="AJ10" s="975" t="n">
        <v>492</v>
      </c>
      <c r="AK10" s="976" t="n">
        <v>295.2</v>
      </c>
      <c r="AL10" s="975" t="n">
        <v>552</v>
      </c>
      <c r="AM10" s="976" t="n">
        <v>331.2</v>
      </c>
      <c r="AN10" s="975" t="n">
        <v>600</v>
      </c>
      <c r="AO10" s="976" t="n">
        <v>360</v>
      </c>
      <c r="AP10" s="975" t="n">
        <v>780</v>
      </c>
      <c r="AQ10" s="976" t="n">
        <v>468</v>
      </c>
      <c r="AR10" s="975" t="n">
        <v>648</v>
      </c>
      <c r="AS10" s="976" t="n">
        <v>388.8</v>
      </c>
      <c r="AT10" s="975" t="n">
        <v>564</v>
      </c>
      <c r="AU10" s="976" t="n">
        <v>338.4</v>
      </c>
      <c r="AV10" s="975" t="n">
        <v>636</v>
      </c>
      <c r="AW10" s="976" t="n">
        <v>381.6</v>
      </c>
      <c r="AX10" s="975" t="n">
        <v>600</v>
      </c>
      <c r="AY10" s="976" t="n">
        <v>360</v>
      </c>
      <c r="AZ10" s="975" t="n">
        <v>876</v>
      </c>
      <c r="BA10" s="976" t="n">
        <v>525.6</v>
      </c>
      <c r="BB10" s="975" t="n">
        <v>720</v>
      </c>
      <c r="BC10" s="976" t="n">
        <v>432</v>
      </c>
      <c r="BD10" s="975" t="n">
        <v>576</v>
      </c>
      <c r="BE10" s="976" t="n">
        <v>345.6</v>
      </c>
      <c r="BF10" s="977" t="n">
        <v>711</v>
      </c>
      <c r="BG10" s="978" t="n">
        <v>426.6</v>
      </c>
      <c r="BH10" s="975" t="n">
        <v>900</v>
      </c>
      <c r="BI10" s="976" t="n">
        <v>540</v>
      </c>
      <c r="BJ10" s="975" t="n">
        <v>564</v>
      </c>
      <c r="BK10" s="976" t="n">
        <v>338.4</v>
      </c>
      <c r="BL10" s="975" t="n">
        <v>744</v>
      </c>
      <c r="BM10" s="976" t="n">
        <v>446.4</v>
      </c>
      <c r="BN10" s="975" t="n">
        <v>612</v>
      </c>
      <c r="BO10" s="976" t="n">
        <v>367.2</v>
      </c>
      <c r="BP10" s="975" t="n">
        <v>12</v>
      </c>
      <c r="BQ10" s="976" t="n">
        <v>7.199999999999999</v>
      </c>
      <c r="BR10" s="979" t="n">
        <v>566.4</v>
      </c>
      <c r="BS10" s="976" t="n">
        <v>339.84</v>
      </c>
      <c r="BT10" s="975" t="n">
        <v>336</v>
      </c>
      <c r="BU10" s="976" t="n">
        <v>201.6</v>
      </c>
      <c r="BV10" s="975" t="n">
        <v>408</v>
      </c>
      <c r="BW10" s="976" t="n">
        <v>244.8</v>
      </c>
      <c r="BX10" s="975" t="n">
        <v>336</v>
      </c>
      <c r="BY10" s="976" t="n">
        <v>201.6</v>
      </c>
      <c r="BZ10" s="975" t="n">
        <v>840</v>
      </c>
      <c r="CA10" s="976" t="n">
        <v>504</v>
      </c>
      <c r="CB10" s="975" t="n">
        <v>1152</v>
      </c>
      <c r="CC10" s="976" t="n">
        <v>691.1999999999999</v>
      </c>
      <c r="CD10" s="975" t="n">
        <v>1776</v>
      </c>
      <c r="CE10" s="976" t="n">
        <v>1065.6</v>
      </c>
      <c r="CF10" s="975" t="n">
        <v>600</v>
      </c>
      <c r="CG10" s="976" t="n">
        <v>360</v>
      </c>
      <c r="CH10" s="977" t="n">
        <v>690</v>
      </c>
      <c r="CI10" s="978" t="n">
        <v>414</v>
      </c>
      <c r="CJ10" s="980" t="n">
        <v>690</v>
      </c>
      <c r="CK10" s="976" t="n">
        <v>414</v>
      </c>
      <c r="CL10" s="982" t="n">
        <v>672</v>
      </c>
      <c r="CM10" s="976" t="n">
        <v>403.2</v>
      </c>
      <c r="CN10" s="982" t="n">
        <v>756</v>
      </c>
      <c r="CO10" s="15" t="n">
        <v>453.6</v>
      </c>
      <c r="CP10" s="982" t="n">
        <v>540</v>
      </c>
      <c r="CQ10" s="15" t="n">
        <v>324</v>
      </c>
      <c r="CR10" s="982" t="n">
        <v>756</v>
      </c>
      <c r="CS10" s="15" t="n">
        <v>453.6</v>
      </c>
      <c r="CT10" s="982" t="n">
        <v>720</v>
      </c>
      <c r="CU10" s="15" t="n">
        <v>432</v>
      </c>
      <c r="CV10" s="982" t="n"/>
      <c r="CW10" s="15" t="n">
        <v>0</v>
      </c>
      <c r="CX10" s="982" t="n"/>
      <c r="CY10" s="15" t="n">
        <v>0</v>
      </c>
      <c r="CZ10" s="982" t="n"/>
      <c r="DA10" s="15" t="n">
        <v>0</v>
      </c>
      <c r="DB10" s="982" t="n"/>
      <c r="DC10" s="15" t="n">
        <v>0</v>
      </c>
      <c r="DD10" s="982" t="n"/>
      <c r="DE10" s="15" t="n">
        <v>0</v>
      </c>
      <c r="DF10" s="982" t="n"/>
      <c r="DG10" s="15" t="n">
        <v>0</v>
      </c>
      <c r="DH10" s="982" t="n"/>
      <c r="DI10" s="15" t="n">
        <v>0</v>
      </c>
      <c r="DJ10" s="15" t="n">
        <v>0.07344259652148899</v>
      </c>
      <c r="DK10" s="15" t="n"/>
      <c r="DL10" s="983" t="n">
        <v>3444</v>
      </c>
      <c r="DM10" s="984" t="n">
        <v>2066.4</v>
      </c>
      <c r="DN10" s="985" t="n">
        <v>688.8</v>
      </c>
      <c r="DO10" s="985" t="n">
        <v>413.2799999999999</v>
      </c>
      <c r="DP10" s="69" t="n">
        <v>0.07005211621157911</v>
      </c>
      <c r="DQ10" s="70" t="n">
        <v>-0.003390480309909877</v>
      </c>
      <c r="DR10" s="986" t="n">
        <v>21.61016949152538</v>
      </c>
      <c r="DS10" s="986" t="n">
        <v>-0.1739130434782794</v>
      </c>
      <c r="DT10" s="72" t="n">
        <v>-0.7200000000000841</v>
      </c>
      <c r="DU10" s="72" t="n">
        <v>73.43999999999988</v>
      </c>
      <c r="DV10" s="72" t="n">
        <v>-0.05142857142857744</v>
      </c>
      <c r="DW10" s="72" t="n">
        <v>5.245714285714278</v>
      </c>
      <c r="DX10" s="72" t="n">
        <v>26.22857142857139</v>
      </c>
    </row>
    <row r="11" ht="20.4" customHeight="1" thickBot="1">
      <c r="A11" s="73" t="n">
        <v>17</v>
      </c>
      <c r="B11" s="74" t="inlineStr">
        <is>
          <t xml:space="preserve">Kaung Kyi </t>
        </is>
      </c>
      <c r="C11" s="74" t="inlineStr">
        <is>
          <t>ပုလင်း</t>
        </is>
      </c>
      <c r="D11" s="73" t="n">
        <v>4</v>
      </c>
      <c r="E11" s="73" t="n">
        <v>0.64</v>
      </c>
      <c r="F11" s="73" t="inlineStr">
        <is>
          <t>1 * 14</t>
        </is>
      </c>
      <c r="G11" s="73" t="n">
        <v>1230</v>
      </c>
      <c r="H11" s="1075" t="n">
        <v>70658</v>
      </c>
      <c r="I11" s="1076" t="n">
        <v>45221.12</v>
      </c>
      <c r="J11" s="1075" t="n">
        <v>66416</v>
      </c>
      <c r="K11" s="1076" t="n">
        <v>42506.24</v>
      </c>
      <c r="L11" s="1075" t="n">
        <v>74508</v>
      </c>
      <c r="M11" s="1076" t="n">
        <v>47685.12</v>
      </c>
      <c r="N11" s="1075" t="n">
        <v>54532</v>
      </c>
      <c r="O11" s="1076" t="n">
        <v>34900.48</v>
      </c>
      <c r="P11" s="1075" t="n">
        <v>57792</v>
      </c>
      <c r="Q11" s="1076" t="n">
        <v>36986.88</v>
      </c>
      <c r="R11" s="1075" t="n">
        <v>64400</v>
      </c>
      <c r="S11" s="1076" t="n">
        <v>41216</v>
      </c>
      <c r="T11" s="1075" t="n">
        <v>60830</v>
      </c>
      <c r="U11" s="1076" t="n">
        <v>38931.2</v>
      </c>
      <c r="V11" s="1075" t="n">
        <v>64428</v>
      </c>
      <c r="W11" s="1076" t="n">
        <v>41233.92</v>
      </c>
      <c r="X11" s="1075" t="n">
        <v>58705</v>
      </c>
      <c r="Y11" s="1076" t="n">
        <v>37571.2</v>
      </c>
      <c r="Z11" s="1075" t="n">
        <v>62384</v>
      </c>
      <c r="AA11" s="1076" t="n">
        <v>39925.76</v>
      </c>
      <c r="AB11" s="1075" t="n">
        <v>67326</v>
      </c>
      <c r="AC11" s="1076" t="n">
        <v>43088.64</v>
      </c>
      <c r="AD11" s="1075" t="n">
        <v>82770</v>
      </c>
      <c r="AE11" s="1076" t="n">
        <v>52972.8</v>
      </c>
      <c r="AF11" s="1077" t="n">
        <v>65395.75</v>
      </c>
      <c r="AG11" s="1078" t="n">
        <v>41853.28</v>
      </c>
      <c r="AH11" s="1075" t="n">
        <v>67662</v>
      </c>
      <c r="AI11" s="1076" t="n">
        <v>43303.68</v>
      </c>
      <c r="AJ11" s="1075" t="n">
        <v>58922</v>
      </c>
      <c r="AK11" s="1076" t="n">
        <v>37710.08</v>
      </c>
      <c r="AL11" s="1075" t="n">
        <v>61334</v>
      </c>
      <c r="AM11" s="1076" t="n">
        <v>39253.76</v>
      </c>
      <c r="AN11" s="1075" t="n">
        <v>59794</v>
      </c>
      <c r="AO11" s="1076" t="n">
        <v>38268.16</v>
      </c>
      <c r="AP11" s="1075" t="n">
        <v>45528</v>
      </c>
      <c r="AQ11" s="1076" t="n">
        <v>29137.92</v>
      </c>
      <c r="AR11" s="1075" t="n">
        <v>58940</v>
      </c>
      <c r="AS11" s="1076" t="n">
        <v>37721.6</v>
      </c>
      <c r="AT11" s="1075" t="n">
        <v>68562</v>
      </c>
      <c r="AU11" s="1076" t="n">
        <v>43879.68</v>
      </c>
      <c r="AV11" s="1075" t="n">
        <v>62636</v>
      </c>
      <c r="AW11" s="1076" t="n">
        <v>40087.04</v>
      </c>
      <c r="AX11" s="1075" t="n">
        <v>66628</v>
      </c>
      <c r="AY11" s="1076" t="n">
        <v>42641.92</v>
      </c>
      <c r="AZ11" s="1075" t="n">
        <v>67270</v>
      </c>
      <c r="BA11" s="1076" t="n">
        <v>43052.8</v>
      </c>
      <c r="BB11" s="1075" t="n">
        <v>65856</v>
      </c>
      <c r="BC11" s="1076" t="n">
        <v>42147.84</v>
      </c>
      <c r="BD11" s="1075" t="n">
        <v>87710</v>
      </c>
      <c r="BE11" s="1076" t="n">
        <v>56134.4</v>
      </c>
      <c r="BF11" s="1077" t="n">
        <v>64236.83333333334</v>
      </c>
      <c r="BG11" s="1078" t="n">
        <v>41111.57333333333</v>
      </c>
      <c r="BH11" s="1075" t="n">
        <v>75935</v>
      </c>
      <c r="BI11" s="1076" t="n">
        <v>48598.4</v>
      </c>
      <c r="BJ11" s="1075" t="n">
        <v>64518</v>
      </c>
      <c r="BK11" s="1076" t="n">
        <v>41291.52</v>
      </c>
      <c r="BL11" s="1075" t="n">
        <v>69272</v>
      </c>
      <c r="BM11" s="1076" t="n">
        <v>44334.08</v>
      </c>
      <c r="BN11" s="1075" t="n">
        <v>59570</v>
      </c>
      <c r="BO11" s="1076" t="n">
        <v>38124.8</v>
      </c>
      <c r="BP11" s="1075" t="n">
        <v>65708</v>
      </c>
      <c r="BQ11" s="1076" t="n">
        <v>42053.12</v>
      </c>
      <c r="BR11" s="1079" t="n">
        <v>67000.60000000001</v>
      </c>
      <c r="BS11" s="1076" t="n">
        <v>42880.384</v>
      </c>
      <c r="BT11" s="1075" t="n">
        <v>66472</v>
      </c>
      <c r="BU11" s="1076" t="n">
        <v>42542.08</v>
      </c>
      <c r="BV11" s="1075" t="n">
        <v>71516</v>
      </c>
      <c r="BW11" s="1076" t="n">
        <v>45770.24</v>
      </c>
      <c r="BX11" s="1075" t="n">
        <v>59500</v>
      </c>
      <c r="BY11" s="1076" t="n">
        <v>38080</v>
      </c>
      <c r="BZ11" s="1075" t="n">
        <v>66640</v>
      </c>
      <c r="CA11" s="1076" t="n">
        <v>42649.6</v>
      </c>
      <c r="CB11" s="1075" t="n">
        <v>76510</v>
      </c>
      <c r="CC11" s="1076" t="n">
        <v>48966.4</v>
      </c>
      <c r="CD11" s="1075" t="n">
        <v>66934</v>
      </c>
      <c r="CE11" s="1076" t="n">
        <v>42837.76</v>
      </c>
      <c r="CF11" s="1075" t="n">
        <v>79688</v>
      </c>
      <c r="CG11" s="1076" t="n">
        <v>51000.32</v>
      </c>
      <c r="CH11" s="1077" t="n">
        <v>68521.91666666667</v>
      </c>
      <c r="CI11" s="1078" t="n">
        <v>43854.02666666667</v>
      </c>
      <c r="CJ11" s="1080" t="n">
        <v>68522</v>
      </c>
      <c r="CK11" s="1076" t="n">
        <v>43854.08</v>
      </c>
      <c r="CL11" s="1082" t="n">
        <v>78915</v>
      </c>
      <c r="CM11" s="1076" t="n">
        <v>50505.6</v>
      </c>
      <c r="CN11" s="1082" t="n">
        <v>57960</v>
      </c>
      <c r="CO11" s="83" t="n">
        <v>37094.4</v>
      </c>
      <c r="CP11" s="1082" t="n">
        <v>67424</v>
      </c>
      <c r="CQ11" s="83" t="n">
        <v>43151.36</v>
      </c>
      <c r="CR11" s="1082" t="n">
        <v>59108</v>
      </c>
      <c r="CS11" s="83" t="n">
        <v>37829.12</v>
      </c>
      <c r="CT11" s="1082" t="n">
        <v>62751</v>
      </c>
      <c r="CU11" s="83" t="n">
        <v>40160.64</v>
      </c>
      <c r="CV11" s="1082" t="n"/>
      <c r="CW11" s="83" t="n">
        <v>0</v>
      </c>
      <c r="CX11" s="1082" t="n"/>
      <c r="CY11" s="83" t="n">
        <v>0</v>
      </c>
      <c r="CZ11" s="1082" t="n"/>
      <c r="DA11" s="83" t="n">
        <v>0</v>
      </c>
      <c r="DB11" s="1082" t="n"/>
      <c r="DC11" s="83" t="n">
        <v>0</v>
      </c>
      <c r="DD11" s="1082" t="n"/>
      <c r="DE11" s="83" t="n">
        <v>0</v>
      </c>
      <c r="DF11" s="1082" t="n"/>
      <c r="DG11" s="83" t="n">
        <v>0</v>
      </c>
      <c r="DH11" s="1082" t="n"/>
      <c r="DI11" s="83" t="n">
        <v>0</v>
      </c>
      <c r="DJ11" s="83" t="n">
        <v>7.779598034595698</v>
      </c>
      <c r="DK11" s="83" t="n">
        <v>11.29</v>
      </c>
      <c r="DL11" s="1083" t="n">
        <v>326158</v>
      </c>
      <c r="DM11" s="1084" t="n">
        <v>208741.12</v>
      </c>
      <c r="DN11" s="1085" t="n">
        <v>65231.6</v>
      </c>
      <c r="DO11" s="1085" t="n">
        <v>41748.224</v>
      </c>
      <c r="DP11" s="87" t="n">
        <v>7.076440764796354</v>
      </c>
      <c r="DQ11" s="88" t="n">
        <v>-0.7031572697993438</v>
      </c>
      <c r="DR11" s="1005" t="n">
        <v>-2.640274863210166</v>
      </c>
      <c r="DS11" s="1005" t="n">
        <v>-4.801845638196056</v>
      </c>
      <c r="DT11" s="90" t="n">
        <v>-2105.80266666667</v>
      </c>
      <c r="DU11" s="90" t="n">
        <v>-1132.159999999996</v>
      </c>
      <c r="DV11" s="90" t="n">
        <v>-150.4144761904764</v>
      </c>
      <c r="DW11" s="90" t="n">
        <v>-80.86857142857116</v>
      </c>
      <c r="DX11" s="90" t="n">
        <v>-404.3428571428558</v>
      </c>
    </row>
    <row r="12" ht="20.4" customFormat="1" customHeight="1" s="125" thickBot="1">
      <c r="A12" s="119" t="n"/>
      <c r="B12" s="120" t="n"/>
      <c r="C12" s="120" t="n"/>
      <c r="D12" s="121" t="n"/>
      <c r="E12" s="121" t="n"/>
      <c r="F12" s="121" t="n"/>
      <c r="G12" s="121" t="n"/>
      <c r="H12" s="1086" t="n"/>
      <c r="I12" s="1087" t="n">
        <v>0</v>
      </c>
      <c r="J12" s="1086" t="n"/>
      <c r="K12" s="1087" t="n">
        <v>0</v>
      </c>
      <c r="L12" s="1086" t="n"/>
      <c r="M12" s="1087" t="n">
        <v>0</v>
      </c>
      <c r="N12" s="1086" t="n"/>
      <c r="O12" s="1087" t="n">
        <v>0</v>
      </c>
      <c r="P12" s="1086" t="n"/>
      <c r="Q12" s="1087" t="n">
        <v>0</v>
      </c>
      <c r="R12" s="1086" t="n"/>
      <c r="S12" s="1087" t="n">
        <v>0</v>
      </c>
      <c r="T12" s="1086" t="n"/>
      <c r="U12" s="1087" t="n">
        <v>0</v>
      </c>
      <c r="V12" s="1086" t="n"/>
      <c r="W12" s="1087" t="n">
        <v>0</v>
      </c>
      <c r="X12" s="1086" t="n"/>
      <c r="Y12" s="1087" t="n">
        <v>0</v>
      </c>
      <c r="Z12" s="1086" t="n"/>
      <c r="AA12" s="1087" t="n">
        <v>0</v>
      </c>
      <c r="AB12" s="1086" t="n"/>
      <c r="AC12" s="1087" t="n">
        <v>0</v>
      </c>
      <c r="AD12" s="1086" t="n"/>
      <c r="AE12" s="1087" t="n">
        <v>0</v>
      </c>
      <c r="AF12" s="1086" t="n">
        <v>0</v>
      </c>
      <c r="AG12" s="1087" t="n">
        <v>0</v>
      </c>
      <c r="AH12" s="1086" t="n"/>
      <c r="AI12" s="1087" t="n">
        <v>0</v>
      </c>
      <c r="AJ12" s="1086" t="n"/>
      <c r="AK12" s="1087" t="n">
        <v>0</v>
      </c>
      <c r="AL12" s="1086" t="n"/>
      <c r="AM12" s="1087" t="n">
        <v>0</v>
      </c>
      <c r="AN12" s="1086" t="n"/>
      <c r="AO12" s="1087" t="n">
        <v>0</v>
      </c>
      <c r="AP12" s="1086" t="n"/>
      <c r="AQ12" s="1087" t="n">
        <v>0</v>
      </c>
      <c r="AR12" s="1086" t="n"/>
      <c r="AS12" s="1087" t="n">
        <v>0</v>
      </c>
      <c r="AT12" s="1086" t="n"/>
      <c r="AU12" s="1087" t="n">
        <v>0</v>
      </c>
      <c r="AV12" s="1086" t="n"/>
      <c r="AW12" s="1087" t="n">
        <v>0</v>
      </c>
      <c r="AX12" s="1086" t="n"/>
      <c r="AY12" s="1087" t="n">
        <v>0</v>
      </c>
      <c r="AZ12" s="1086" t="n"/>
      <c r="BA12" s="1087" t="n">
        <v>0</v>
      </c>
      <c r="BB12" s="1086" t="n"/>
      <c r="BC12" s="1087" t="n">
        <v>0</v>
      </c>
      <c r="BD12" s="1086" t="n"/>
      <c r="BE12" s="1087" t="n">
        <v>0</v>
      </c>
      <c r="BF12" s="1086" t="n">
        <v>0</v>
      </c>
      <c r="BG12" s="1087" t="n">
        <v>0</v>
      </c>
      <c r="BH12" s="1086" t="n"/>
      <c r="BI12" s="1087" t="n">
        <v>0</v>
      </c>
      <c r="BJ12" s="1086" t="n"/>
      <c r="BK12" s="1087" t="n">
        <v>0</v>
      </c>
      <c r="BL12" s="1086" t="n"/>
      <c r="BM12" s="1087" t="n">
        <v>0</v>
      </c>
      <c r="BN12" s="1086" t="n"/>
      <c r="BO12" s="1087" t="n">
        <v>0</v>
      </c>
      <c r="BP12" s="1086" t="n"/>
      <c r="BQ12" s="1087" t="n">
        <v>0</v>
      </c>
      <c r="BR12" s="1088">
        <f>BR9+BR10+BR11</f>
        <v/>
      </c>
      <c r="BS12" s="1088">
        <f>BS9+BS10+BS11</f>
        <v/>
      </c>
      <c r="BT12" s="1088">
        <f>BT9+BT10+BT11</f>
        <v/>
      </c>
      <c r="BU12" s="1088">
        <f>BU9+BU10+BU11</f>
        <v/>
      </c>
      <c r="BV12" s="1088">
        <f>BV9+BV10+BV11</f>
        <v/>
      </c>
      <c r="BW12" s="1088">
        <f>BW9+BW10+BW11</f>
        <v/>
      </c>
      <c r="BX12" s="1088">
        <f>BX9+BX10+BX11</f>
        <v/>
      </c>
      <c r="BY12" s="1088">
        <f>BY9+BY10+BY11</f>
        <v/>
      </c>
      <c r="BZ12" s="1088">
        <f>BZ9+BZ10+BZ11</f>
        <v/>
      </c>
      <c r="CA12" s="1088">
        <f>CA9+CA10+CA11</f>
        <v/>
      </c>
      <c r="CB12" s="1088">
        <f>CB9+CB10+CB11</f>
        <v/>
      </c>
      <c r="CC12" s="1088">
        <f>CC9+CC10+CC11</f>
        <v/>
      </c>
      <c r="CD12" s="1088">
        <f>CD9+CD10+CD11</f>
        <v/>
      </c>
      <c r="CE12" s="1088">
        <f>CE9+CE10+CE11</f>
        <v/>
      </c>
      <c r="CF12" s="1088">
        <f>CF9+CF10+CF11</f>
        <v/>
      </c>
      <c r="CG12" s="1088">
        <f>CG9+CG10+CG11</f>
        <v/>
      </c>
      <c r="CH12" s="1088">
        <f>CH9+CH10+CH11</f>
        <v/>
      </c>
      <c r="CI12" s="1088">
        <f>CI9+CI10+CI11</f>
        <v/>
      </c>
      <c r="CJ12" s="1088">
        <f>CJ9+CJ10+CJ11</f>
        <v/>
      </c>
      <c r="CK12" s="1088">
        <f>CK9+CK10+CK11</f>
        <v/>
      </c>
      <c r="CL12" s="1088">
        <f>CL9+CL10+CL11</f>
        <v/>
      </c>
      <c r="CM12" s="1088">
        <f>CM9+CM10+CM11</f>
        <v/>
      </c>
      <c r="CN12" s="1088">
        <f>CN9+CN10+CN11</f>
        <v/>
      </c>
      <c r="CO12" s="1088">
        <f>CO9+CO10+CO11</f>
        <v/>
      </c>
      <c r="CP12" s="1088">
        <f>CP9+CP10+CP11</f>
        <v/>
      </c>
      <c r="CQ12" s="1088">
        <f>CQ9+CQ10+CQ11</f>
        <v/>
      </c>
      <c r="CR12" s="1088">
        <f>CR9+CR10+CR11</f>
        <v/>
      </c>
      <c r="CS12" s="1088">
        <f>CS9+CS10+CS11</f>
        <v/>
      </c>
      <c r="CT12" s="1088">
        <f>CT9+CT10+CT11</f>
        <v/>
      </c>
      <c r="CU12" s="1088">
        <f>CU9+CU10+CU11</f>
        <v/>
      </c>
      <c r="CV12" s="1088">
        <f>CV9+CV10+CV11</f>
        <v/>
      </c>
      <c r="CW12" s="1088">
        <f>CW9+CW10+CW11</f>
        <v/>
      </c>
      <c r="CX12" s="1088">
        <f>CX9+CX10+CX11</f>
        <v/>
      </c>
      <c r="CY12" s="1088">
        <f>CY9+CY10+CY11</f>
        <v/>
      </c>
      <c r="CZ12" s="1088">
        <f>CZ9+CZ10+CZ11</f>
        <v/>
      </c>
      <c r="DA12" s="1088">
        <f>DA9+DA10+DA11</f>
        <v/>
      </c>
      <c r="DB12" s="1088">
        <f>DB9+DB10+DB11</f>
        <v/>
      </c>
      <c r="DC12" s="1088">
        <f>DC9+DC10+DC11</f>
        <v/>
      </c>
      <c r="DD12" s="1088">
        <f>DD9+DD10+DD11</f>
        <v/>
      </c>
      <c r="DE12" s="1088">
        <f>DE9+DE10+DE11</f>
        <v/>
      </c>
      <c r="DF12" s="1088">
        <f>DF9+DF10+DF11</f>
        <v/>
      </c>
      <c r="DG12" s="1088">
        <f>DG9+DG10+DG11</f>
        <v/>
      </c>
      <c r="DH12" s="1088">
        <f>DH9+DH10+DH11</f>
        <v/>
      </c>
      <c r="DI12" s="1088">
        <f>DI9+DI10+DI11</f>
        <v/>
      </c>
      <c r="DJ12" s="214">
        <f>SUM(DJ9:DJ11)</f>
        <v/>
      </c>
      <c r="DK12" s="214">
        <f>DK9+DK10+DK11</f>
        <v/>
      </c>
      <c r="DL12" s="1088">
        <f>DL9+DL10+DL11</f>
        <v/>
      </c>
      <c r="DM12" s="1088">
        <f>DM9+DM10+DM11</f>
        <v/>
      </c>
      <c r="DN12" s="1088">
        <f>DN9+DN10+DN11</f>
        <v/>
      </c>
      <c r="DO12" s="1088">
        <f>DO9+DO10+DO11</f>
        <v/>
      </c>
      <c r="DP12" s="214">
        <f>DP9+DP10+DP11</f>
        <v/>
      </c>
      <c r="DQ12" s="214">
        <f>DQ9+DQ10+DQ11</f>
        <v/>
      </c>
      <c r="DR12" s="1088">
        <f>DR9+DR10+DR11</f>
        <v/>
      </c>
      <c r="DS12" s="1088">
        <f>DS9+DS10+DS11</f>
        <v/>
      </c>
      <c r="DT12" s="1088">
        <f>DT9+DT10+DT11</f>
        <v/>
      </c>
      <c r="DU12" s="1088">
        <f>DU9+DU10+DU11</f>
        <v/>
      </c>
      <c r="DV12" s="1088">
        <f>DV9+DV10+DV11</f>
        <v/>
      </c>
      <c r="DW12" s="1088">
        <f>DW9+DW10+DW11</f>
        <v/>
      </c>
      <c r="DX12" s="215">
        <f>DX9+DX10+DX11</f>
        <v/>
      </c>
    </row>
    <row r="13">
      <c r="A13" s="92" t="n">
        <v>20</v>
      </c>
      <c r="B13" s="93" t="inlineStr">
        <is>
          <t>မိုးနဲကွန်ကီကော်ဘူး(1 Liter)</t>
        </is>
      </c>
      <c r="C13" s="93" t="inlineStr">
        <is>
          <t>‌ကော်ဘူး</t>
        </is>
      </c>
      <c r="D13" s="92" t="n">
        <v>15</v>
      </c>
      <c r="E13" s="92" t="n">
        <v>1</v>
      </c>
      <c r="F13" s="92" t="inlineStr">
        <is>
          <t>1 * 24</t>
        </is>
      </c>
      <c r="G13" s="92" t="n">
        <v>1900</v>
      </c>
      <c r="H13" s="996" t="n"/>
      <c r="I13" s="997" t="n">
        <v>0</v>
      </c>
      <c r="J13" s="996" t="n"/>
      <c r="K13" s="997" t="n">
        <v>0</v>
      </c>
      <c r="L13" s="996" t="n"/>
      <c r="M13" s="997" t="n">
        <v>0</v>
      </c>
      <c r="N13" s="996" t="n"/>
      <c r="O13" s="997" t="n">
        <v>0</v>
      </c>
      <c r="P13" s="996" t="n"/>
      <c r="Q13" s="997" t="n">
        <v>0</v>
      </c>
      <c r="R13" s="996" t="n"/>
      <c r="S13" s="997" t="n">
        <v>0</v>
      </c>
      <c r="T13" s="996" t="n"/>
      <c r="U13" s="997" t="n">
        <v>0</v>
      </c>
      <c r="V13" s="996" t="n"/>
      <c r="W13" s="997" t="n">
        <v>0</v>
      </c>
      <c r="X13" s="996" t="n"/>
      <c r="Y13" s="997" t="n">
        <v>0</v>
      </c>
      <c r="Z13" s="996" t="n"/>
      <c r="AA13" s="997" t="n">
        <v>0</v>
      </c>
      <c r="AB13" s="996" t="n"/>
      <c r="AC13" s="997" t="n">
        <v>0</v>
      </c>
      <c r="AD13" s="996" t="n"/>
      <c r="AE13" s="997" t="n">
        <v>0</v>
      </c>
      <c r="AF13" s="998" t="n">
        <v>0</v>
      </c>
      <c r="AG13" s="999" t="n">
        <v>0</v>
      </c>
      <c r="AH13" s="996" t="n"/>
      <c r="AI13" s="997" t="n">
        <v>0</v>
      </c>
      <c r="AJ13" s="996" t="n"/>
      <c r="AK13" s="997" t="n">
        <v>0</v>
      </c>
      <c r="AL13" s="996" t="n"/>
      <c r="AM13" s="997" t="n">
        <v>0</v>
      </c>
      <c r="AN13" s="996" t="n"/>
      <c r="AO13" s="997" t="n">
        <v>0</v>
      </c>
      <c r="AP13" s="996" t="n"/>
      <c r="AQ13" s="997" t="n">
        <v>0</v>
      </c>
      <c r="AR13" s="996" t="n"/>
      <c r="AS13" s="997" t="n">
        <v>0</v>
      </c>
      <c r="AT13" s="996" t="n"/>
      <c r="AU13" s="997" t="n">
        <v>0</v>
      </c>
      <c r="AV13" s="996" t="n"/>
      <c r="AW13" s="997" t="n">
        <v>0</v>
      </c>
      <c r="AX13" s="996" t="n"/>
      <c r="AY13" s="997" t="n">
        <v>0</v>
      </c>
      <c r="AZ13" s="996" t="n"/>
      <c r="BA13" s="997" t="n">
        <v>0</v>
      </c>
      <c r="BB13" s="996" t="n"/>
      <c r="BC13" s="997" t="n">
        <v>0</v>
      </c>
      <c r="BD13" s="996" t="n"/>
      <c r="BE13" s="997" t="n">
        <v>0</v>
      </c>
      <c r="BF13" s="998" t="n">
        <v>0</v>
      </c>
      <c r="BG13" s="999" t="n">
        <v>0</v>
      </c>
      <c r="BH13" s="996" t="n"/>
      <c r="BI13" s="997" t="n">
        <v>0</v>
      </c>
      <c r="BJ13" s="996" t="n"/>
      <c r="BK13" s="997" t="n">
        <v>0</v>
      </c>
      <c r="BL13" s="996" t="n"/>
      <c r="BM13" s="997" t="n">
        <v>0</v>
      </c>
      <c r="BN13" s="996" t="n"/>
      <c r="BO13" s="997" t="n">
        <v>0</v>
      </c>
      <c r="BP13" s="996" t="n"/>
      <c r="BQ13" s="997" t="n">
        <v>0</v>
      </c>
      <c r="BR13" s="1000" t="n">
        <v>0</v>
      </c>
      <c r="BS13" s="997" t="n">
        <v>0</v>
      </c>
      <c r="BT13" s="996" t="n"/>
      <c r="BU13" s="997" t="n">
        <v>0</v>
      </c>
      <c r="BV13" s="996" t="n"/>
      <c r="BW13" s="997" t="n">
        <v>0</v>
      </c>
      <c r="BX13" s="996" t="n"/>
      <c r="BY13" s="997" t="n">
        <v>0</v>
      </c>
      <c r="BZ13" s="996" t="n"/>
      <c r="CA13" s="997" t="n">
        <v>0</v>
      </c>
      <c r="CB13" s="996" t="n"/>
      <c r="CC13" s="997" t="n">
        <v>0</v>
      </c>
      <c r="CD13" s="996" t="n"/>
      <c r="CE13" s="997" t="n">
        <v>0</v>
      </c>
      <c r="CF13" s="996" t="n"/>
      <c r="CG13" s="997" t="n">
        <v>0</v>
      </c>
      <c r="CH13" s="998" t="n">
        <v>0</v>
      </c>
      <c r="CI13" s="999" t="n">
        <v>0</v>
      </c>
      <c r="CJ13" s="1089" t="n"/>
      <c r="CK13" s="997" t="n">
        <v>0</v>
      </c>
      <c r="CL13" s="1002" t="n"/>
      <c r="CM13" s="997" t="n">
        <v>0</v>
      </c>
      <c r="CN13" s="1002" t="n"/>
      <c r="CO13" s="95" t="n">
        <v>0</v>
      </c>
      <c r="CP13" s="1002" t="n">
        <v>16608</v>
      </c>
      <c r="CQ13" s="95" t="n">
        <v>16608</v>
      </c>
      <c r="CR13" s="1002" t="n">
        <v>6468</v>
      </c>
      <c r="CS13" s="95" t="n">
        <v>6468</v>
      </c>
      <c r="CT13" s="1002" t="n">
        <v>8040</v>
      </c>
      <c r="CU13" s="95" t="n">
        <v>8040</v>
      </c>
      <c r="CV13" s="1002" t="n"/>
      <c r="CW13" s="95" t="n">
        <v>0</v>
      </c>
      <c r="CX13" s="1002" t="n"/>
      <c r="CY13" s="95" t="n">
        <v>0</v>
      </c>
      <c r="CZ13" s="1002" t="n"/>
      <c r="DA13" s="95" t="n">
        <v>0</v>
      </c>
      <c r="DB13" s="1002" t="n"/>
      <c r="DC13" s="95" t="n">
        <v>0</v>
      </c>
      <c r="DD13" s="1002" t="n"/>
      <c r="DE13" s="95" t="n">
        <v>0</v>
      </c>
      <c r="DF13" s="1002" t="n"/>
      <c r="DG13" s="95" t="n">
        <v>0</v>
      </c>
      <c r="DH13" s="1002" t="n"/>
      <c r="DI13" s="95" t="n">
        <v>0</v>
      </c>
      <c r="DJ13" s="95" t="n">
        <v>0</v>
      </c>
      <c r="DK13" s="95" t="n"/>
      <c r="DL13" s="1003" t="n">
        <v>31116</v>
      </c>
      <c r="DM13" s="1001" t="n">
        <v>31116</v>
      </c>
      <c r="DN13" s="1090" t="n">
        <v>6223.2</v>
      </c>
      <c r="DO13" s="1090" t="n">
        <v>6223.2</v>
      </c>
      <c r="DP13" s="97" t="n">
        <v>1.054849810317217</v>
      </c>
      <c r="DQ13" s="98" t="n">
        <v>1.054849810317217</v>
      </c>
      <c r="DR13" s="1091" t="n"/>
      <c r="DS13" s="1091" t="n"/>
      <c r="DT13" s="100" t="n">
        <v>6223.2</v>
      </c>
      <c r="DU13" s="100" t="n">
        <v>6223.2</v>
      </c>
      <c r="DV13" s="100" t="n">
        <v>444.5142857142857</v>
      </c>
      <c r="DW13" s="100" t="n">
        <v>444.5142857142857</v>
      </c>
      <c r="DX13" s="100" t="n">
        <v>2222.571428571428</v>
      </c>
    </row>
    <row r="14" ht="20.4" customHeight="1" thickBot="1">
      <c r="A14" s="73" t="n">
        <v>22</v>
      </c>
      <c r="B14" s="74" t="inlineStr">
        <is>
          <t xml:space="preserve">Moe Nae Kon Ki </t>
        </is>
      </c>
      <c r="C14" s="74" t="inlineStr">
        <is>
          <t>ပုလင်း</t>
        </is>
      </c>
      <c r="D14" s="73" t="n">
        <v>7</v>
      </c>
      <c r="E14" s="73" t="n">
        <v>0.64</v>
      </c>
      <c r="F14" s="73" t="inlineStr">
        <is>
          <t>1 * 14</t>
        </is>
      </c>
      <c r="G14" s="73" t="n">
        <v>1500</v>
      </c>
      <c r="H14" s="1075" t="n">
        <v>19838</v>
      </c>
      <c r="I14" s="1076" t="n">
        <v>12696.32</v>
      </c>
      <c r="J14" s="1075" t="n">
        <v>21560</v>
      </c>
      <c r="K14" s="1076" t="n">
        <v>13798.4</v>
      </c>
      <c r="L14" s="1075" t="n">
        <v>33040</v>
      </c>
      <c r="M14" s="1076" t="n">
        <v>21145.6</v>
      </c>
      <c r="N14" s="1075" t="n">
        <v>33390</v>
      </c>
      <c r="O14" s="1076" t="n">
        <v>21369.6</v>
      </c>
      <c r="P14" s="1075" t="n">
        <v>41692</v>
      </c>
      <c r="Q14" s="1076" t="n">
        <v>26682.88</v>
      </c>
      <c r="R14" s="1075" t="n">
        <v>61586</v>
      </c>
      <c r="S14" s="1076" t="n">
        <v>39415.04</v>
      </c>
      <c r="T14" s="1075" t="n">
        <v>77210</v>
      </c>
      <c r="U14" s="1076" t="n">
        <v>49414.4</v>
      </c>
      <c r="V14" s="1075" t="n">
        <v>85148</v>
      </c>
      <c r="W14" s="1076" t="n">
        <v>54494.72</v>
      </c>
      <c r="X14" s="1075" t="n">
        <v>78722</v>
      </c>
      <c r="Y14" s="1076" t="n">
        <v>50382.08</v>
      </c>
      <c r="Z14" s="1075" t="n">
        <v>46494</v>
      </c>
      <c r="AA14" s="1076" t="n">
        <v>29756.16</v>
      </c>
      <c r="AB14" s="1075" t="n">
        <v>52136</v>
      </c>
      <c r="AC14" s="1076" t="n">
        <v>33367.04</v>
      </c>
      <c r="AD14" s="1075" t="n">
        <v>53018</v>
      </c>
      <c r="AE14" s="1076" t="n">
        <v>33931.52</v>
      </c>
      <c r="AF14" s="1077" t="n">
        <v>50319.5</v>
      </c>
      <c r="AG14" s="1078" t="n">
        <v>32204.48</v>
      </c>
      <c r="AH14" s="1075" t="n">
        <v>44912</v>
      </c>
      <c r="AI14" s="1076" t="n">
        <v>28743.68</v>
      </c>
      <c r="AJ14" s="1075" t="n">
        <v>31654</v>
      </c>
      <c r="AK14" s="1076" t="n">
        <v>20258.56</v>
      </c>
      <c r="AL14" s="1075" t="n">
        <v>34804</v>
      </c>
      <c r="AM14" s="1076" t="n">
        <v>22274.56</v>
      </c>
      <c r="AN14" s="1075" t="n">
        <v>36498</v>
      </c>
      <c r="AO14" s="1076" t="n">
        <v>23358.72</v>
      </c>
      <c r="AP14" s="1075" t="n">
        <v>35546</v>
      </c>
      <c r="AQ14" s="1076" t="n">
        <v>22749.44</v>
      </c>
      <c r="AR14" s="1075" t="n">
        <v>54246</v>
      </c>
      <c r="AS14" s="1076" t="n">
        <v>34717.44</v>
      </c>
      <c r="AT14" s="1075" t="n">
        <v>73412</v>
      </c>
      <c r="AU14" s="1076" t="n">
        <v>46983.68</v>
      </c>
      <c r="AV14" s="1075" t="n">
        <v>66720</v>
      </c>
      <c r="AW14" s="1076" t="n">
        <v>42700.8</v>
      </c>
      <c r="AX14" s="1075" t="n">
        <v>68740</v>
      </c>
      <c r="AY14" s="1076" t="n">
        <v>43993.6</v>
      </c>
      <c r="AZ14" s="1075" t="n">
        <v>81158</v>
      </c>
      <c r="BA14" s="1076" t="n">
        <v>51941.12</v>
      </c>
      <c r="BB14" s="1075" t="n">
        <v>93086</v>
      </c>
      <c r="BC14" s="1076" t="n">
        <v>59575.04</v>
      </c>
      <c r="BD14" s="1075" t="n">
        <v>97244</v>
      </c>
      <c r="BE14" s="1076" t="n">
        <v>62236.16</v>
      </c>
      <c r="BF14" s="1077" t="n">
        <v>59835</v>
      </c>
      <c r="BG14" s="1078" t="n">
        <v>38294.4</v>
      </c>
      <c r="BH14" s="1075" t="n">
        <v>91784</v>
      </c>
      <c r="BI14" s="1076" t="n">
        <v>58741.76</v>
      </c>
      <c r="BJ14" s="1075" t="n">
        <v>70816</v>
      </c>
      <c r="BK14" s="1076" t="n">
        <v>45322.24</v>
      </c>
      <c r="BL14" s="1075" t="n">
        <v>67550</v>
      </c>
      <c r="BM14" s="1076" t="n">
        <v>43232</v>
      </c>
      <c r="BN14" s="1075" t="n">
        <v>56644</v>
      </c>
      <c r="BO14" s="1076" t="n">
        <v>36252.16</v>
      </c>
      <c r="BP14" s="1075" t="n">
        <v>80334</v>
      </c>
      <c r="BQ14" s="1076" t="n">
        <v>51413.76</v>
      </c>
      <c r="BR14" s="1079" t="n">
        <v>73425.60000000001</v>
      </c>
      <c r="BS14" s="1076" t="n">
        <v>46992.38400000001</v>
      </c>
      <c r="BT14" s="1075" t="n">
        <v>84071</v>
      </c>
      <c r="BU14" s="1076" t="n">
        <v>53805.44</v>
      </c>
      <c r="BV14" s="1075" t="n">
        <v>80080</v>
      </c>
      <c r="BW14" s="1076" t="n">
        <v>51251.2</v>
      </c>
      <c r="BX14" s="1075" t="n">
        <v>73961</v>
      </c>
      <c r="BY14" s="1076" t="n">
        <v>47335.04</v>
      </c>
      <c r="BZ14" s="1075" t="n">
        <v>72380</v>
      </c>
      <c r="CA14" s="1076" t="n">
        <v>46323.2</v>
      </c>
      <c r="CB14" s="1075" t="n">
        <v>74174</v>
      </c>
      <c r="CC14" s="1076" t="n">
        <v>47471.36</v>
      </c>
      <c r="CD14" s="1075" t="n">
        <v>68837</v>
      </c>
      <c r="CE14" s="1076" t="n">
        <v>44055.68</v>
      </c>
      <c r="CF14" s="1075" t="n">
        <v>70386</v>
      </c>
      <c r="CG14" s="1076" t="n">
        <v>45047.04</v>
      </c>
      <c r="CH14" s="1077" t="n">
        <v>74251.41666666667</v>
      </c>
      <c r="CI14" s="1078" t="n">
        <v>47520.90666666667</v>
      </c>
      <c r="CJ14" s="1080" t="n">
        <v>74251</v>
      </c>
      <c r="CK14" s="1076" t="n">
        <v>47520.64</v>
      </c>
      <c r="CL14" s="1082" t="n">
        <v>58032</v>
      </c>
      <c r="CM14" s="1076" t="n">
        <v>37140.48</v>
      </c>
      <c r="CN14" s="1082" t="n">
        <v>56770</v>
      </c>
      <c r="CO14" s="83" t="n">
        <v>36332.8</v>
      </c>
      <c r="CP14" s="1082" t="n">
        <v>36787</v>
      </c>
      <c r="CQ14" s="83" t="n">
        <v>23543.68</v>
      </c>
      <c r="CR14" s="1082" t="n">
        <v>36194</v>
      </c>
      <c r="CS14" s="83" t="n">
        <v>23164.16</v>
      </c>
      <c r="CT14" s="1082" t="n">
        <v>70375</v>
      </c>
      <c r="CU14" s="83" t="n">
        <v>45040</v>
      </c>
      <c r="CV14" s="1082" t="n"/>
      <c r="CW14" s="83" t="n">
        <v>0</v>
      </c>
      <c r="CX14" s="1082" t="n"/>
      <c r="CY14" s="83" t="n">
        <v>0</v>
      </c>
      <c r="CZ14" s="1082" t="n"/>
      <c r="DA14" s="83" t="n">
        <v>0</v>
      </c>
      <c r="DB14" s="1082" t="n"/>
      <c r="DC14" s="83" t="n">
        <v>0</v>
      </c>
      <c r="DD14" s="1082" t="n"/>
      <c r="DE14" s="83" t="n">
        <v>0</v>
      </c>
      <c r="DF14" s="1082" t="n"/>
      <c r="DG14" s="83" t="n">
        <v>0</v>
      </c>
      <c r="DH14" s="1082" t="n"/>
      <c r="DI14" s="83" t="n">
        <v>0</v>
      </c>
      <c r="DJ14" s="83" t="n">
        <v>8.430093658587769</v>
      </c>
      <c r="DK14" s="83" t="n">
        <v>8.43</v>
      </c>
      <c r="DL14" s="1083" t="n">
        <v>258158</v>
      </c>
      <c r="DM14" s="1084" t="n">
        <v>165221.12</v>
      </c>
      <c r="DN14" s="1085" t="n">
        <v>51631.6</v>
      </c>
      <c r="DO14" s="1085" t="n">
        <v>33044.224</v>
      </c>
      <c r="DP14" s="87" t="n">
        <v>5.601088414076298</v>
      </c>
      <c r="DQ14" s="88" t="n">
        <v>-2.82900524451147</v>
      </c>
      <c r="DR14" s="1005" t="n">
        <v>-29.68174587609771</v>
      </c>
      <c r="DS14" s="1005" t="n">
        <v>-30.46381831098621</v>
      </c>
      <c r="DT14" s="90" t="n">
        <v>-14476.68266666667</v>
      </c>
      <c r="DU14" s="90" t="n">
        <v>-13948.16</v>
      </c>
      <c r="DV14" s="90" t="n">
        <v>-1034.048761904762</v>
      </c>
      <c r="DW14" s="90" t="n">
        <v>-996.2971428571431</v>
      </c>
      <c r="DX14" s="90" t="n">
        <v>-4981.485714285715</v>
      </c>
    </row>
    <row r="15" ht="20.4" customFormat="1" customHeight="1" s="125" thickBot="1">
      <c r="A15" s="119" t="n"/>
      <c r="B15" s="120" t="n"/>
      <c r="C15" s="120" t="n"/>
      <c r="D15" s="121" t="n"/>
      <c r="E15" s="121" t="n"/>
      <c r="F15" s="121" t="n"/>
      <c r="G15" s="121" t="n"/>
      <c r="H15" s="1086" t="n"/>
      <c r="I15" s="1087" t="n">
        <v>0</v>
      </c>
      <c r="J15" s="1086" t="n"/>
      <c r="K15" s="1087" t="n">
        <v>0</v>
      </c>
      <c r="L15" s="1086" t="n"/>
      <c r="M15" s="1087" t="n">
        <v>0</v>
      </c>
      <c r="N15" s="1086" t="n"/>
      <c r="O15" s="1087" t="n">
        <v>0</v>
      </c>
      <c r="P15" s="1086" t="n"/>
      <c r="Q15" s="1087" t="n">
        <v>0</v>
      </c>
      <c r="R15" s="1086" t="n"/>
      <c r="S15" s="1087" t="n">
        <v>0</v>
      </c>
      <c r="T15" s="1086" t="n"/>
      <c r="U15" s="1087" t="n">
        <v>0</v>
      </c>
      <c r="V15" s="1086" t="n"/>
      <c r="W15" s="1087" t="n">
        <v>0</v>
      </c>
      <c r="X15" s="1086" t="n"/>
      <c r="Y15" s="1087" t="n">
        <v>0</v>
      </c>
      <c r="Z15" s="1086" t="n"/>
      <c r="AA15" s="1087" t="n">
        <v>0</v>
      </c>
      <c r="AB15" s="1086" t="n"/>
      <c r="AC15" s="1087" t="n">
        <v>0</v>
      </c>
      <c r="AD15" s="1086" t="n"/>
      <c r="AE15" s="1087" t="n">
        <v>0</v>
      </c>
      <c r="AF15" s="1086" t="n">
        <v>0</v>
      </c>
      <c r="AG15" s="1087" t="n">
        <v>0</v>
      </c>
      <c r="AH15" s="1086" t="n"/>
      <c r="AI15" s="1087" t="n">
        <v>0</v>
      </c>
      <c r="AJ15" s="1086" t="n"/>
      <c r="AK15" s="1087" t="n">
        <v>0</v>
      </c>
      <c r="AL15" s="1086" t="n"/>
      <c r="AM15" s="1087" t="n">
        <v>0</v>
      </c>
      <c r="AN15" s="1086" t="n"/>
      <c r="AO15" s="1087" t="n">
        <v>0</v>
      </c>
      <c r="AP15" s="1086" t="n"/>
      <c r="AQ15" s="1087" t="n">
        <v>0</v>
      </c>
      <c r="AR15" s="1086" t="n"/>
      <c r="AS15" s="1087" t="n">
        <v>0</v>
      </c>
      <c r="AT15" s="1086" t="n"/>
      <c r="AU15" s="1087" t="n">
        <v>0</v>
      </c>
      <c r="AV15" s="1086" t="n"/>
      <c r="AW15" s="1087" t="n">
        <v>0</v>
      </c>
      <c r="AX15" s="1086" t="n"/>
      <c r="AY15" s="1087" t="n">
        <v>0</v>
      </c>
      <c r="AZ15" s="1086" t="n"/>
      <c r="BA15" s="1087" t="n">
        <v>0</v>
      </c>
      <c r="BB15" s="1086" t="n"/>
      <c r="BC15" s="1087" t="n">
        <v>0</v>
      </c>
      <c r="BD15" s="1086" t="n"/>
      <c r="BE15" s="1087" t="n">
        <v>0</v>
      </c>
      <c r="BF15" s="1086" t="n">
        <v>0</v>
      </c>
      <c r="BG15" s="1087" t="n">
        <v>0</v>
      </c>
      <c r="BH15" s="1086" t="n"/>
      <c r="BI15" s="1087" t="n">
        <v>0</v>
      </c>
      <c r="BJ15" s="1086" t="n"/>
      <c r="BK15" s="1087" t="n">
        <v>0</v>
      </c>
      <c r="BL15" s="1086" t="n"/>
      <c r="BM15" s="1087" t="n">
        <v>0</v>
      </c>
      <c r="BN15" s="1086" t="n"/>
      <c r="BO15" s="1087" t="n">
        <v>0</v>
      </c>
      <c r="BP15" s="1086" t="n"/>
      <c r="BQ15" s="1087" t="n">
        <v>0</v>
      </c>
      <c r="BR15" s="1088">
        <f>BR13+BR14</f>
        <v/>
      </c>
      <c r="BS15" s="1088">
        <f>BS13+BS14</f>
        <v/>
      </c>
      <c r="BT15" s="1088">
        <f>BT13+BT14</f>
        <v/>
      </c>
      <c r="BU15" s="1088">
        <f>BU13+BU14</f>
        <v/>
      </c>
      <c r="BV15" s="1088">
        <f>BV13+BV14</f>
        <v/>
      </c>
      <c r="BW15" s="1088">
        <f>BW13+BW14</f>
        <v/>
      </c>
      <c r="BX15" s="1088">
        <f>BX13+BX14</f>
        <v/>
      </c>
      <c r="BY15" s="1088">
        <f>BY13+BY14</f>
        <v/>
      </c>
      <c r="BZ15" s="1088">
        <f>BZ13+BZ14</f>
        <v/>
      </c>
      <c r="CA15" s="1088">
        <f>CA13+CA14</f>
        <v/>
      </c>
      <c r="CB15" s="1088">
        <f>CB13+CB14</f>
        <v/>
      </c>
      <c r="CC15" s="1088">
        <f>CC13+CC14</f>
        <v/>
      </c>
      <c r="CD15" s="1088">
        <f>CD13+CD14</f>
        <v/>
      </c>
      <c r="CE15" s="1088">
        <f>CE13+CE14</f>
        <v/>
      </c>
      <c r="CF15" s="1088">
        <f>CF13+CF14</f>
        <v/>
      </c>
      <c r="CG15" s="1088">
        <f>CG13+CG14</f>
        <v/>
      </c>
      <c r="CH15" s="1088">
        <f>CH13+CH14</f>
        <v/>
      </c>
      <c r="CI15" s="1088">
        <f>CI13+CI14</f>
        <v/>
      </c>
      <c r="CJ15" s="1088">
        <f>CJ13+CJ14</f>
        <v/>
      </c>
      <c r="CK15" s="1088">
        <f>CK13+CK14</f>
        <v/>
      </c>
      <c r="CL15" s="1088">
        <f>CL13+CL14</f>
        <v/>
      </c>
      <c r="CM15" s="1088">
        <f>CM13+CM14</f>
        <v/>
      </c>
      <c r="CN15" s="1088">
        <f>CN13+CN14</f>
        <v/>
      </c>
      <c r="CO15" s="1088">
        <f>CO13+CO14</f>
        <v/>
      </c>
      <c r="CP15" s="1088">
        <f>CP13+CP14</f>
        <v/>
      </c>
      <c r="CQ15" s="1088">
        <f>CQ13+CQ14</f>
        <v/>
      </c>
      <c r="CR15" s="1088">
        <f>CR13+CR14</f>
        <v/>
      </c>
      <c r="CS15" s="1088">
        <f>CS13+CS14</f>
        <v/>
      </c>
      <c r="CT15" s="1088">
        <f>CT13+CT14</f>
        <v/>
      </c>
      <c r="CU15" s="1088">
        <f>CU13+CU14</f>
        <v/>
      </c>
      <c r="CV15" s="1088">
        <f>CV13+CV14</f>
        <v/>
      </c>
      <c r="CW15" s="1088">
        <f>CW13+CW14</f>
        <v/>
      </c>
      <c r="CX15" s="1088">
        <f>CX13+CX14</f>
        <v/>
      </c>
      <c r="CY15" s="1088">
        <f>CY13+CY14</f>
        <v/>
      </c>
      <c r="CZ15" s="1088">
        <f>CZ13+CZ14</f>
        <v/>
      </c>
      <c r="DA15" s="1088">
        <f>DA13+DA14</f>
        <v/>
      </c>
      <c r="DB15" s="1088">
        <f>DB13+DB14</f>
        <v/>
      </c>
      <c r="DC15" s="1088">
        <f>DC13+DC14</f>
        <v/>
      </c>
      <c r="DD15" s="1088">
        <f>DD13+DD14</f>
        <v/>
      </c>
      <c r="DE15" s="1088">
        <f>DE13+DE14</f>
        <v/>
      </c>
      <c r="DF15" s="1088">
        <f>DF13+DF14</f>
        <v/>
      </c>
      <c r="DG15" s="1088">
        <f>DG13+DG14</f>
        <v/>
      </c>
      <c r="DH15" s="1088">
        <f>DH13+DH14</f>
        <v/>
      </c>
      <c r="DI15" s="1088">
        <f>DI13+DI14</f>
        <v/>
      </c>
      <c r="DJ15" s="214">
        <f>DJ13+DJ14</f>
        <v/>
      </c>
      <c r="DK15" s="214">
        <f>DK13+DK14</f>
        <v/>
      </c>
      <c r="DL15" s="1088">
        <f>DL13+DL14</f>
        <v/>
      </c>
      <c r="DM15" s="1088">
        <f>DM13+DM14</f>
        <v/>
      </c>
      <c r="DN15" s="1088">
        <f>DN13+DN14</f>
        <v/>
      </c>
      <c r="DO15" s="1088">
        <f>DO13+DO14</f>
        <v/>
      </c>
      <c r="DP15" s="214">
        <f>DP13+DP14</f>
        <v/>
      </c>
      <c r="DQ15" s="214">
        <f>DQ13+DQ14</f>
        <v/>
      </c>
      <c r="DR15" s="1088">
        <f>DR13+DR14</f>
        <v/>
      </c>
      <c r="DS15" s="1088">
        <f>DS13+DS14</f>
        <v/>
      </c>
      <c r="DT15" s="1088">
        <f>DT13+DT14</f>
        <v/>
      </c>
      <c r="DU15" s="1088">
        <f>DU13+DU14</f>
        <v/>
      </c>
      <c r="DV15" s="1088">
        <f>DV13+DV14</f>
        <v/>
      </c>
      <c r="DW15" s="1088">
        <f>DW13+DW14</f>
        <v/>
      </c>
      <c r="DX15" s="215">
        <f>DX13+DX14</f>
        <v/>
      </c>
    </row>
    <row r="16">
      <c r="A16" s="92" t="n">
        <v>24</v>
      </c>
      <c r="B16" s="93" t="inlineStr">
        <is>
          <t>Zayawaddy Red(1 Liter)30%</t>
        </is>
      </c>
      <c r="C16" s="93" t="inlineStr">
        <is>
          <t>‌ကော်ဘူး</t>
        </is>
      </c>
      <c r="D16" s="92" t="n">
        <v>29</v>
      </c>
      <c r="E16" s="92" t="n">
        <v>1</v>
      </c>
      <c r="F16" s="92" t="inlineStr">
        <is>
          <t>1 * 12</t>
        </is>
      </c>
      <c r="G16" s="92" t="n">
        <v>1580</v>
      </c>
      <c r="H16" s="996" t="n">
        <v>840</v>
      </c>
      <c r="I16" s="997" t="n">
        <v>840</v>
      </c>
      <c r="J16" s="996" t="n"/>
      <c r="K16" s="997" t="n">
        <v>0</v>
      </c>
      <c r="L16" s="996" t="n">
        <v>1812</v>
      </c>
      <c r="M16" s="997" t="n">
        <v>1812</v>
      </c>
      <c r="N16" s="996" t="n"/>
      <c r="O16" s="997" t="n">
        <v>0</v>
      </c>
      <c r="P16" s="996" t="n"/>
      <c r="Q16" s="997" t="n">
        <v>0</v>
      </c>
      <c r="R16" s="996" t="n"/>
      <c r="S16" s="997" t="n">
        <v>0</v>
      </c>
      <c r="T16" s="996" t="n"/>
      <c r="U16" s="997" t="n">
        <v>0</v>
      </c>
      <c r="V16" s="996" t="n"/>
      <c r="W16" s="997" t="n">
        <v>0</v>
      </c>
      <c r="X16" s="996" t="n"/>
      <c r="Y16" s="997" t="n">
        <v>0</v>
      </c>
      <c r="Z16" s="996" t="n"/>
      <c r="AA16" s="997" t="n">
        <v>0</v>
      </c>
      <c r="AB16" s="996" t="n"/>
      <c r="AC16" s="997" t="n">
        <v>0</v>
      </c>
      <c r="AD16" s="996" t="n">
        <v>120</v>
      </c>
      <c r="AE16" s="997" t="n">
        <v>120</v>
      </c>
      <c r="AF16" s="998" t="n">
        <v>231</v>
      </c>
      <c r="AG16" s="999" t="n">
        <v>231</v>
      </c>
      <c r="AH16" s="996" t="n"/>
      <c r="AI16" s="997" t="n">
        <v>0</v>
      </c>
      <c r="AJ16" s="996" t="n"/>
      <c r="AK16" s="997" t="n">
        <v>0</v>
      </c>
      <c r="AL16" s="996" t="n"/>
      <c r="AM16" s="997" t="n">
        <v>0</v>
      </c>
      <c r="AN16" s="996" t="n"/>
      <c r="AO16" s="997" t="n">
        <v>0</v>
      </c>
      <c r="AP16" s="996" t="n"/>
      <c r="AQ16" s="997" t="n">
        <v>0</v>
      </c>
      <c r="AR16" s="996" t="n"/>
      <c r="AS16" s="997" t="n">
        <v>0</v>
      </c>
      <c r="AT16" s="996" t="n"/>
      <c r="AU16" s="997" t="n">
        <v>0</v>
      </c>
      <c r="AV16" s="996" t="n"/>
      <c r="AW16" s="997" t="n">
        <v>0</v>
      </c>
      <c r="AX16" s="996" t="n"/>
      <c r="AY16" s="997" t="n">
        <v>0</v>
      </c>
      <c r="AZ16" s="996" t="n"/>
      <c r="BA16" s="997" t="n">
        <v>0</v>
      </c>
      <c r="BB16" s="996" t="n"/>
      <c r="BC16" s="997" t="n">
        <v>0</v>
      </c>
      <c r="BD16" s="996" t="n"/>
      <c r="BE16" s="997" t="n">
        <v>0</v>
      </c>
      <c r="BF16" s="998" t="n">
        <v>0</v>
      </c>
      <c r="BG16" s="999" t="n">
        <v>0</v>
      </c>
      <c r="BH16" s="996" t="n"/>
      <c r="BI16" s="997" t="n">
        <v>0</v>
      </c>
      <c r="BJ16" s="996" t="n"/>
      <c r="BK16" s="997" t="n">
        <v>0</v>
      </c>
      <c r="BL16" s="996" t="n"/>
      <c r="BM16" s="997" t="n">
        <v>0</v>
      </c>
      <c r="BN16" s="996" t="n"/>
      <c r="BO16" s="997" t="n">
        <v>0</v>
      </c>
      <c r="BP16" s="996" t="n"/>
      <c r="BQ16" s="997" t="n">
        <v>0</v>
      </c>
      <c r="BR16" s="1000" t="n">
        <v>0</v>
      </c>
      <c r="BS16" s="997" t="n">
        <v>0</v>
      </c>
      <c r="BT16" s="996" t="n"/>
      <c r="BU16" s="997" t="n">
        <v>0</v>
      </c>
      <c r="BV16" s="996" t="n"/>
      <c r="BW16" s="997" t="n">
        <v>0</v>
      </c>
      <c r="BX16" s="996" t="n"/>
      <c r="BY16" s="997" t="n">
        <v>0</v>
      </c>
      <c r="BZ16" s="996" t="n"/>
      <c r="CA16" s="997" t="n">
        <v>0</v>
      </c>
      <c r="CB16" s="996" t="n"/>
      <c r="CC16" s="997" t="n">
        <v>0</v>
      </c>
      <c r="CD16" s="996" t="n"/>
      <c r="CE16" s="997" t="n">
        <v>0</v>
      </c>
      <c r="CF16" s="996" t="n"/>
      <c r="CG16" s="997" t="n">
        <v>0</v>
      </c>
      <c r="CH16" s="998" t="n">
        <v>0</v>
      </c>
      <c r="CI16" s="999" t="n">
        <v>0</v>
      </c>
      <c r="CJ16" s="1089" t="n"/>
      <c r="CK16" s="997" t="n">
        <v>0</v>
      </c>
      <c r="CL16" s="1002" t="n"/>
      <c r="CM16" s="997" t="n">
        <v>0</v>
      </c>
      <c r="CN16" s="1002" t="n"/>
      <c r="CO16" s="95" t="n">
        <v>0</v>
      </c>
      <c r="CP16" s="1002" t="n"/>
      <c r="CQ16" s="95" t="n">
        <v>0</v>
      </c>
      <c r="CR16" s="1002" t="n"/>
      <c r="CS16" s="95" t="n">
        <v>0</v>
      </c>
      <c r="CT16" s="1002" t="n">
        <v>840</v>
      </c>
      <c r="CU16" s="95" t="n">
        <v>840</v>
      </c>
      <c r="CV16" s="1002" t="n"/>
      <c r="CW16" s="95" t="n">
        <v>0</v>
      </c>
      <c r="CX16" s="1002" t="n"/>
      <c r="CY16" s="95" t="n">
        <v>0</v>
      </c>
      <c r="CZ16" s="1002" t="n"/>
      <c r="DA16" s="95" t="n">
        <v>0</v>
      </c>
      <c r="DB16" s="1002" t="n"/>
      <c r="DC16" s="95" t="n">
        <v>0</v>
      </c>
      <c r="DD16" s="1002" t="n"/>
      <c r="DE16" s="95" t="n">
        <v>0</v>
      </c>
      <c r="DF16" s="1002" t="n"/>
      <c r="DG16" s="95" t="n">
        <v>0</v>
      </c>
      <c r="DH16" s="1002" t="n"/>
      <c r="DI16" s="95" t="n">
        <v>0</v>
      </c>
      <c r="DJ16" s="95" t="n">
        <v>0</v>
      </c>
      <c r="DK16" s="95" t="n"/>
      <c r="DL16" s="1003" t="n">
        <v>840</v>
      </c>
      <c r="DM16" s="1001" t="n">
        <v>840</v>
      </c>
      <c r="DN16" s="1090" t="n">
        <v>168</v>
      </c>
      <c r="DO16" s="1090" t="n">
        <v>168</v>
      </c>
      <c r="DP16" s="97" t="n">
        <v>0.02847647000470696</v>
      </c>
      <c r="DQ16" s="98" t="n">
        <v>0.02847647000470696</v>
      </c>
      <c r="DR16" s="1091" t="n"/>
      <c r="DS16" s="1091" t="n"/>
      <c r="DT16" s="100" t="n">
        <v>168</v>
      </c>
      <c r="DU16" s="100" t="n">
        <v>168</v>
      </c>
      <c r="DV16" s="100" t="n">
        <v>12</v>
      </c>
      <c r="DW16" s="100" t="n">
        <v>12</v>
      </c>
      <c r="DX16" s="100" t="n">
        <v>60</v>
      </c>
    </row>
    <row r="17">
      <c r="A17" s="7" t="n">
        <v>30</v>
      </c>
      <c r="B17" s="8" t="inlineStr">
        <is>
          <t xml:space="preserve">Zayawaddy Red </t>
        </is>
      </c>
      <c r="C17" s="8" t="inlineStr">
        <is>
          <t>ပုလင်း</t>
        </is>
      </c>
      <c r="D17" s="7" t="n">
        <v>18</v>
      </c>
      <c r="E17" s="7" t="n">
        <v>0.7</v>
      </c>
      <c r="F17" s="7" t="inlineStr">
        <is>
          <t>1 * 12</t>
        </is>
      </c>
      <c r="G17" s="7" t="n">
        <v>1700</v>
      </c>
      <c r="H17" s="975" t="n">
        <v>25776</v>
      </c>
      <c r="I17" s="976" t="n">
        <v>18043.2</v>
      </c>
      <c r="J17" s="975" t="n">
        <v>20160</v>
      </c>
      <c r="K17" s="976" t="n">
        <v>14112</v>
      </c>
      <c r="L17" s="975" t="n">
        <v>22660</v>
      </c>
      <c r="M17" s="976" t="n">
        <v>15862</v>
      </c>
      <c r="N17" s="975" t="n">
        <v>16679</v>
      </c>
      <c r="O17" s="976" t="n">
        <v>11675.3</v>
      </c>
      <c r="P17" s="975" t="n">
        <v>12936</v>
      </c>
      <c r="Q17" s="976" t="n">
        <v>9055.199999999999</v>
      </c>
      <c r="R17" s="975" t="n">
        <v>12696</v>
      </c>
      <c r="S17" s="976" t="n">
        <v>8887.199999999999</v>
      </c>
      <c r="T17" s="975" t="n">
        <v>14820</v>
      </c>
      <c r="U17" s="976" t="n">
        <v>10374</v>
      </c>
      <c r="V17" s="975" t="n">
        <v>24228</v>
      </c>
      <c r="W17" s="976" t="n">
        <v>16959.6</v>
      </c>
      <c r="X17" s="975" t="n">
        <v>9156</v>
      </c>
      <c r="Y17" s="976" t="n">
        <v>6409.2</v>
      </c>
      <c r="Z17" s="975" t="n">
        <v>8520</v>
      </c>
      <c r="AA17" s="976" t="n">
        <v>5964</v>
      </c>
      <c r="AB17" s="975" t="n">
        <v>10776</v>
      </c>
      <c r="AC17" s="976" t="n">
        <v>7543.2</v>
      </c>
      <c r="AD17" s="975" t="n">
        <v>8832</v>
      </c>
      <c r="AE17" s="976" t="n">
        <v>6182.4</v>
      </c>
      <c r="AF17" s="977" t="n">
        <v>15603.25</v>
      </c>
      <c r="AG17" s="978" t="n">
        <v>10922.275</v>
      </c>
      <c r="AH17" s="975" t="n">
        <v>10740</v>
      </c>
      <c r="AI17" s="976" t="n">
        <v>7517.999999999999</v>
      </c>
      <c r="AJ17" s="975" t="n">
        <v>5988</v>
      </c>
      <c r="AK17" s="976" t="n">
        <v>4191.599999999999</v>
      </c>
      <c r="AL17" s="975" t="n">
        <v>9600</v>
      </c>
      <c r="AM17" s="976" t="n">
        <v>6720</v>
      </c>
      <c r="AN17" s="975" t="n">
        <v>6972</v>
      </c>
      <c r="AO17" s="976" t="n">
        <v>4880.4</v>
      </c>
      <c r="AP17" s="975" t="n">
        <v>6840</v>
      </c>
      <c r="AQ17" s="976" t="n">
        <v>4788</v>
      </c>
      <c r="AR17" s="975" t="n">
        <v>7380</v>
      </c>
      <c r="AS17" s="976" t="n">
        <v>5166</v>
      </c>
      <c r="AT17" s="975" t="n">
        <v>4404</v>
      </c>
      <c r="AU17" s="976" t="n">
        <v>3082.8</v>
      </c>
      <c r="AV17" s="975" t="n">
        <v>6624</v>
      </c>
      <c r="AW17" s="976" t="n">
        <v>4636.799999999999</v>
      </c>
      <c r="AX17" s="975" t="n">
        <v>4282</v>
      </c>
      <c r="AY17" s="976" t="n">
        <v>2997.4</v>
      </c>
      <c r="AZ17" s="975" t="n">
        <v>6540</v>
      </c>
      <c r="BA17" s="976" t="n">
        <v>4578</v>
      </c>
      <c r="BB17" s="975" t="n">
        <v>5640</v>
      </c>
      <c r="BC17" s="976" t="n">
        <v>3948</v>
      </c>
      <c r="BD17" s="975" t="n">
        <v>5580</v>
      </c>
      <c r="BE17" s="976" t="n">
        <v>3906</v>
      </c>
      <c r="BF17" s="977" t="n">
        <v>6715.833333333333</v>
      </c>
      <c r="BG17" s="978" t="n">
        <v>4701.083333333333</v>
      </c>
      <c r="BH17" s="975" t="n">
        <v>6204</v>
      </c>
      <c r="BI17" s="976" t="n">
        <v>4342.799999999999</v>
      </c>
      <c r="BJ17" s="975" t="n">
        <v>5268</v>
      </c>
      <c r="BK17" s="976" t="n">
        <v>3687.6</v>
      </c>
      <c r="BL17" s="975" t="n">
        <v>4440</v>
      </c>
      <c r="BM17" s="976" t="n">
        <v>3108</v>
      </c>
      <c r="BN17" s="975" t="n">
        <v>3996</v>
      </c>
      <c r="BO17" s="976" t="n">
        <v>2797.2</v>
      </c>
      <c r="BP17" s="975" t="n">
        <v>2436</v>
      </c>
      <c r="BQ17" s="976" t="n">
        <v>1705.2</v>
      </c>
      <c r="BR17" s="979" t="n">
        <v>4468.8</v>
      </c>
      <c r="BS17" s="976" t="n">
        <v>3128.16</v>
      </c>
      <c r="BT17" s="975" t="n">
        <v>4006</v>
      </c>
      <c r="BU17" s="976" t="n">
        <v>2804.2</v>
      </c>
      <c r="BV17" s="975" t="n">
        <v>4020</v>
      </c>
      <c r="BW17" s="976" t="n">
        <v>2814</v>
      </c>
      <c r="BX17" s="975" t="n">
        <v>3900</v>
      </c>
      <c r="BY17" s="976" t="n">
        <v>2730</v>
      </c>
      <c r="BZ17" s="975" t="n">
        <v>4788</v>
      </c>
      <c r="CA17" s="976" t="n">
        <v>3351.6</v>
      </c>
      <c r="CB17" s="975" t="n">
        <v>4680</v>
      </c>
      <c r="CC17" s="976" t="n">
        <v>3276</v>
      </c>
      <c r="CD17" s="975" t="n">
        <v>4452</v>
      </c>
      <c r="CE17" s="976" t="n">
        <v>3116.4</v>
      </c>
      <c r="CF17" s="975" t="n">
        <v>5232</v>
      </c>
      <c r="CG17" s="976" t="n">
        <v>3662.4</v>
      </c>
      <c r="CH17" s="977" t="n">
        <v>4451.833333333333</v>
      </c>
      <c r="CI17" s="978" t="n">
        <v>3116.283333333333</v>
      </c>
      <c r="CJ17" s="980" t="n">
        <v>4452</v>
      </c>
      <c r="CK17" s="976" t="n">
        <v>3116.4</v>
      </c>
      <c r="CL17" s="982" t="n">
        <v>4836</v>
      </c>
      <c r="CM17" s="976" t="n">
        <v>3385.2</v>
      </c>
      <c r="CN17" s="982" t="n">
        <v>3924</v>
      </c>
      <c r="CO17" s="15" t="n">
        <v>2746.8</v>
      </c>
      <c r="CP17" s="982" t="n">
        <v>6216</v>
      </c>
      <c r="CQ17" s="15" t="n">
        <v>4351.2</v>
      </c>
      <c r="CR17" s="982" t="n">
        <v>1416</v>
      </c>
      <c r="CS17" s="15" t="n">
        <v>991.1999999999999</v>
      </c>
      <c r="CT17" s="982" t="n">
        <v>2400</v>
      </c>
      <c r="CU17" s="15" t="n">
        <v>1680</v>
      </c>
      <c r="CV17" s="982" t="n"/>
      <c r="CW17" s="15" t="n">
        <v>0</v>
      </c>
      <c r="CX17" s="982" t="n"/>
      <c r="CY17" s="15" t="n">
        <v>0</v>
      </c>
      <c r="CZ17" s="982" t="n"/>
      <c r="DA17" s="15" t="n">
        <v>0</v>
      </c>
      <c r="DB17" s="982" t="n"/>
      <c r="DC17" s="15" t="n">
        <v>0</v>
      </c>
      <c r="DD17" s="982" t="n"/>
      <c r="DE17" s="15" t="n">
        <v>0</v>
      </c>
      <c r="DF17" s="982" t="n"/>
      <c r="DG17" s="15" t="n">
        <v>0</v>
      </c>
      <c r="DH17" s="982" t="n"/>
      <c r="DI17" s="15" t="n">
        <v>0</v>
      </c>
      <c r="DJ17" s="15" t="n">
        <v>0.5528211098952674</v>
      </c>
      <c r="DK17" s="15" t="n"/>
      <c r="DL17" s="983" t="n">
        <v>18792</v>
      </c>
      <c r="DM17" s="984" t="n">
        <v>13154.4</v>
      </c>
      <c r="DN17" s="985" t="n">
        <v>3758.4</v>
      </c>
      <c r="DO17" s="985" t="n">
        <v>2630.88</v>
      </c>
      <c r="DP17" s="69" t="n">
        <v>0.4459415202737111</v>
      </c>
      <c r="DQ17" s="70" t="n">
        <v>-0.1068795896215564</v>
      </c>
      <c r="DR17" s="986" t="n">
        <v>-15.89688506981739</v>
      </c>
      <c r="DS17" s="986" t="n">
        <v>-15.57635431095802</v>
      </c>
      <c r="DT17" s="72" t="n">
        <v>-485.4033333333327</v>
      </c>
      <c r="DU17" s="72" t="n">
        <v>-497.2799999999997</v>
      </c>
      <c r="DV17" s="72" t="n">
        <v>-34.67166666666662</v>
      </c>
      <c r="DW17" s="72" t="n">
        <v>-35.51999999999998</v>
      </c>
      <c r="DX17" s="72" t="n">
        <v>-177.5999999999999</v>
      </c>
    </row>
    <row r="18">
      <c r="A18" s="7" t="n">
        <v>31</v>
      </c>
      <c r="B18" s="8" t="inlineStr">
        <is>
          <t>Zeyawaddy Rum (43%)</t>
        </is>
      </c>
      <c r="C18" s="8" t="inlineStr">
        <is>
          <t>ပုလင်း</t>
        </is>
      </c>
      <c r="D18" s="7" t="n">
        <v>24</v>
      </c>
      <c r="E18" s="7" t="n">
        <v>0.68</v>
      </c>
      <c r="F18" s="7" t="inlineStr">
        <is>
          <t>1 * 12</t>
        </is>
      </c>
      <c r="G18" s="7" t="n">
        <v>1500</v>
      </c>
      <c r="H18" s="975" t="n"/>
      <c r="I18" s="976" t="n">
        <v>0</v>
      </c>
      <c r="J18" s="975" t="n"/>
      <c r="K18" s="976" t="n">
        <v>0</v>
      </c>
      <c r="L18" s="975" t="n"/>
      <c r="M18" s="976" t="n">
        <v>0</v>
      </c>
      <c r="N18" s="975" t="n"/>
      <c r="O18" s="976" t="n">
        <v>0</v>
      </c>
      <c r="P18" s="975" t="n"/>
      <c r="Q18" s="976" t="n">
        <v>0</v>
      </c>
      <c r="R18" s="975" t="n"/>
      <c r="S18" s="976" t="n">
        <v>0</v>
      </c>
      <c r="T18" s="975" t="n"/>
      <c r="U18" s="976" t="n">
        <v>0</v>
      </c>
      <c r="V18" s="975" t="n"/>
      <c r="W18" s="976" t="n">
        <v>0</v>
      </c>
      <c r="X18" s="975" t="n"/>
      <c r="Y18" s="976" t="n">
        <v>0</v>
      </c>
      <c r="Z18" s="975" t="n"/>
      <c r="AA18" s="976" t="n">
        <v>0</v>
      </c>
      <c r="AB18" s="975" t="n"/>
      <c r="AC18" s="976" t="n">
        <v>0</v>
      </c>
      <c r="AD18" s="975" t="n"/>
      <c r="AE18" s="976" t="n">
        <v>0</v>
      </c>
      <c r="AF18" s="977" t="n">
        <v>0</v>
      </c>
      <c r="AG18" s="978" t="n">
        <v>0</v>
      </c>
      <c r="AH18" s="975" t="n"/>
      <c r="AI18" s="976" t="n">
        <v>0</v>
      </c>
      <c r="AJ18" s="975" t="n"/>
      <c r="AK18" s="976" t="n">
        <v>0</v>
      </c>
      <c r="AL18" s="975" t="n"/>
      <c r="AM18" s="976" t="n">
        <v>0</v>
      </c>
      <c r="AN18" s="975" t="n"/>
      <c r="AO18" s="976" t="n">
        <v>0</v>
      </c>
      <c r="AP18" s="975" t="n"/>
      <c r="AQ18" s="976" t="n">
        <v>0</v>
      </c>
      <c r="AR18" s="975" t="n"/>
      <c r="AS18" s="976" t="n">
        <v>0</v>
      </c>
      <c r="AT18" s="975" t="n"/>
      <c r="AU18" s="976" t="n">
        <v>0</v>
      </c>
      <c r="AV18" s="975" t="n">
        <v>264</v>
      </c>
      <c r="AW18" s="976" t="n">
        <v>179.52</v>
      </c>
      <c r="AX18" s="975" t="n">
        <v>1668</v>
      </c>
      <c r="AY18" s="976" t="n">
        <v>1134.24</v>
      </c>
      <c r="AZ18" s="975" t="n">
        <v>4235</v>
      </c>
      <c r="BA18" s="976" t="n">
        <v>2879.8</v>
      </c>
      <c r="BB18" s="975" t="n">
        <v>576</v>
      </c>
      <c r="BC18" s="976" t="n">
        <v>391.68</v>
      </c>
      <c r="BD18" s="975" t="n">
        <v>324</v>
      </c>
      <c r="BE18" s="976" t="n">
        <v>220.32</v>
      </c>
      <c r="BF18" s="977" t="n">
        <v>588.9166666666666</v>
      </c>
      <c r="BG18" s="978" t="n">
        <v>400.4633333333333</v>
      </c>
      <c r="BH18" s="975" t="n">
        <v>1200</v>
      </c>
      <c r="BI18" s="976" t="n">
        <v>816.0000000000001</v>
      </c>
      <c r="BJ18" s="975" t="n">
        <v>611</v>
      </c>
      <c r="BK18" s="976" t="n">
        <v>415.48</v>
      </c>
      <c r="BL18" s="975" t="n">
        <v>1647</v>
      </c>
      <c r="BM18" s="976" t="n">
        <v>1119.96</v>
      </c>
      <c r="BN18" s="975" t="n">
        <v>1038</v>
      </c>
      <c r="BO18" s="976" t="n">
        <v>705.84</v>
      </c>
      <c r="BP18" s="975" t="n">
        <v>283</v>
      </c>
      <c r="BQ18" s="976" t="n">
        <v>192.44</v>
      </c>
      <c r="BR18" s="979" t="n">
        <v>955.8</v>
      </c>
      <c r="BS18" s="976" t="n">
        <v>649.9440000000001</v>
      </c>
      <c r="BT18" s="975" t="n">
        <v>674</v>
      </c>
      <c r="BU18" s="976" t="n">
        <v>458.3200000000001</v>
      </c>
      <c r="BV18" s="975" t="n">
        <v>670</v>
      </c>
      <c r="BW18" s="976" t="n">
        <v>455.6</v>
      </c>
      <c r="BX18" s="975" t="n">
        <v>624</v>
      </c>
      <c r="BY18" s="976" t="n">
        <v>424.3200000000001</v>
      </c>
      <c r="BZ18" s="975" t="n">
        <v>984</v>
      </c>
      <c r="CA18" s="976" t="n">
        <v>669.12</v>
      </c>
      <c r="CB18" s="975" t="n">
        <v>712</v>
      </c>
      <c r="CC18" s="976" t="n">
        <v>484.16</v>
      </c>
      <c r="CD18" s="975" t="n">
        <v>528</v>
      </c>
      <c r="CE18" s="976" t="n">
        <v>359.04</v>
      </c>
      <c r="CF18" s="975" t="n">
        <v>492</v>
      </c>
      <c r="CG18" s="976" t="n">
        <v>334.56</v>
      </c>
      <c r="CH18" s="977" t="n">
        <v>788.5833333333334</v>
      </c>
      <c r="CI18" s="978" t="n">
        <v>536.2366666666667</v>
      </c>
      <c r="CJ18" s="980" t="n">
        <v>788</v>
      </c>
      <c r="CK18" s="976" t="n">
        <v>535.84</v>
      </c>
      <c r="CL18" s="982" t="n">
        <v>360</v>
      </c>
      <c r="CM18" s="976" t="n">
        <v>244.8</v>
      </c>
      <c r="CN18" s="982" t="n">
        <v>360</v>
      </c>
      <c r="CO18" s="15" t="n">
        <v>244.8</v>
      </c>
      <c r="CP18" s="982" t="n">
        <v>240</v>
      </c>
      <c r="CQ18" s="15" t="n">
        <v>163.2</v>
      </c>
      <c r="CR18" s="982" t="n">
        <v>1116</v>
      </c>
      <c r="CS18" s="15" t="n">
        <v>758.8800000000001</v>
      </c>
      <c r="CT18" s="982" t="n">
        <v>480</v>
      </c>
      <c r="CU18" s="15" t="n">
        <v>326.4</v>
      </c>
      <c r="CV18" s="982" t="n"/>
      <c r="CW18" s="15" t="n">
        <v>0</v>
      </c>
      <c r="CX18" s="982" t="n"/>
      <c r="CY18" s="15" t="n">
        <v>0</v>
      </c>
      <c r="CZ18" s="982" t="n"/>
      <c r="DA18" s="15" t="n">
        <v>0</v>
      </c>
      <c r="DB18" s="982" t="n"/>
      <c r="DC18" s="15" t="n">
        <v>0</v>
      </c>
      <c r="DD18" s="982" t="n"/>
      <c r="DE18" s="15" t="n">
        <v>0</v>
      </c>
      <c r="DF18" s="982" t="n"/>
      <c r="DG18" s="15" t="n">
        <v>0</v>
      </c>
      <c r="DH18" s="982" t="n"/>
      <c r="DI18" s="15" t="n">
        <v>0</v>
      </c>
      <c r="DJ18" s="15" t="n">
        <v>0.09512708490344972</v>
      </c>
      <c r="DK18" s="15" t="n"/>
      <c r="DL18" s="983" t="n">
        <v>2556</v>
      </c>
      <c r="DM18" s="984" t="n">
        <v>1738.08</v>
      </c>
      <c r="DN18" s="985" t="n">
        <v>511.2</v>
      </c>
      <c r="DO18" s="985" t="n">
        <v>347.6160000000001</v>
      </c>
      <c r="DP18" s="69" t="n">
        <v>0.05892188450688226</v>
      </c>
      <c r="DQ18" s="70" t="n">
        <v>-0.03620520039656746</v>
      </c>
      <c r="DR18" s="986" t="n">
        <v>-46.51600753295667</v>
      </c>
      <c r="DS18" s="986" t="n">
        <v>-35.17489168339849</v>
      </c>
      <c r="DT18" s="72" t="n">
        <v>-188.6206666666666</v>
      </c>
      <c r="DU18" s="72" t="n">
        <v>-302.328</v>
      </c>
      <c r="DV18" s="72" t="n">
        <v>-13.47290476190476</v>
      </c>
      <c r="DW18" s="72" t="n">
        <v>-21.59485714285714</v>
      </c>
      <c r="DX18" s="72" t="n">
        <v>-107.9742857142857</v>
      </c>
    </row>
    <row r="19">
      <c r="A19" s="7" t="n">
        <v>34</v>
      </c>
      <c r="B19" s="8" t="inlineStr">
        <is>
          <t xml:space="preserve">Zayawaddy Red </t>
        </is>
      </c>
      <c r="C19" s="8" t="inlineStr">
        <is>
          <t>ပုလင်း</t>
        </is>
      </c>
      <c r="D19" s="7" t="n">
        <v>6</v>
      </c>
      <c r="E19" s="7" t="n">
        <v>0.64</v>
      </c>
      <c r="F19" s="7" t="inlineStr">
        <is>
          <t>1 * 14</t>
        </is>
      </c>
      <c r="G19" s="7" t="n">
        <v>1230</v>
      </c>
      <c r="H19" s="975" t="n">
        <v>39676</v>
      </c>
      <c r="I19" s="976" t="n">
        <v>25392.64</v>
      </c>
      <c r="J19" s="975" t="n">
        <v>47110</v>
      </c>
      <c r="K19" s="976" t="n">
        <v>30150.4</v>
      </c>
      <c r="L19" s="975" t="n">
        <v>48888</v>
      </c>
      <c r="M19" s="976" t="n">
        <v>31288.32</v>
      </c>
      <c r="N19" s="975" t="n">
        <v>33124</v>
      </c>
      <c r="O19" s="976" t="n">
        <v>21199.36</v>
      </c>
      <c r="P19" s="975" t="n">
        <v>38360</v>
      </c>
      <c r="Q19" s="976" t="n">
        <v>24550.4</v>
      </c>
      <c r="R19" s="975" t="n">
        <v>36918</v>
      </c>
      <c r="S19" s="976" t="n">
        <v>23627.52</v>
      </c>
      <c r="T19" s="975" t="n">
        <v>42098</v>
      </c>
      <c r="U19" s="976" t="n">
        <v>26942.72</v>
      </c>
      <c r="V19" s="975" t="n">
        <v>45248</v>
      </c>
      <c r="W19" s="976" t="n">
        <v>28958.72</v>
      </c>
      <c r="X19" s="975" t="n">
        <v>37324</v>
      </c>
      <c r="Y19" s="976" t="n">
        <v>23887.36</v>
      </c>
      <c r="Z19" s="975" t="n">
        <v>43708</v>
      </c>
      <c r="AA19" s="976" t="n">
        <v>27973.12</v>
      </c>
      <c r="AB19" s="975" t="n">
        <v>44828</v>
      </c>
      <c r="AC19" s="976" t="n">
        <v>28689.92</v>
      </c>
      <c r="AD19" s="975" t="n">
        <v>54670</v>
      </c>
      <c r="AE19" s="976" t="n">
        <v>34988.8</v>
      </c>
      <c r="AF19" s="977" t="n">
        <v>42662.66666666666</v>
      </c>
      <c r="AG19" s="978" t="n">
        <v>27304.10666666667</v>
      </c>
      <c r="AH19" s="975" t="n">
        <v>53162</v>
      </c>
      <c r="AI19" s="976" t="n">
        <v>34023.68</v>
      </c>
      <c r="AJ19" s="975" t="n">
        <v>47572</v>
      </c>
      <c r="AK19" s="976" t="n">
        <v>30446.08</v>
      </c>
      <c r="AL19" s="975" t="n">
        <v>52598</v>
      </c>
      <c r="AM19" s="976" t="n">
        <v>33662.72</v>
      </c>
      <c r="AN19" s="975" t="n">
        <v>43540</v>
      </c>
      <c r="AO19" s="976" t="n">
        <v>27865.6</v>
      </c>
      <c r="AP19" s="975" t="n">
        <v>34048</v>
      </c>
      <c r="AQ19" s="976" t="n">
        <v>21790.72</v>
      </c>
      <c r="AR19" s="975" t="n">
        <v>44774</v>
      </c>
      <c r="AS19" s="976" t="n">
        <v>28655.36</v>
      </c>
      <c r="AT19" s="975" t="n">
        <v>48580</v>
      </c>
      <c r="AU19" s="976" t="n">
        <v>31091.2</v>
      </c>
      <c r="AV19" s="975" t="n">
        <v>50008</v>
      </c>
      <c r="AW19" s="976" t="n">
        <v>32005.12</v>
      </c>
      <c r="AX19" s="975" t="n">
        <v>46382</v>
      </c>
      <c r="AY19" s="976" t="n">
        <v>29684.48</v>
      </c>
      <c r="AZ19" s="975" t="n">
        <v>41111</v>
      </c>
      <c r="BA19" s="976" t="n">
        <v>26311.04</v>
      </c>
      <c r="BB19" s="975" t="n">
        <v>53928</v>
      </c>
      <c r="BC19" s="976" t="n">
        <v>34513.92</v>
      </c>
      <c r="BD19" s="975" t="n">
        <v>67326</v>
      </c>
      <c r="BE19" s="976" t="n">
        <v>43088.64</v>
      </c>
      <c r="BF19" s="977" t="n">
        <v>48585.75</v>
      </c>
      <c r="BG19" s="978" t="n">
        <v>31094.88</v>
      </c>
      <c r="BH19" s="975" t="n">
        <v>58324</v>
      </c>
      <c r="BI19" s="976" t="n">
        <v>37327.36</v>
      </c>
      <c r="BJ19" s="975" t="n">
        <v>52393</v>
      </c>
      <c r="BK19" s="976" t="n">
        <v>33531.52</v>
      </c>
      <c r="BL19" s="975" t="n">
        <v>52290</v>
      </c>
      <c r="BM19" s="976" t="n">
        <v>33465.6</v>
      </c>
      <c r="BN19" s="975" t="n">
        <v>51660</v>
      </c>
      <c r="BO19" s="976" t="n">
        <v>33062.4</v>
      </c>
      <c r="BP19" s="975" t="n">
        <v>50582</v>
      </c>
      <c r="BQ19" s="976" t="n">
        <v>32372.48</v>
      </c>
      <c r="BR19" s="979" t="n">
        <v>53049.8</v>
      </c>
      <c r="BS19" s="976" t="n">
        <v>33951.872</v>
      </c>
      <c r="BT19" s="975" t="n">
        <v>50162</v>
      </c>
      <c r="BU19" s="976" t="n">
        <v>32103.68</v>
      </c>
      <c r="BV19" s="975" t="n">
        <v>47579</v>
      </c>
      <c r="BW19" s="976" t="n">
        <v>30450.56</v>
      </c>
      <c r="BX19" s="975" t="n">
        <v>54922</v>
      </c>
      <c r="BY19" s="976" t="n">
        <v>35150.08</v>
      </c>
      <c r="BZ19" s="975" t="n">
        <v>54362</v>
      </c>
      <c r="CA19" s="976" t="n">
        <v>34791.68</v>
      </c>
      <c r="CB19" s="975" t="n">
        <v>53634</v>
      </c>
      <c r="CC19" s="976" t="n">
        <v>34325.76</v>
      </c>
      <c r="CD19" s="975" t="n">
        <v>53928</v>
      </c>
      <c r="CE19" s="976" t="n">
        <v>34513.92</v>
      </c>
      <c r="CF19" s="975" t="n">
        <v>54544</v>
      </c>
      <c r="CG19" s="976" t="n">
        <v>34908.16</v>
      </c>
      <c r="CH19" s="977" t="n">
        <v>52865</v>
      </c>
      <c r="CI19" s="978" t="n">
        <v>33833.6</v>
      </c>
      <c r="CJ19" s="980" t="n">
        <v>52865</v>
      </c>
      <c r="CK19" s="976" t="n">
        <v>33833.6</v>
      </c>
      <c r="CL19" s="982" t="n">
        <v>57739</v>
      </c>
      <c r="CM19" s="976" t="n">
        <v>36952.96</v>
      </c>
      <c r="CN19" s="982" t="n">
        <v>45556</v>
      </c>
      <c r="CO19" s="15" t="n">
        <v>29155.84</v>
      </c>
      <c r="CP19" s="982" t="n">
        <v>63224</v>
      </c>
      <c r="CQ19" s="15" t="n">
        <v>40463.36</v>
      </c>
      <c r="CR19" s="982" t="n">
        <v>50397</v>
      </c>
      <c r="CS19" s="15" t="n">
        <v>32254.08</v>
      </c>
      <c r="CT19" s="982" t="n">
        <v>50260</v>
      </c>
      <c r="CU19" s="15" t="n">
        <v>32166.4</v>
      </c>
      <c r="CV19" s="982" t="n"/>
      <c r="CW19" s="15" t="n">
        <v>0</v>
      </c>
      <c r="CX19" s="982" t="n"/>
      <c r="CY19" s="15" t="n">
        <v>0</v>
      </c>
      <c r="CZ19" s="982" t="n"/>
      <c r="DA19" s="15" t="n">
        <v>0</v>
      </c>
      <c r="DB19" s="982" t="n"/>
      <c r="DC19" s="15" t="n">
        <v>0</v>
      </c>
      <c r="DD19" s="982" t="n"/>
      <c r="DE19" s="15" t="n">
        <v>0</v>
      </c>
      <c r="DF19" s="982" t="n"/>
      <c r="DG19" s="15" t="n">
        <v>0</v>
      </c>
      <c r="DH19" s="982" t="n"/>
      <c r="DI19" s="15" t="n">
        <v>0</v>
      </c>
      <c r="DJ19" s="15" t="n">
        <v>6.001998632051811</v>
      </c>
      <c r="DK19" s="15" t="n"/>
      <c r="DL19" s="983" t="n">
        <v>267176</v>
      </c>
      <c r="DM19" s="984" t="n">
        <v>170992.64</v>
      </c>
      <c r="DN19" s="985" t="n">
        <v>53435.2</v>
      </c>
      <c r="DO19" s="985" t="n">
        <v>34198.528</v>
      </c>
      <c r="DP19" s="69" t="n">
        <v>5.796746171411495</v>
      </c>
      <c r="DQ19" s="70" t="n">
        <v>-0.2052524606403159</v>
      </c>
      <c r="DR19" s="986" t="n">
        <v>0.7264871875105854</v>
      </c>
      <c r="DS19" s="986" t="n">
        <v>1.078596424855775</v>
      </c>
      <c r="DT19" s="72" t="n">
        <v>364.9279999999999</v>
      </c>
      <c r="DU19" s="72" t="n">
        <v>246.6559999999954</v>
      </c>
      <c r="DV19" s="72" t="n">
        <v>26.0662857142857</v>
      </c>
      <c r="DW19" s="72" t="n">
        <v>17.61828571428538</v>
      </c>
      <c r="DX19" s="72" t="n">
        <v>88.09142857142692</v>
      </c>
    </row>
    <row r="20" ht="20.4" customHeight="1" thickBot="1">
      <c r="A20" s="73" t="n">
        <v>37</v>
      </c>
      <c r="B20" s="74" t="inlineStr">
        <is>
          <t>ဇေယျဝတီ Red (ပု)</t>
        </is>
      </c>
      <c r="C20" s="74" t="inlineStr">
        <is>
          <t>ပုလင်း</t>
        </is>
      </c>
      <c r="D20" s="73" t="n">
        <v>21</v>
      </c>
      <c r="E20" s="73" t="n">
        <v>0.64</v>
      </c>
      <c r="F20" s="73" t="inlineStr">
        <is>
          <t>1 * 14</t>
        </is>
      </c>
      <c r="G20" s="73" t="n">
        <v>1500</v>
      </c>
      <c r="H20" s="1075" t="n"/>
      <c r="I20" s="1076" t="n">
        <v>0</v>
      </c>
      <c r="J20" s="1075" t="n"/>
      <c r="K20" s="1076" t="n">
        <v>0</v>
      </c>
      <c r="L20" s="1075" t="n"/>
      <c r="M20" s="1076" t="n">
        <v>0</v>
      </c>
      <c r="N20" s="1075" t="n"/>
      <c r="O20" s="1076" t="n">
        <v>0</v>
      </c>
      <c r="P20" s="1075" t="n"/>
      <c r="Q20" s="1076" t="n">
        <v>0</v>
      </c>
      <c r="R20" s="1075" t="n"/>
      <c r="S20" s="1076" t="n">
        <v>0</v>
      </c>
      <c r="T20" s="1075" t="n"/>
      <c r="U20" s="1076" t="n">
        <v>0</v>
      </c>
      <c r="V20" s="1075" t="n"/>
      <c r="W20" s="1076" t="n">
        <v>0</v>
      </c>
      <c r="X20" s="1075" t="n"/>
      <c r="Y20" s="1076" t="n">
        <v>0</v>
      </c>
      <c r="Z20" s="1075" t="n"/>
      <c r="AA20" s="1076" t="n">
        <v>0</v>
      </c>
      <c r="AB20" s="1075" t="n"/>
      <c r="AC20" s="1076" t="n">
        <v>0</v>
      </c>
      <c r="AD20" s="1075" t="n"/>
      <c r="AE20" s="1076" t="n">
        <v>0</v>
      </c>
      <c r="AF20" s="1077" t="n">
        <v>0</v>
      </c>
      <c r="AG20" s="1078" t="n">
        <v>0</v>
      </c>
      <c r="AH20" s="1075" t="n"/>
      <c r="AI20" s="1076" t="n">
        <v>0</v>
      </c>
      <c r="AJ20" s="1075" t="n"/>
      <c r="AK20" s="1076" t="n">
        <v>0</v>
      </c>
      <c r="AL20" s="1075" t="n"/>
      <c r="AM20" s="1076" t="n">
        <v>0</v>
      </c>
      <c r="AN20" s="1075" t="n"/>
      <c r="AO20" s="1076" t="n">
        <v>0</v>
      </c>
      <c r="AP20" s="1075" t="n"/>
      <c r="AQ20" s="1076" t="n">
        <v>0</v>
      </c>
      <c r="AR20" s="1075" t="n"/>
      <c r="AS20" s="1076" t="n">
        <v>0</v>
      </c>
      <c r="AT20" s="1075" t="n"/>
      <c r="AU20" s="1076" t="n">
        <v>0</v>
      </c>
      <c r="AV20" s="1075" t="n"/>
      <c r="AW20" s="1076" t="n">
        <v>0</v>
      </c>
      <c r="AX20" s="1075" t="n"/>
      <c r="AY20" s="1076" t="n">
        <v>0</v>
      </c>
      <c r="AZ20" s="1075" t="n"/>
      <c r="BA20" s="1076" t="n">
        <v>0</v>
      </c>
      <c r="BB20" s="1075" t="n"/>
      <c r="BC20" s="1076" t="n">
        <v>0</v>
      </c>
      <c r="BD20" s="1075" t="n"/>
      <c r="BE20" s="1076" t="n">
        <v>0</v>
      </c>
      <c r="BF20" s="1077" t="n">
        <v>0</v>
      </c>
      <c r="BG20" s="1078" t="n">
        <v>0</v>
      </c>
      <c r="BH20" s="1075" t="n"/>
      <c r="BI20" s="1076" t="n">
        <v>0</v>
      </c>
      <c r="BJ20" s="1075" t="n"/>
      <c r="BK20" s="1076" t="n">
        <v>0</v>
      </c>
      <c r="BL20" s="1075" t="n">
        <v>1470</v>
      </c>
      <c r="BM20" s="1076" t="n">
        <v>940.8000000000001</v>
      </c>
      <c r="BN20" s="1075" t="n">
        <v>7000</v>
      </c>
      <c r="BO20" s="1076" t="n">
        <v>4480</v>
      </c>
      <c r="BP20" s="1075" t="n">
        <v>1826</v>
      </c>
      <c r="BQ20" s="1076" t="n">
        <v>1168.64</v>
      </c>
      <c r="BR20" s="1079" t="n">
        <v>2059.2</v>
      </c>
      <c r="BS20" s="1076" t="n">
        <v>1317.888</v>
      </c>
      <c r="BT20" s="1075" t="n">
        <v>2906</v>
      </c>
      <c r="BU20" s="1076" t="n">
        <v>1859.84</v>
      </c>
      <c r="BV20" s="1075" t="n">
        <v>3304</v>
      </c>
      <c r="BW20" s="1076" t="n">
        <v>2114.56</v>
      </c>
      <c r="BX20" s="1075" t="n">
        <v>3584</v>
      </c>
      <c r="BY20" s="1076" t="n">
        <v>2293.76</v>
      </c>
      <c r="BZ20" s="1075" t="n">
        <v>1974</v>
      </c>
      <c r="CA20" s="1076" t="n">
        <v>1263.36</v>
      </c>
      <c r="CB20" s="1075" t="n">
        <v>3724</v>
      </c>
      <c r="CC20" s="1076" t="n">
        <v>2383.36</v>
      </c>
      <c r="CD20" s="1075" t="n">
        <v>2646</v>
      </c>
      <c r="CE20" s="1076" t="n">
        <v>1693.44</v>
      </c>
      <c r="CF20" s="1075" t="n">
        <v>3262</v>
      </c>
      <c r="CG20" s="1076" t="n">
        <v>2087.68</v>
      </c>
      <c r="CH20" s="1077" t="n">
        <v>2641.333333333333</v>
      </c>
      <c r="CI20" s="1078" t="n">
        <v>1690.453333333333</v>
      </c>
      <c r="CJ20" s="1080" t="n">
        <v>2641</v>
      </c>
      <c r="CK20" s="1076" t="n">
        <v>1690.24</v>
      </c>
      <c r="CL20" s="1082" t="n">
        <v>3080</v>
      </c>
      <c r="CM20" s="1076" t="n">
        <v>1971.2</v>
      </c>
      <c r="CN20" s="1082" t="n">
        <v>2198</v>
      </c>
      <c r="CO20" s="83" t="n">
        <v>1406.72</v>
      </c>
      <c r="CP20" s="1082" t="n">
        <v>1960</v>
      </c>
      <c r="CQ20" s="83" t="n">
        <v>1254.4</v>
      </c>
      <c r="CR20" s="1082" t="n">
        <v>504</v>
      </c>
      <c r="CS20" s="83" t="n">
        <v>322.56</v>
      </c>
      <c r="CT20" s="1082" t="n">
        <v>3220</v>
      </c>
      <c r="CU20" s="83" t="n">
        <v>2060.8</v>
      </c>
      <c r="CV20" s="1082" t="n"/>
      <c r="CW20" s="83" t="n">
        <v>0</v>
      </c>
      <c r="CX20" s="1082" t="n"/>
      <c r="CY20" s="83" t="n">
        <v>0</v>
      </c>
      <c r="CZ20" s="1082" t="n"/>
      <c r="DA20" s="83" t="n">
        <v>0</v>
      </c>
      <c r="DB20" s="1082" t="n"/>
      <c r="DC20" s="83" t="n">
        <v>0</v>
      </c>
      <c r="DD20" s="1082" t="n"/>
      <c r="DE20" s="83" t="n">
        <v>0</v>
      </c>
      <c r="DF20" s="1082" t="n"/>
      <c r="DG20" s="83" t="n">
        <v>0</v>
      </c>
      <c r="DH20" s="1082" t="n"/>
      <c r="DI20" s="83" t="n">
        <v>0</v>
      </c>
      <c r="DJ20" s="83" t="n">
        <v>0.2998823239091936</v>
      </c>
      <c r="DK20" s="83" t="n">
        <v>6.95</v>
      </c>
      <c r="DL20" s="1083" t="n">
        <v>10962</v>
      </c>
      <c r="DM20" s="1084" t="n">
        <v>7015.68</v>
      </c>
      <c r="DN20" s="1085" t="n">
        <v>2192.4</v>
      </c>
      <c r="DO20" s="1085" t="n">
        <v>1403.136</v>
      </c>
      <c r="DP20" s="87" t="n">
        <v>0.2378354774793126</v>
      </c>
      <c r="DQ20" s="88" t="n">
        <v>-0.06204684642988098</v>
      </c>
      <c r="DR20" s="1005" t="n">
        <v>6.468531468531452</v>
      </c>
      <c r="DS20" s="1005" t="n">
        <v>-16.99646643109541</v>
      </c>
      <c r="DT20" s="90" t="n">
        <v>-287.3173333333334</v>
      </c>
      <c r="DU20" s="90" t="n">
        <v>85.24799999999982</v>
      </c>
      <c r="DV20" s="90" t="n">
        <v>-20.52266666666667</v>
      </c>
      <c r="DW20" s="90" t="n">
        <v>6.089142857142845</v>
      </c>
      <c r="DX20" s="90" t="n">
        <v>30.44571428571422</v>
      </c>
    </row>
    <row r="21" ht="20.4" customFormat="1" customHeight="1" s="125" thickBot="1">
      <c r="A21" s="119" t="n"/>
      <c r="B21" s="120" t="n"/>
      <c r="C21" s="120" t="n"/>
      <c r="D21" s="121" t="n"/>
      <c r="E21" s="121" t="n"/>
      <c r="F21" s="121" t="n"/>
      <c r="G21" s="121" t="n"/>
      <c r="H21" s="1086" t="n"/>
      <c r="I21" s="1087" t="n"/>
      <c r="J21" s="1086" t="n"/>
      <c r="K21" s="1087" t="n"/>
      <c r="L21" s="1086" t="n"/>
      <c r="M21" s="1087" t="n"/>
      <c r="N21" s="1086" t="n"/>
      <c r="O21" s="1087" t="n"/>
      <c r="P21" s="1086" t="n"/>
      <c r="Q21" s="1087" t="n"/>
      <c r="R21" s="1086" t="n"/>
      <c r="S21" s="1087" t="n"/>
      <c r="T21" s="1086" t="n"/>
      <c r="U21" s="1087" t="n"/>
      <c r="V21" s="1086" t="n"/>
      <c r="W21" s="1087" t="n"/>
      <c r="X21" s="1086" t="n"/>
      <c r="Y21" s="1087" t="n"/>
      <c r="Z21" s="1086" t="n"/>
      <c r="AA21" s="1087" t="n"/>
      <c r="AB21" s="1086" t="n"/>
      <c r="AC21" s="1087" t="n"/>
      <c r="AD21" s="1086" t="n"/>
      <c r="AE21" s="1087" t="n"/>
      <c r="AF21" s="1086" t="n"/>
      <c r="AG21" s="1087" t="n"/>
      <c r="AH21" s="1086" t="n"/>
      <c r="AI21" s="1087" t="n"/>
      <c r="AJ21" s="1086" t="n"/>
      <c r="AK21" s="1087" t="n"/>
      <c r="AL21" s="1086" t="n"/>
      <c r="AM21" s="1087" t="n"/>
      <c r="AN21" s="1086" t="n"/>
      <c r="AO21" s="1087" t="n"/>
      <c r="AP21" s="1086" t="n"/>
      <c r="AQ21" s="1087" t="n"/>
      <c r="AR21" s="1086" t="n"/>
      <c r="AS21" s="1087" t="n"/>
      <c r="AT21" s="1086" t="n"/>
      <c r="AU21" s="1087" t="n"/>
      <c r="AV21" s="1086" t="n"/>
      <c r="AW21" s="1087" t="n"/>
      <c r="AX21" s="1086" t="n"/>
      <c r="AY21" s="1087" t="n"/>
      <c r="AZ21" s="1086" t="n"/>
      <c r="BA21" s="1087" t="n"/>
      <c r="BB21" s="1086" t="n"/>
      <c r="BC21" s="1087" t="n"/>
      <c r="BD21" s="1086" t="n"/>
      <c r="BE21" s="1087" t="n"/>
      <c r="BF21" s="1086" t="n"/>
      <c r="BG21" s="1087" t="n"/>
      <c r="BH21" s="1086" t="n"/>
      <c r="BI21" s="1087" t="n"/>
      <c r="BJ21" s="1086" t="n"/>
      <c r="BK21" s="1087" t="n"/>
      <c r="BL21" s="1086" t="n"/>
      <c r="BM21" s="1087" t="n"/>
      <c r="BN21" s="1086" t="n"/>
      <c r="BO21" s="1087" t="n"/>
      <c r="BP21" s="1086" t="n"/>
      <c r="BQ21" s="1087" t="n"/>
      <c r="BR21" s="1088">
        <f>BR16+BR17+BR18+BR19+BR20</f>
        <v/>
      </c>
      <c r="BS21" s="1088">
        <f>BS16+BS17+BS18+BS19+BS20</f>
        <v/>
      </c>
      <c r="BT21" s="1088">
        <f>BT16+BT17+BT18+BT19+BT20</f>
        <v/>
      </c>
      <c r="BU21" s="1088">
        <f>BU16+BU17+BU18+BU19+BU20</f>
        <v/>
      </c>
      <c r="BV21" s="1088">
        <f>BV16+BV17+BV18+BV19+BV20</f>
        <v/>
      </c>
      <c r="BW21" s="1088">
        <f>BW16+BW17+BW18+BW19+BW20</f>
        <v/>
      </c>
      <c r="BX21" s="1088">
        <f>BX16+BX17+BX18+BX19+BX20</f>
        <v/>
      </c>
      <c r="BY21" s="1088">
        <f>BY16+BY17+BY18+BY19+BY20</f>
        <v/>
      </c>
      <c r="BZ21" s="1088">
        <f>BZ16+BZ17+BZ18+BZ19+BZ20</f>
        <v/>
      </c>
      <c r="CA21" s="1088">
        <f>CA16+CA17+CA18+CA19+CA20</f>
        <v/>
      </c>
      <c r="CB21" s="1088">
        <f>CB16+CB17+CB18+CB19+CB20</f>
        <v/>
      </c>
      <c r="CC21" s="1088">
        <f>CC16+CC17+CC18+CC19+CC20</f>
        <v/>
      </c>
      <c r="CD21" s="1088">
        <f>CD16+CD17+CD18+CD19+CD20</f>
        <v/>
      </c>
      <c r="CE21" s="1088">
        <f>CE16+CE17+CE18+CE19+CE20</f>
        <v/>
      </c>
      <c r="CF21" s="1088">
        <f>CF16+CF17+CF18+CF19+CF20</f>
        <v/>
      </c>
      <c r="CG21" s="1088">
        <f>CG16+CG17+CG18+CG19+CG20</f>
        <v/>
      </c>
      <c r="CH21" s="1088">
        <f>CH16+CH17+CH18+CH19+CH20</f>
        <v/>
      </c>
      <c r="CI21" s="1088">
        <f>CI16+CI17+CI18+CI19+CI20</f>
        <v/>
      </c>
      <c r="CJ21" s="1088">
        <f>CJ16+CJ17+CJ18+CJ19+CJ20</f>
        <v/>
      </c>
      <c r="CK21" s="1088">
        <f>CK16+CK17+CK18+CK19+CK20</f>
        <v/>
      </c>
      <c r="CL21" s="1088">
        <f>CL16+CL17+CL18+CL19+CL20</f>
        <v/>
      </c>
      <c r="CM21" s="1088">
        <f>CM16+CM17+CM18+CM19+CM20</f>
        <v/>
      </c>
      <c r="CN21" s="1088">
        <f>CN16+CN17+CN18+CN19+CN20</f>
        <v/>
      </c>
      <c r="CO21" s="1088">
        <f>CO16+CO17+CO18+CO19+CO20</f>
        <v/>
      </c>
      <c r="CP21" s="1088">
        <f>CP16+CP17+CP18+CP19+CP20</f>
        <v/>
      </c>
      <c r="CQ21" s="1088">
        <f>CQ16+CQ17+CQ18+CQ19+CQ20</f>
        <v/>
      </c>
      <c r="CR21" s="1088">
        <f>CR16+CR17+CR18+CR19+CR20</f>
        <v/>
      </c>
      <c r="CS21" s="1088">
        <f>CS16+CS17+CS18+CS19+CS20</f>
        <v/>
      </c>
      <c r="CT21" s="1088">
        <f>CT16+CT17+CT18+CT19+CT20</f>
        <v/>
      </c>
      <c r="CU21" s="1088">
        <f>CU16+CU17+CU18+CU19+CU20</f>
        <v/>
      </c>
      <c r="CV21" s="1088">
        <f>CV16+CV17+CV18+CV19+CV20</f>
        <v/>
      </c>
      <c r="CW21" s="1088">
        <f>CW16+CW17+CW18+CW19+CW20</f>
        <v/>
      </c>
      <c r="CX21" s="1088">
        <f>CX16+CX17+CX18+CX19+CX20</f>
        <v/>
      </c>
      <c r="CY21" s="1088">
        <f>CY16+CY17+CY18+CY19+CY20</f>
        <v/>
      </c>
      <c r="CZ21" s="1088">
        <f>CZ16+CZ17+CZ18+CZ19+CZ20</f>
        <v/>
      </c>
      <c r="DA21" s="1088">
        <f>DA16+DA17+DA18+DA19+DA20</f>
        <v/>
      </c>
      <c r="DB21" s="1088">
        <f>DB16+DB17+DB18+DB19+DB20</f>
        <v/>
      </c>
      <c r="DC21" s="1088">
        <f>DC16+DC17+DC18+DC19+DC20</f>
        <v/>
      </c>
      <c r="DD21" s="1088">
        <f>DD16+DD17+DD18+DD19+DD20</f>
        <v/>
      </c>
      <c r="DE21" s="1088">
        <f>DE16+DE17+DE18+DE19+DE20</f>
        <v/>
      </c>
      <c r="DF21" s="1088">
        <f>DF16+DF17+DF18+DF19+DF20</f>
        <v/>
      </c>
      <c r="DG21" s="1088">
        <f>DG16+DG17+DG18+DG19+DG20</f>
        <v/>
      </c>
      <c r="DH21" s="1088">
        <f>DH16+DH17+DH18+DH19+DH20</f>
        <v/>
      </c>
      <c r="DI21" s="1088">
        <f>DI16+DI17+DI18+DI19+DI20</f>
        <v/>
      </c>
      <c r="DJ21" s="214">
        <f>DJ16+DJ17+DJ18+DJ19+DJ20</f>
        <v/>
      </c>
      <c r="DK21" s="214">
        <f>DK16+DK17+DK18+DK19+DK20</f>
        <v/>
      </c>
      <c r="DL21" s="1088">
        <f>DL16+DL17+DL18+DL19+DL20</f>
        <v/>
      </c>
      <c r="DM21" s="1088">
        <f>DM16+DM17+DM18+DM19+DM20</f>
        <v/>
      </c>
      <c r="DN21" s="1088">
        <f>DN16+DN17+DN18+DN19+DN20</f>
        <v/>
      </c>
      <c r="DO21" s="1088">
        <f>DO16+DO17+DO18+DO19+DO20</f>
        <v/>
      </c>
      <c r="DP21" s="214">
        <f>DP16+DP17+DP18+DP19+DP20</f>
        <v/>
      </c>
      <c r="DQ21" s="214">
        <f>DQ16+DQ17+DQ18+DQ19+DQ20</f>
        <v/>
      </c>
      <c r="DR21" s="1088">
        <f>DR16+DR17+DR18+DR19+DR20</f>
        <v/>
      </c>
      <c r="DS21" s="1088">
        <f>DS16+DS17+DS18+DS19+DS20</f>
        <v/>
      </c>
      <c r="DT21" s="1088">
        <f>DT16+DT17+DT18+DT19+DT20</f>
        <v/>
      </c>
      <c r="DU21" s="1088">
        <f>DU16+DU17+DU18+DU19+DU20</f>
        <v/>
      </c>
      <c r="DV21" s="1088">
        <f>DV16+DV17+DV18+DV19+DV20</f>
        <v/>
      </c>
      <c r="DW21" s="1088">
        <f>DW16+DW17+DW18+DW19+DW20</f>
        <v/>
      </c>
      <c r="DX21" s="215">
        <f>DX16+DX17+DX18+DX19+DX20</f>
        <v/>
      </c>
    </row>
    <row r="22" ht="20.4" customHeight="1" thickBot="1">
      <c r="A22" s="101" t="n">
        <v>43</v>
      </c>
      <c r="B22" s="102" t="inlineStr">
        <is>
          <t>မြန်မာရှောက်ပျား</t>
        </is>
      </c>
      <c r="C22" s="102" t="inlineStr">
        <is>
          <t>ပုလင်း</t>
        </is>
      </c>
      <c r="D22" s="101" t="n">
        <v>3</v>
      </c>
      <c r="E22" s="101" t="n">
        <v>0.64</v>
      </c>
      <c r="F22" s="101" t="inlineStr">
        <is>
          <t>1 * 14</t>
        </is>
      </c>
      <c r="G22" s="101" t="n">
        <v>1270</v>
      </c>
      <c r="H22" s="1092" t="n">
        <v>131800</v>
      </c>
      <c r="I22" s="1093" t="n">
        <v>84352</v>
      </c>
      <c r="J22" s="1092" t="n">
        <v>163296</v>
      </c>
      <c r="K22" s="1093" t="n">
        <v>104509.44</v>
      </c>
      <c r="L22" s="1092" t="n">
        <v>161518</v>
      </c>
      <c r="M22" s="1093" t="n">
        <v>103371.52</v>
      </c>
      <c r="N22" s="1092" t="n">
        <v>105252</v>
      </c>
      <c r="O22" s="1093" t="n">
        <v>67361.28</v>
      </c>
      <c r="P22" s="1092" t="n">
        <v>100870</v>
      </c>
      <c r="Q22" s="1093" t="n">
        <v>64556.8</v>
      </c>
      <c r="R22" s="1092" t="n">
        <v>159208</v>
      </c>
      <c r="S22" s="1093" t="n">
        <v>101893.12</v>
      </c>
      <c r="T22" s="1092" t="n">
        <v>146160</v>
      </c>
      <c r="U22" s="1093" t="n">
        <v>93542.40000000001</v>
      </c>
      <c r="V22" s="1092" t="n">
        <v>158214</v>
      </c>
      <c r="W22" s="1093" t="n">
        <v>101256.96</v>
      </c>
      <c r="X22" s="1092" t="n">
        <v>140784</v>
      </c>
      <c r="Y22" s="1093" t="n">
        <v>90101.75999999999</v>
      </c>
      <c r="Z22" s="1092" t="n">
        <v>106176</v>
      </c>
      <c r="AA22" s="1093" t="n">
        <v>67952.64</v>
      </c>
      <c r="AB22" s="1092" t="n">
        <v>152852</v>
      </c>
      <c r="AC22" s="1093" t="n">
        <v>97825.28</v>
      </c>
      <c r="AD22" s="1092" t="n">
        <v>156408</v>
      </c>
      <c r="AE22" s="1093" t="n">
        <v>100101.12</v>
      </c>
      <c r="AF22" s="1094" t="n">
        <v>140211.5</v>
      </c>
      <c r="AG22" s="1095" t="n">
        <v>89735.36</v>
      </c>
      <c r="AH22" s="1092" t="n">
        <v>167569</v>
      </c>
      <c r="AI22" s="1093" t="n">
        <v>107244.16</v>
      </c>
      <c r="AJ22" s="1092" t="n">
        <v>156820</v>
      </c>
      <c r="AK22" s="1093" t="n">
        <v>100364.8</v>
      </c>
      <c r="AL22" s="1092" t="n">
        <v>114324</v>
      </c>
      <c r="AM22" s="1093" t="n">
        <v>73167.36</v>
      </c>
      <c r="AN22" s="1092" t="n">
        <v>130060</v>
      </c>
      <c r="AO22" s="1093" t="n">
        <v>83238.40000000001</v>
      </c>
      <c r="AP22" s="1092" t="n">
        <v>115192</v>
      </c>
      <c r="AQ22" s="1093" t="n">
        <v>73722.88</v>
      </c>
      <c r="AR22" s="1092" t="n">
        <v>135985</v>
      </c>
      <c r="AS22" s="1093" t="n">
        <v>87030.40000000001</v>
      </c>
      <c r="AT22" s="1092" t="n">
        <v>151284</v>
      </c>
      <c r="AU22" s="1093" t="n">
        <v>96821.75999999999</v>
      </c>
      <c r="AV22" s="1092" t="n">
        <v>131558</v>
      </c>
      <c r="AW22" s="1093" t="n">
        <v>84197.12</v>
      </c>
      <c r="AX22" s="1092" t="n">
        <v>123746</v>
      </c>
      <c r="AY22" s="1093" t="n">
        <v>79197.44</v>
      </c>
      <c r="AZ22" s="1092" t="n">
        <v>134428</v>
      </c>
      <c r="BA22" s="1093" t="n">
        <v>86033.92</v>
      </c>
      <c r="BB22" s="1092" t="n">
        <v>144902</v>
      </c>
      <c r="BC22" s="1093" t="n">
        <v>92737.28</v>
      </c>
      <c r="BD22" s="1092" t="n">
        <v>207298</v>
      </c>
      <c r="BE22" s="1093" t="n">
        <v>132670.72</v>
      </c>
      <c r="BF22" s="1094" t="n">
        <v>142763.8333333333</v>
      </c>
      <c r="BG22" s="1095" t="n">
        <v>91368.85333333335</v>
      </c>
      <c r="BH22" s="1092" t="n">
        <v>204793</v>
      </c>
      <c r="BI22" s="1093" t="n">
        <v>131067.52</v>
      </c>
      <c r="BJ22" s="1092" t="n">
        <v>124476</v>
      </c>
      <c r="BK22" s="1093" t="n">
        <v>79664.64</v>
      </c>
      <c r="BL22" s="1092" t="n">
        <v>119466</v>
      </c>
      <c r="BM22" s="1093" t="n">
        <v>76458.24000000001</v>
      </c>
      <c r="BN22" s="1092" t="n">
        <v>121002</v>
      </c>
      <c r="BO22" s="1093" t="n">
        <v>77441.28</v>
      </c>
      <c r="BP22" s="1092" t="n">
        <v>136738</v>
      </c>
      <c r="BQ22" s="1093" t="n">
        <v>87512.32000000001</v>
      </c>
      <c r="BR22" s="1096" t="n">
        <v>141295</v>
      </c>
      <c r="BS22" s="1093" t="n">
        <v>90428.80000000002</v>
      </c>
      <c r="BT22" s="1092" t="n">
        <v>143416</v>
      </c>
      <c r="BU22" s="1093" t="n">
        <v>91786.24000000001</v>
      </c>
      <c r="BV22" s="1092" t="n">
        <v>140525</v>
      </c>
      <c r="BW22" s="1093" t="n">
        <v>89936</v>
      </c>
      <c r="BX22" s="1092" t="n">
        <v>137417</v>
      </c>
      <c r="BY22" s="1093" t="n">
        <v>87946.88</v>
      </c>
      <c r="BZ22" s="1092" t="n">
        <v>149520</v>
      </c>
      <c r="CA22" s="1093" t="n">
        <v>95692.8</v>
      </c>
      <c r="CB22" s="1092" t="n">
        <v>136758</v>
      </c>
      <c r="CC22" s="1093" t="n">
        <v>87525.12</v>
      </c>
      <c r="CD22" s="1092" t="n">
        <v>148316</v>
      </c>
      <c r="CE22" s="1093" t="n">
        <v>94922.24000000001</v>
      </c>
      <c r="CF22" s="1092" t="n">
        <v>159250</v>
      </c>
      <c r="CG22" s="1093" t="n">
        <v>101920</v>
      </c>
      <c r="CH22" s="1094" t="n">
        <v>143473.0833333333</v>
      </c>
      <c r="CI22" s="1095" t="n">
        <v>91822.77333333335</v>
      </c>
      <c r="CJ22" s="1097" t="n">
        <v>143473</v>
      </c>
      <c r="CK22" s="1093" t="n">
        <v>91822.72</v>
      </c>
      <c r="CL22" s="1098" t="n">
        <v>154924</v>
      </c>
      <c r="CM22" s="1093" t="n">
        <v>99151.36</v>
      </c>
      <c r="CN22" s="1098" t="n">
        <v>128100</v>
      </c>
      <c r="CO22" s="110" t="n">
        <v>81984</v>
      </c>
      <c r="CP22" s="1098" t="n">
        <v>168241</v>
      </c>
      <c r="CQ22" s="110" t="n">
        <v>107674.24</v>
      </c>
      <c r="CR22" s="1098" t="n">
        <v>113416</v>
      </c>
      <c r="CS22" s="110" t="n">
        <v>72586.24000000001</v>
      </c>
      <c r="CT22" s="1098" t="n">
        <v>125095</v>
      </c>
      <c r="CU22" s="110" t="n">
        <v>80060.8</v>
      </c>
      <c r="CV22" s="1098" t="n"/>
      <c r="CW22" s="110" t="n">
        <v>0</v>
      </c>
      <c r="CX22" s="1098" t="n"/>
      <c r="CY22" s="110" t="n">
        <v>0</v>
      </c>
      <c r="CZ22" s="1098" t="n"/>
      <c r="DA22" s="110" t="n">
        <v>0</v>
      </c>
      <c r="DB22" s="1098" t="n"/>
      <c r="DC22" s="110" t="n">
        <v>0</v>
      </c>
      <c r="DD22" s="1098" t="n"/>
      <c r="DE22" s="110" t="n">
        <v>0</v>
      </c>
      <c r="DF22" s="1098" t="n"/>
      <c r="DG22" s="110" t="n">
        <v>0</v>
      </c>
      <c r="DH22" s="1098" t="n"/>
      <c r="DI22" s="110" t="n">
        <v>0</v>
      </c>
      <c r="DJ22" s="110" t="n">
        <v>16.2891374236815</v>
      </c>
      <c r="DK22" s="110" t="n">
        <v>16.29</v>
      </c>
      <c r="DL22" s="1099" t="n">
        <v>689776</v>
      </c>
      <c r="DM22" s="1100" t="n">
        <v>441456.64</v>
      </c>
      <c r="DN22" s="1101" t="n">
        <v>137955.2</v>
      </c>
      <c r="DO22" s="1101" t="n">
        <v>88291.32799999999</v>
      </c>
      <c r="DP22" s="114" t="n">
        <v>14.96562710397467</v>
      </c>
      <c r="DQ22" s="115" t="n">
        <v>-1.323510319706829</v>
      </c>
      <c r="DR22" s="1004" t="n">
        <v>-2.363707137549113</v>
      </c>
      <c r="DS22" s="1004" t="n">
        <v>-3.845936258659449</v>
      </c>
      <c r="DT22" s="117" t="n">
        <v>-3531.445333333351</v>
      </c>
      <c r="DU22" s="117" t="n">
        <v>-2137.472000000023</v>
      </c>
      <c r="DV22" s="117" t="n">
        <v>-252.2460952380965</v>
      </c>
      <c r="DW22" s="117" t="n">
        <v>-152.6765714285731</v>
      </c>
      <c r="DX22" s="117" t="n">
        <v>-763.3828571428655</v>
      </c>
    </row>
    <row r="23" ht="20.4" customFormat="1" customHeight="1" s="125" thickBot="1">
      <c r="A23" s="119" t="n"/>
      <c r="B23" s="120" t="n"/>
      <c r="C23" s="120" t="n"/>
      <c r="D23" s="121" t="n"/>
      <c r="E23" s="121" t="n"/>
      <c r="F23" s="121" t="n"/>
      <c r="G23" s="121" t="n"/>
      <c r="H23" s="1086" t="n"/>
      <c r="I23" s="1087" t="n"/>
      <c r="J23" s="1086" t="n"/>
      <c r="K23" s="1087" t="n"/>
      <c r="L23" s="1086" t="n"/>
      <c r="M23" s="1087" t="n"/>
      <c r="N23" s="1086" t="n"/>
      <c r="O23" s="1087" t="n"/>
      <c r="P23" s="1086" t="n"/>
      <c r="Q23" s="1087" t="n"/>
      <c r="R23" s="1086" t="n"/>
      <c r="S23" s="1087" t="n"/>
      <c r="T23" s="1086" t="n"/>
      <c r="U23" s="1087" t="n"/>
      <c r="V23" s="1086" t="n"/>
      <c r="W23" s="1087" t="n"/>
      <c r="X23" s="1086" t="n"/>
      <c r="Y23" s="1087" t="n"/>
      <c r="Z23" s="1086" t="n"/>
      <c r="AA23" s="1087" t="n"/>
      <c r="AB23" s="1086" t="n"/>
      <c r="AC23" s="1087" t="n"/>
      <c r="AD23" s="1086" t="n"/>
      <c r="AE23" s="1087" t="n"/>
      <c r="AF23" s="1086" t="n"/>
      <c r="AG23" s="1087" t="n"/>
      <c r="AH23" s="1086" t="n"/>
      <c r="AI23" s="1087" t="n"/>
      <c r="AJ23" s="1086" t="n"/>
      <c r="AK23" s="1087" t="n"/>
      <c r="AL23" s="1086" t="n"/>
      <c r="AM23" s="1087" t="n"/>
      <c r="AN23" s="1086" t="n"/>
      <c r="AO23" s="1087" t="n"/>
      <c r="AP23" s="1086" t="n"/>
      <c r="AQ23" s="1087" t="n"/>
      <c r="AR23" s="1086" t="n"/>
      <c r="AS23" s="1087" t="n"/>
      <c r="AT23" s="1086" t="n"/>
      <c r="AU23" s="1087" t="n"/>
      <c r="AV23" s="1086" t="n"/>
      <c r="AW23" s="1087" t="n"/>
      <c r="AX23" s="1086" t="n"/>
      <c r="AY23" s="1087" t="n"/>
      <c r="AZ23" s="1086" t="n"/>
      <c r="BA23" s="1087" t="n"/>
      <c r="BB23" s="1086" t="n"/>
      <c r="BC23" s="1087" t="n"/>
      <c r="BD23" s="1086" t="n"/>
      <c r="BE23" s="1087" t="n"/>
      <c r="BF23" s="1086" t="n"/>
      <c r="BG23" s="1087" t="n"/>
      <c r="BH23" s="1086" t="n"/>
      <c r="BI23" s="1087" t="n"/>
      <c r="BJ23" s="1086" t="n"/>
      <c r="BK23" s="1087" t="n"/>
      <c r="BL23" s="1086" t="n"/>
      <c r="BM23" s="1087" t="n"/>
      <c r="BN23" s="1086" t="n"/>
      <c r="BO23" s="1087" t="n"/>
      <c r="BP23" s="1086" t="n"/>
      <c r="BQ23" s="1087" t="n"/>
      <c r="BR23" s="1088">
        <f>BR22</f>
        <v/>
      </c>
      <c r="BS23" s="1088">
        <f>BS22</f>
        <v/>
      </c>
      <c r="BT23" s="1088">
        <f>BT22</f>
        <v/>
      </c>
      <c r="BU23" s="1088">
        <f>BU22</f>
        <v/>
      </c>
      <c r="BV23" s="1088">
        <f>BV22</f>
        <v/>
      </c>
      <c r="BW23" s="1088">
        <f>BW22</f>
        <v/>
      </c>
      <c r="BX23" s="1088">
        <f>BX22</f>
        <v/>
      </c>
      <c r="BY23" s="1088">
        <f>BY22</f>
        <v/>
      </c>
      <c r="BZ23" s="1088">
        <f>BZ22</f>
        <v/>
      </c>
      <c r="CA23" s="1088">
        <f>CA22</f>
        <v/>
      </c>
      <c r="CB23" s="1088">
        <f>CB22</f>
        <v/>
      </c>
      <c r="CC23" s="1088">
        <f>CC22</f>
        <v/>
      </c>
      <c r="CD23" s="1088">
        <f>CD22</f>
        <v/>
      </c>
      <c r="CE23" s="1088">
        <f>CE22</f>
        <v/>
      </c>
      <c r="CF23" s="1088">
        <f>CF22</f>
        <v/>
      </c>
      <c r="CG23" s="1088">
        <f>CG22</f>
        <v/>
      </c>
      <c r="CH23" s="1088">
        <f>CH22</f>
        <v/>
      </c>
      <c r="CI23" s="1088">
        <f>CI22</f>
        <v/>
      </c>
      <c r="CJ23" s="1088">
        <f>CJ22</f>
        <v/>
      </c>
      <c r="CK23" s="1088">
        <f>CK22</f>
        <v/>
      </c>
      <c r="CL23" s="1088">
        <f>CL22</f>
        <v/>
      </c>
      <c r="CM23" s="1088">
        <f>CM22</f>
        <v/>
      </c>
      <c r="CN23" s="1088">
        <f>CN22</f>
        <v/>
      </c>
      <c r="CO23" s="1088">
        <f>CO22</f>
        <v/>
      </c>
      <c r="CP23" s="1088">
        <f>CP22</f>
        <v/>
      </c>
      <c r="CQ23" s="1088">
        <f>CQ22</f>
        <v/>
      </c>
      <c r="CR23" s="1088">
        <f>CR22</f>
        <v/>
      </c>
      <c r="CS23" s="1088">
        <f>CS22</f>
        <v/>
      </c>
      <c r="CT23" s="1088">
        <f>CT22</f>
        <v/>
      </c>
      <c r="CU23" s="1088">
        <f>CU22</f>
        <v/>
      </c>
      <c r="CV23" s="1088">
        <f>CV22</f>
        <v/>
      </c>
      <c r="CW23" s="1088">
        <f>CW22</f>
        <v/>
      </c>
      <c r="CX23" s="1088">
        <f>CX22</f>
        <v/>
      </c>
      <c r="CY23" s="1088">
        <f>CY22</f>
        <v/>
      </c>
      <c r="CZ23" s="1088">
        <f>CZ22</f>
        <v/>
      </c>
      <c r="DA23" s="1088">
        <f>DA22</f>
        <v/>
      </c>
      <c r="DB23" s="1088">
        <f>DB22</f>
        <v/>
      </c>
      <c r="DC23" s="1088">
        <f>DC22</f>
        <v/>
      </c>
      <c r="DD23" s="1088">
        <f>DD22</f>
        <v/>
      </c>
      <c r="DE23" s="1088">
        <f>DE22</f>
        <v/>
      </c>
      <c r="DF23" s="1088">
        <f>DF22</f>
        <v/>
      </c>
      <c r="DG23" s="1088">
        <f>DG22</f>
        <v/>
      </c>
      <c r="DH23" s="1088">
        <f>DH22</f>
        <v/>
      </c>
      <c r="DI23" s="1088">
        <f>DI22</f>
        <v/>
      </c>
      <c r="DJ23" s="214">
        <f>DJ22</f>
        <v/>
      </c>
      <c r="DK23" s="214">
        <f>DK22</f>
        <v/>
      </c>
      <c r="DL23" s="1088">
        <f>DL22</f>
        <v/>
      </c>
      <c r="DM23" s="1088">
        <f>DM22</f>
        <v/>
      </c>
      <c r="DN23" s="1088">
        <f>DN22</f>
        <v/>
      </c>
      <c r="DO23" s="1088">
        <f>DO22</f>
        <v/>
      </c>
      <c r="DP23" s="214">
        <f>DP22</f>
        <v/>
      </c>
      <c r="DQ23" s="214">
        <f>DQ22</f>
        <v/>
      </c>
      <c r="DR23" s="1088">
        <f>DR22</f>
        <v/>
      </c>
      <c r="DS23" s="1088">
        <f>DS22</f>
        <v/>
      </c>
      <c r="DT23" s="1088">
        <f>DT22</f>
        <v/>
      </c>
      <c r="DU23" s="1088">
        <f>DU22</f>
        <v/>
      </c>
      <c r="DV23" s="1088">
        <f>DV22</f>
        <v/>
      </c>
      <c r="DW23" s="1088">
        <f>DW22</f>
        <v/>
      </c>
      <c r="DX23" s="215">
        <f>DX22</f>
        <v/>
      </c>
    </row>
    <row r="24" ht="20.4" customHeight="1" thickBot="1">
      <c r="A24" s="101" t="n">
        <v>47</v>
      </c>
      <c r="B24" s="102" t="inlineStr">
        <is>
          <t>သံပုရာအရက်</t>
        </is>
      </c>
      <c r="C24" s="102" t="inlineStr">
        <is>
          <t>ပုလင်း</t>
        </is>
      </c>
      <c r="D24" s="101" t="n">
        <v>5</v>
      </c>
      <c r="E24" s="101" t="n">
        <v>0.64</v>
      </c>
      <c r="F24" s="101" t="inlineStr">
        <is>
          <t>1 * 14</t>
        </is>
      </c>
      <c r="G24" s="101" t="n">
        <v>1230</v>
      </c>
      <c r="H24" s="1092" t="n">
        <v>74970</v>
      </c>
      <c r="I24" s="1093" t="n">
        <v>47980.8</v>
      </c>
      <c r="J24" s="1092" t="n">
        <v>68278</v>
      </c>
      <c r="K24" s="1093" t="n">
        <v>43697.92</v>
      </c>
      <c r="L24" s="1092" t="n">
        <v>73962</v>
      </c>
      <c r="M24" s="1093" t="n">
        <v>47335.68</v>
      </c>
      <c r="N24" s="1092" t="n">
        <v>48118</v>
      </c>
      <c r="O24" s="1093" t="n">
        <v>30795.52</v>
      </c>
      <c r="P24" s="1092" t="n">
        <v>58968</v>
      </c>
      <c r="Q24" s="1093" t="n">
        <v>37739.52</v>
      </c>
      <c r="R24" s="1092" t="n">
        <v>63574</v>
      </c>
      <c r="S24" s="1093" t="n">
        <v>40687.36</v>
      </c>
      <c r="T24" s="1092" t="n">
        <v>57927</v>
      </c>
      <c r="U24" s="1093" t="n">
        <v>37073.28</v>
      </c>
      <c r="V24" s="1092" t="n">
        <v>66318</v>
      </c>
      <c r="W24" s="1093" t="n">
        <v>42443.52</v>
      </c>
      <c r="X24" s="1092" t="n">
        <v>60858</v>
      </c>
      <c r="Y24" s="1093" t="n">
        <v>38949.12</v>
      </c>
      <c r="Z24" s="1092" t="n">
        <v>64358</v>
      </c>
      <c r="AA24" s="1093" t="n">
        <v>41189.12</v>
      </c>
      <c r="AB24" s="1092" t="n">
        <v>66906</v>
      </c>
      <c r="AC24" s="1093" t="n">
        <v>42819.84</v>
      </c>
      <c r="AD24" s="1092" t="n">
        <v>73374</v>
      </c>
      <c r="AE24" s="1093" t="n">
        <v>46959.36</v>
      </c>
      <c r="AF24" s="1094" t="n">
        <v>64800.91666666666</v>
      </c>
      <c r="AG24" s="1095" t="n">
        <v>41472.58666666666</v>
      </c>
      <c r="AH24" s="1092" t="n">
        <v>80892</v>
      </c>
      <c r="AI24" s="1093" t="n">
        <v>51770.88</v>
      </c>
      <c r="AJ24" s="1092" t="n">
        <v>53830</v>
      </c>
      <c r="AK24" s="1093" t="n">
        <v>34451.2</v>
      </c>
      <c r="AL24" s="1092" t="n">
        <v>55370</v>
      </c>
      <c r="AM24" s="1093" t="n">
        <v>35436.8</v>
      </c>
      <c r="AN24" s="1092" t="n">
        <v>52542</v>
      </c>
      <c r="AO24" s="1093" t="n">
        <v>33626.88</v>
      </c>
      <c r="AP24" s="1092" t="n">
        <v>50932</v>
      </c>
      <c r="AQ24" s="1093" t="n">
        <v>32596.48</v>
      </c>
      <c r="AR24" s="1092" t="n">
        <v>57764</v>
      </c>
      <c r="AS24" s="1093" t="n">
        <v>36968.96</v>
      </c>
      <c r="AT24" s="1092" t="n">
        <v>57736</v>
      </c>
      <c r="AU24" s="1093" t="n">
        <v>36951.04</v>
      </c>
      <c r="AV24" s="1092" t="n">
        <v>56924</v>
      </c>
      <c r="AW24" s="1093" t="n">
        <v>36431.36</v>
      </c>
      <c r="AX24" s="1092" t="n">
        <v>57470</v>
      </c>
      <c r="AY24" s="1093" t="n">
        <v>36780.8</v>
      </c>
      <c r="AZ24" s="1092" t="n">
        <v>61329</v>
      </c>
      <c r="BA24" s="1093" t="n">
        <v>39250.56</v>
      </c>
      <c r="BB24" s="1092" t="n">
        <v>62412</v>
      </c>
      <c r="BC24" s="1093" t="n">
        <v>39943.68</v>
      </c>
      <c r="BD24" s="1092" t="n">
        <v>74214</v>
      </c>
      <c r="BE24" s="1093" t="n">
        <v>47496.96</v>
      </c>
      <c r="BF24" s="1094" t="n">
        <v>60117.91666666666</v>
      </c>
      <c r="BG24" s="1095" t="n">
        <v>38475.46666666667</v>
      </c>
      <c r="BH24" s="1092" t="n">
        <v>67704</v>
      </c>
      <c r="BI24" s="1093" t="n">
        <v>43330.56</v>
      </c>
      <c r="BJ24" s="1092" t="n">
        <v>60746</v>
      </c>
      <c r="BK24" s="1093" t="n">
        <v>38877.44</v>
      </c>
      <c r="BL24" s="1092" t="n">
        <v>59836</v>
      </c>
      <c r="BM24" s="1093" t="n">
        <v>38295.04</v>
      </c>
      <c r="BN24" s="1092" t="n">
        <v>50484</v>
      </c>
      <c r="BO24" s="1093" t="n">
        <v>32309.76</v>
      </c>
      <c r="BP24" s="1092" t="n">
        <v>59738</v>
      </c>
      <c r="BQ24" s="1093" t="n">
        <v>38232.32</v>
      </c>
      <c r="BR24" s="1096" t="n">
        <v>59701.6</v>
      </c>
      <c r="BS24" s="1093" t="n">
        <v>38209.024</v>
      </c>
      <c r="BT24" s="1092" t="n">
        <v>58751</v>
      </c>
      <c r="BU24" s="1093" t="n">
        <v>37600.64</v>
      </c>
      <c r="BV24" s="1092" t="n">
        <v>60256</v>
      </c>
      <c r="BW24" s="1093" t="n">
        <v>38563.84</v>
      </c>
      <c r="BX24" s="1092" t="n">
        <v>54824</v>
      </c>
      <c r="BY24" s="1093" t="n">
        <v>35087.36</v>
      </c>
      <c r="BZ24" s="1092" t="n">
        <v>60466</v>
      </c>
      <c r="CA24" s="1093" t="n">
        <v>38698.24</v>
      </c>
      <c r="CB24" s="1092" t="n">
        <v>67844</v>
      </c>
      <c r="CC24" s="1093" t="n">
        <v>43420.16</v>
      </c>
      <c r="CD24" s="1092" t="n">
        <v>63854</v>
      </c>
      <c r="CE24" s="1093" t="n">
        <v>40866.56</v>
      </c>
      <c r="CF24" s="1092" t="n">
        <v>77781</v>
      </c>
      <c r="CG24" s="1093" t="n">
        <v>49779.84</v>
      </c>
      <c r="CH24" s="1094" t="n">
        <v>61857</v>
      </c>
      <c r="CI24" s="1095" t="n">
        <v>39588.48</v>
      </c>
      <c r="CJ24" s="1097" t="n">
        <v>61857</v>
      </c>
      <c r="CK24" s="1093" t="n">
        <v>39588.48</v>
      </c>
      <c r="CL24" s="1098" t="n">
        <v>68715</v>
      </c>
      <c r="CM24" s="1093" t="n">
        <v>43977.6</v>
      </c>
      <c r="CN24" s="1098" t="n">
        <v>60634</v>
      </c>
      <c r="CO24" s="110" t="n">
        <v>38805.76</v>
      </c>
      <c r="CP24" s="1098" t="n">
        <v>70656</v>
      </c>
      <c r="CQ24" s="110" t="n">
        <v>45219.84</v>
      </c>
      <c r="CR24" s="1098" t="n">
        <v>50554</v>
      </c>
      <c r="CS24" s="110" t="n">
        <v>32354.56</v>
      </c>
      <c r="CT24" s="1098" t="n">
        <v>59329</v>
      </c>
      <c r="CU24" s="110" t="n">
        <v>37970.56</v>
      </c>
      <c r="CV24" s="1098" t="n"/>
      <c r="CW24" s="110" t="n">
        <v>0</v>
      </c>
      <c r="CX24" s="1098" t="n"/>
      <c r="CY24" s="110" t="n">
        <v>0</v>
      </c>
      <c r="CZ24" s="1098" t="n"/>
      <c r="DA24" s="110" t="n">
        <v>0</v>
      </c>
      <c r="DB24" s="1098" t="n"/>
      <c r="DC24" s="110" t="n">
        <v>0</v>
      </c>
      <c r="DD24" s="1098" t="n"/>
      <c r="DE24" s="110" t="n">
        <v>0</v>
      </c>
      <c r="DF24" s="1098" t="n"/>
      <c r="DG24" s="110" t="n">
        <v>0</v>
      </c>
      <c r="DH24" s="1098" t="n"/>
      <c r="DI24" s="110" t="n">
        <v>0</v>
      </c>
      <c r="DJ24" s="110" t="n">
        <v>7.022900395021828</v>
      </c>
      <c r="DK24" s="110" t="n">
        <v>7.02</v>
      </c>
      <c r="DL24" s="1099" t="n">
        <v>309888</v>
      </c>
      <c r="DM24" s="1100" t="n">
        <v>198328.32</v>
      </c>
      <c r="DN24" s="1101" t="n">
        <v>61977.6</v>
      </c>
      <c r="DO24" s="1101" t="n">
        <v>39665.664</v>
      </c>
      <c r="DP24" s="114" t="n">
        <v>6.723441018528482</v>
      </c>
      <c r="DQ24" s="115" t="n">
        <v>-0.2994593764933455</v>
      </c>
      <c r="DR24" s="1004" t="n">
        <v>3.812293137872345</v>
      </c>
      <c r="DS24" s="1004" t="n">
        <v>0.1949658082351249</v>
      </c>
      <c r="DT24" s="117" t="n">
        <v>77.18400000000111</v>
      </c>
      <c r="DU24" s="117" t="n">
        <v>1456.639999999999</v>
      </c>
      <c r="DV24" s="117" t="n">
        <v>5.513142857142936</v>
      </c>
      <c r="DW24" s="117" t="n">
        <v>104.0457142857142</v>
      </c>
      <c r="DX24" s="117" t="n">
        <v>520.2285714285712</v>
      </c>
    </row>
    <row r="25" ht="20.4" customFormat="1" customHeight="1" s="125" thickBot="1">
      <c r="A25" s="119" t="n"/>
      <c r="B25" s="120" t="n"/>
      <c r="C25" s="120" t="n"/>
      <c r="D25" s="121" t="n"/>
      <c r="E25" s="121" t="n"/>
      <c r="F25" s="121" t="n"/>
      <c r="G25" s="121" t="n"/>
      <c r="H25" s="1086" t="n"/>
      <c r="I25" s="1087" t="n"/>
      <c r="J25" s="1086" t="n"/>
      <c r="K25" s="1087" t="n"/>
      <c r="L25" s="1086" t="n"/>
      <c r="M25" s="1087" t="n"/>
      <c r="N25" s="1086" t="n"/>
      <c r="O25" s="1087" t="n"/>
      <c r="P25" s="1086" t="n"/>
      <c r="Q25" s="1087" t="n"/>
      <c r="R25" s="1086" t="n"/>
      <c r="S25" s="1087" t="n"/>
      <c r="T25" s="1086" t="n"/>
      <c r="U25" s="1087" t="n"/>
      <c r="V25" s="1086" t="n"/>
      <c r="W25" s="1087" t="n"/>
      <c r="X25" s="1086" t="n"/>
      <c r="Y25" s="1087" t="n"/>
      <c r="Z25" s="1086" t="n"/>
      <c r="AA25" s="1087" t="n"/>
      <c r="AB25" s="1086" t="n"/>
      <c r="AC25" s="1087" t="n"/>
      <c r="AD25" s="1086" t="n"/>
      <c r="AE25" s="1087" t="n"/>
      <c r="AF25" s="1086" t="n"/>
      <c r="AG25" s="1087" t="n"/>
      <c r="AH25" s="1086" t="n"/>
      <c r="AI25" s="1087" t="n"/>
      <c r="AJ25" s="1086" t="n"/>
      <c r="AK25" s="1087" t="n"/>
      <c r="AL25" s="1086" t="n"/>
      <c r="AM25" s="1087" t="n"/>
      <c r="AN25" s="1086" t="n"/>
      <c r="AO25" s="1087" t="n"/>
      <c r="AP25" s="1086" t="n"/>
      <c r="AQ25" s="1087" t="n"/>
      <c r="AR25" s="1086" t="n"/>
      <c r="AS25" s="1087" t="n"/>
      <c r="AT25" s="1086" t="n"/>
      <c r="AU25" s="1087" t="n"/>
      <c r="AV25" s="1086" t="n"/>
      <c r="AW25" s="1087" t="n"/>
      <c r="AX25" s="1086" t="n"/>
      <c r="AY25" s="1087" t="n"/>
      <c r="AZ25" s="1086" t="n"/>
      <c r="BA25" s="1087" t="n"/>
      <c r="BB25" s="1086" t="n"/>
      <c r="BC25" s="1087" t="n"/>
      <c r="BD25" s="1086" t="n"/>
      <c r="BE25" s="1087" t="n"/>
      <c r="BF25" s="1086" t="n"/>
      <c r="BG25" s="1087" t="n"/>
      <c r="BH25" s="1086" t="n"/>
      <c r="BI25" s="1087" t="n"/>
      <c r="BJ25" s="1086" t="n"/>
      <c r="BK25" s="1087" t="n"/>
      <c r="BL25" s="1086" t="n"/>
      <c r="BM25" s="1087" t="n"/>
      <c r="BN25" s="1086" t="n"/>
      <c r="BO25" s="1087" t="n"/>
      <c r="BP25" s="1086" t="n"/>
      <c r="BQ25" s="1087" t="n"/>
      <c r="BR25" s="1088">
        <f>BR24</f>
        <v/>
      </c>
      <c r="BS25" s="1088">
        <f>BS24</f>
        <v/>
      </c>
      <c r="BT25" s="1088">
        <f>BT24</f>
        <v/>
      </c>
      <c r="BU25" s="1088">
        <f>BU24</f>
        <v/>
      </c>
      <c r="BV25" s="1088">
        <f>BV24</f>
        <v/>
      </c>
      <c r="BW25" s="1088">
        <f>BW24</f>
        <v/>
      </c>
      <c r="BX25" s="1088">
        <f>BX24</f>
        <v/>
      </c>
      <c r="BY25" s="1088">
        <f>BY24</f>
        <v/>
      </c>
      <c r="BZ25" s="1088">
        <f>BZ24</f>
        <v/>
      </c>
      <c r="CA25" s="1088">
        <f>CA24</f>
        <v/>
      </c>
      <c r="CB25" s="1088">
        <f>CB24</f>
        <v/>
      </c>
      <c r="CC25" s="1088">
        <f>CC24</f>
        <v/>
      </c>
      <c r="CD25" s="1088">
        <f>CD24</f>
        <v/>
      </c>
      <c r="CE25" s="1088">
        <f>CE24</f>
        <v/>
      </c>
      <c r="CF25" s="1088">
        <f>CF24</f>
        <v/>
      </c>
      <c r="CG25" s="1088">
        <f>CG24</f>
        <v/>
      </c>
      <c r="CH25" s="1088">
        <f>CH24</f>
        <v/>
      </c>
      <c r="CI25" s="1088">
        <f>CI24</f>
        <v/>
      </c>
      <c r="CJ25" s="1088">
        <f>CJ24</f>
        <v/>
      </c>
      <c r="CK25" s="1088">
        <f>CK24</f>
        <v/>
      </c>
      <c r="CL25" s="1088">
        <f>CL24</f>
        <v/>
      </c>
      <c r="CM25" s="1088">
        <f>CM24</f>
        <v/>
      </c>
      <c r="CN25" s="1088">
        <f>CN24</f>
        <v/>
      </c>
      <c r="CO25" s="1088">
        <f>CO24</f>
        <v/>
      </c>
      <c r="CP25" s="1088">
        <f>CP24</f>
        <v/>
      </c>
      <c r="CQ25" s="1088">
        <f>CQ24</f>
        <v/>
      </c>
      <c r="CR25" s="1088">
        <f>CR24</f>
        <v/>
      </c>
      <c r="CS25" s="1088">
        <f>CS24</f>
        <v/>
      </c>
      <c r="CT25" s="1088">
        <f>CT24</f>
        <v/>
      </c>
      <c r="CU25" s="1088">
        <f>CU24</f>
        <v/>
      </c>
      <c r="CV25" s="1088">
        <f>CV24</f>
        <v/>
      </c>
      <c r="CW25" s="1088">
        <f>CW24</f>
        <v/>
      </c>
      <c r="CX25" s="1088">
        <f>CX24</f>
        <v/>
      </c>
      <c r="CY25" s="1088">
        <f>CY24</f>
        <v/>
      </c>
      <c r="CZ25" s="1088">
        <f>CZ24</f>
        <v/>
      </c>
      <c r="DA25" s="1088">
        <f>DA24</f>
        <v/>
      </c>
      <c r="DB25" s="1088">
        <f>DB24</f>
        <v/>
      </c>
      <c r="DC25" s="1088">
        <f>DC24</f>
        <v/>
      </c>
      <c r="DD25" s="1088">
        <f>DD24</f>
        <v/>
      </c>
      <c r="DE25" s="1088">
        <f>DE24</f>
        <v/>
      </c>
      <c r="DF25" s="1088">
        <f>DF24</f>
        <v/>
      </c>
      <c r="DG25" s="1088">
        <f>DG24</f>
        <v/>
      </c>
      <c r="DH25" s="1088">
        <f>DH24</f>
        <v/>
      </c>
      <c r="DI25" s="1088">
        <f>DI24</f>
        <v/>
      </c>
      <c r="DJ25" s="214">
        <f>DJ24</f>
        <v/>
      </c>
      <c r="DK25" s="214">
        <f>DK24</f>
        <v/>
      </c>
      <c r="DL25" s="1088">
        <f>DL24</f>
        <v/>
      </c>
      <c r="DM25" s="1088">
        <f>DM24</f>
        <v/>
      </c>
      <c r="DN25" s="1088">
        <f>DN24</f>
        <v/>
      </c>
      <c r="DO25" s="1088">
        <f>DO24</f>
        <v/>
      </c>
      <c r="DP25" s="214">
        <f>DP24</f>
        <v/>
      </c>
      <c r="DQ25" s="214">
        <f>DQ24</f>
        <v/>
      </c>
      <c r="DR25" s="1088">
        <f>DR24</f>
        <v/>
      </c>
      <c r="DS25" s="1088">
        <f>DS24</f>
        <v/>
      </c>
      <c r="DT25" s="1088">
        <f>DT24</f>
        <v/>
      </c>
      <c r="DU25" s="1088">
        <f>DU24</f>
        <v/>
      </c>
      <c r="DV25" s="1088">
        <f>DV24</f>
        <v/>
      </c>
      <c r="DW25" s="1088">
        <f>DW24</f>
        <v/>
      </c>
      <c r="DX25" s="215">
        <f>DX24</f>
        <v/>
      </c>
    </row>
    <row r="26" ht="20.4" customHeight="1" thickBot="1">
      <c r="A26" s="101" t="n">
        <v>52</v>
      </c>
      <c r="B26" s="102" t="inlineStr">
        <is>
          <t>2 in 1 မန်ကျည်း</t>
        </is>
      </c>
      <c r="C26" s="102" t="inlineStr">
        <is>
          <t>ပုလင်း</t>
        </is>
      </c>
      <c r="D26" s="101" t="n">
        <v>16</v>
      </c>
      <c r="E26" s="101" t="n">
        <v>0.64</v>
      </c>
      <c r="F26" s="101" t="inlineStr">
        <is>
          <t>1 * 14</t>
        </is>
      </c>
      <c r="G26" s="101" t="n">
        <v>1250</v>
      </c>
      <c r="H26" s="1092" t="n">
        <v>9128</v>
      </c>
      <c r="I26" s="1093" t="n">
        <v>5841.92</v>
      </c>
      <c r="J26" s="1092" t="n">
        <v>6594</v>
      </c>
      <c r="K26" s="1093" t="n">
        <v>4220.16</v>
      </c>
      <c r="L26" s="1092" t="n">
        <v>10458</v>
      </c>
      <c r="M26" s="1093" t="n">
        <v>6693.12</v>
      </c>
      <c r="N26" s="1092" t="n">
        <v>7602</v>
      </c>
      <c r="O26" s="1093" t="n">
        <v>4865.28</v>
      </c>
      <c r="P26" s="1092" t="n">
        <v>7350</v>
      </c>
      <c r="Q26" s="1093" t="n">
        <v>4704</v>
      </c>
      <c r="R26" s="1092" t="n">
        <v>9688</v>
      </c>
      <c r="S26" s="1093" t="n">
        <v>6200.32</v>
      </c>
      <c r="T26" s="1092" t="n">
        <v>7000</v>
      </c>
      <c r="U26" s="1093" t="n">
        <v>4480</v>
      </c>
      <c r="V26" s="1092" t="n">
        <v>8358</v>
      </c>
      <c r="W26" s="1093" t="n">
        <v>5349.12</v>
      </c>
      <c r="X26" s="1092" t="n">
        <v>6860</v>
      </c>
      <c r="Y26" s="1093" t="n">
        <v>4390.400000000001</v>
      </c>
      <c r="Z26" s="1092" t="n">
        <v>7700</v>
      </c>
      <c r="AA26" s="1093" t="n">
        <v>4928</v>
      </c>
      <c r="AB26" s="1092" t="n">
        <v>8568</v>
      </c>
      <c r="AC26" s="1093" t="n">
        <v>5483.52</v>
      </c>
      <c r="AD26" s="1092" t="n">
        <v>10920</v>
      </c>
      <c r="AE26" s="1093" t="n">
        <v>6988.8</v>
      </c>
      <c r="AF26" s="1094" t="n">
        <v>8352.166666666666</v>
      </c>
      <c r="AG26" s="1095" t="n">
        <v>5345.386666666666</v>
      </c>
      <c r="AH26" s="1092" t="n">
        <v>12866</v>
      </c>
      <c r="AI26" s="1093" t="n">
        <v>8234.24</v>
      </c>
      <c r="AJ26" s="1092" t="n">
        <v>7532</v>
      </c>
      <c r="AK26" s="1093" t="n">
        <v>4820.48</v>
      </c>
      <c r="AL26" s="1092" t="n">
        <v>7742</v>
      </c>
      <c r="AM26" s="1093" t="n">
        <v>4954.88</v>
      </c>
      <c r="AN26" s="1092" t="n">
        <v>7000</v>
      </c>
      <c r="AO26" s="1093" t="n">
        <v>4480</v>
      </c>
      <c r="AP26" s="1092" t="n">
        <v>3780</v>
      </c>
      <c r="AQ26" s="1093" t="n">
        <v>2419.2</v>
      </c>
      <c r="AR26" s="1092" t="n">
        <v>4760</v>
      </c>
      <c r="AS26" s="1093" t="n">
        <v>3046.4</v>
      </c>
      <c r="AT26" s="1092" t="n">
        <v>8540</v>
      </c>
      <c r="AU26" s="1093" t="n">
        <v>5465.6</v>
      </c>
      <c r="AV26" s="1092" t="n">
        <v>7546</v>
      </c>
      <c r="AW26" s="1093" t="n">
        <v>4829.440000000001</v>
      </c>
      <c r="AX26" s="1092" t="n">
        <v>7070</v>
      </c>
      <c r="AY26" s="1093" t="n">
        <v>4524.8</v>
      </c>
      <c r="AZ26" s="1092" t="n">
        <v>3780</v>
      </c>
      <c r="BA26" s="1093" t="n">
        <v>2419.2</v>
      </c>
      <c r="BB26" s="1092" t="n">
        <v>5586</v>
      </c>
      <c r="BC26" s="1093" t="n">
        <v>3575.04</v>
      </c>
      <c r="BD26" s="1092" t="n">
        <v>8070</v>
      </c>
      <c r="BE26" s="1093" t="n">
        <v>5164.8</v>
      </c>
      <c r="BF26" s="1094" t="n">
        <v>7022.666666666667</v>
      </c>
      <c r="BG26" s="1095" t="n">
        <v>4494.506666666667</v>
      </c>
      <c r="BH26" s="1092" t="n">
        <v>6426</v>
      </c>
      <c r="BI26" s="1093" t="n">
        <v>4112.64</v>
      </c>
      <c r="BJ26" s="1092" t="n">
        <v>5473</v>
      </c>
      <c r="BK26" s="1093" t="n">
        <v>3502.72</v>
      </c>
      <c r="BL26" s="1092" t="n">
        <v>6440</v>
      </c>
      <c r="BM26" s="1093" t="n">
        <v>4121.6</v>
      </c>
      <c r="BN26" s="1092" t="n">
        <v>3542</v>
      </c>
      <c r="BO26" s="1093" t="n">
        <v>2266.88</v>
      </c>
      <c r="BP26" s="1092" t="n">
        <v>5124</v>
      </c>
      <c r="BQ26" s="1093" t="n">
        <v>3279.36</v>
      </c>
      <c r="BR26" s="1096" t="n">
        <v>5401</v>
      </c>
      <c r="BS26" s="1093" t="n">
        <v>3456.64</v>
      </c>
      <c r="BT26" s="1092" t="n">
        <v>6335</v>
      </c>
      <c r="BU26" s="1093" t="n">
        <v>4054.4</v>
      </c>
      <c r="BV26" s="1092" t="n">
        <v>5614</v>
      </c>
      <c r="BW26" s="1093" t="n">
        <v>3592.96</v>
      </c>
      <c r="BX26" s="1092" t="n">
        <v>8190</v>
      </c>
      <c r="BY26" s="1093" t="n">
        <v>5241.6</v>
      </c>
      <c r="BZ26" s="1092" t="n">
        <v>8190</v>
      </c>
      <c r="CA26" s="1093" t="n">
        <v>5241.6</v>
      </c>
      <c r="CB26" s="1092" t="n">
        <v>5670</v>
      </c>
      <c r="CC26" s="1093" t="n">
        <v>3628.8</v>
      </c>
      <c r="CD26" s="1092" t="n">
        <v>5670</v>
      </c>
      <c r="CE26" s="1093" t="n">
        <v>3628.8</v>
      </c>
      <c r="CF26" s="1092" t="n">
        <v>6510</v>
      </c>
      <c r="CG26" s="1093" t="n">
        <v>4166.4</v>
      </c>
      <c r="CH26" s="1094" t="n">
        <v>6098.666666666667</v>
      </c>
      <c r="CI26" s="1095" t="n">
        <v>3903.146666666667</v>
      </c>
      <c r="CJ26" s="1097" t="n">
        <v>6099</v>
      </c>
      <c r="CK26" s="1093" t="n">
        <v>3903.36</v>
      </c>
      <c r="CL26" s="1098" t="n">
        <v>6650</v>
      </c>
      <c r="CM26" s="1093" t="n">
        <v>4256</v>
      </c>
      <c r="CN26" s="1098" t="n">
        <v>3500</v>
      </c>
      <c r="CO26" s="110" t="n">
        <v>2240</v>
      </c>
      <c r="CP26" s="1098" t="n">
        <v>6762</v>
      </c>
      <c r="CQ26" s="110" t="n">
        <v>4327.68</v>
      </c>
      <c r="CR26" s="1098" t="n">
        <v>3514</v>
      </c>
      <c r="CS26" s="110" t="n">
        <v>2248.96</v>
      </c>
      <c r="CT26" s="1098" t="n">
        <v>4410</v>
      </c>
      <c r="CU26" s="110" t="n">
        <v>2822.4</v>
      </c>
      <c r="CV26" s="1098" t="n"/>
      <c r="CW26" s="110" t="n">
        <v>0</v>
      </c>
      <c r="CX26" s="1098" t="n"/>
      <c r="CY26" s="110" t="n">
        <v>0</v>
      </c>
      <c r="CZ26" s="1098" t="n"/>
      <c r="DA26" s="110" t="n">
        <v>0</v>
      </c>
      <c r="DB26" s="1098" t="n"/>
      <c r="DC26" s="110" t="n">
        <v>0</v>
      </c>
      <c r="DD26" s="1098" t="n"/>
      <c r="DE26" s="110" t="n">
        <v>0</v>
      </c>
      <c r="DF26" s="1098" t="n"/>
      <c r="DG26" s="110" t="n">
        <v>0</v>
      </c>
      <c r="DH26" s="1098" t="n"/>
      <c r="DI26" s="110" t="n">
        <v>0</v>
      </c>
      <c r="DJ26" s="110" t="n">
        <v>0.6924087579811466</v>
      </c>
      <c r="DK26" s="110" t="n">
        <v>0.6899999999999999</v>
      </c>
      <c r="DL26" s="1099" t="n">
        <v>24836</v>
      </c>
      <c r="DM26" s="1100" t="n">
        <v>15895.04</v>
      </c>
      <c r="DN26" s="1101" t="n">
        <v>4967.2</v>
      </c>
      <c r="DO26" s="1101" t="n">
        <v>3179.008</v>
      </c>
      <c r="DP26" s="114" t="n">
        <v>0.5388507497424017</v>
      </c>
      <c r="DQ26" s="115" t="n">
        <v>-0.153558008238745</v>
      </c>
      <c r="DR26" s="1004" t="n">
        <v>-8.031845954452905</v>
      </c>
      <c r="DS26" s="1004" t="n">
        <v>-18.5526891123743</v>
      </c>
      <c r="DT26" s="117" t="n">
        <v>-724.1386666666672</v>
      </c>
      <c r="DU26" s="117" t="n">
        <v>-277.6320000000005</v>
      </c>
      <c r="DV26" s="117" t="n">
        <v>-51.72419047619051</v>
      </c>
      <c r="DW26" s="117" t="n">
        <v>-19.83085714285718</v>
      </c>
      <c r="DX26" s="117" t="n">
        <v>-99.1542857142859</v>
      </c>
    </row>
    <row r="27" ht="20.4" customFormat="1" customHeight="1" s="125" thickBot="1">
      <c r="A27" s="119" t="n"/>
      <c r="B27" s="120" t="n"/>
      <c r="C27" s="120" t="n"/>
      <c r="D27" s="121" t="n"/>
      <c r="E27" s="121" t="n"/>
      <c r="F27" s="121" t="n"/>
      <c r="G27" s="121" t="n"/>
      <c r="H27" s="1086" t="n"/>
      <c r="I27" s="1087" t="n"/>
      <c r="J27" s="1086" t="n"/>
      <c r="K27" s="1087" t="n"/>
      <c r="L27" s="1086" t="n"/>
      <c r="M27" s="1087" t="n"/>
      <c r="N27" s="1086" t="n"/>
      <c r="O27" s="1087" t="n"/>
      <c r="P27" s="1086" t="n"/>
      <c r="Q27" s="1087" t="n"/>
      <c r="R27" s="1086" t="n"/>
      <c r="S27" s="1087" t="n"/>
      <c r="T27" s="1086" t="n"/>
      <c r="U27" s="1087" t="n"/>
      <c r="V27" s="1086" t="n"/>
      <c r="W27" s="1087" t="n"/>
      <c r="X27" s="1086" t="n"/>
      <c r="Y27" s="1087" t="n"/>
      <c r="Z27" s="1086" t="n"/>
      <c r="AA27" s="1087" t="n"/>
      <c r="AB27" s="1086" t="n"/>
      <c r="AC27" s="1087" t="n"/>
      <c r="AD27" s="1086" t="n"/>
      <c r="AE27" s="1087" t="n"/>
      <c r="AF27" s="1086" t="n"/>
      <c r="AG27" s="1087" t="n"/>
      <c r="AH27" s="1086" t="n"/>
      <c r="AI27" s="1087" t="n"/>
      <c r="AJ27" s="1086" t="n"/>
      <c r="AK27" s="1087" t="n"/>
      <c r="AL27" s="1086" t="n"/>
      <c r="AM27" s="1087" t="n"/>
      <c r="AN27" s="1086" t="n"/>
      <c r="AO27" s="1087" t="n"/>
      <c r="AP27" s="1086" t="n"/>
      <c r="AQ27" s="1087" t="n"/>
      <c r="AR27" s="1086" t="n"/>
      <c r="AS27" s="1087" t="n"/>
      <c r="AT27" s="1086" t="n"/>
      <c r="AU27" s="1087" t="n"/>
      <c r="AV27" s="1086" t="n"/>
      <c r="AW27" s="1087" t="n"/>
      <c r="AX27" s="1086" t="n"/>
      <c r="AY27" s="1087" t="n"/>
      <c r="AZ27" s="1086" t="n"/>
      <c r="BA27" s="1087" t="n"/>
      <c r="BB27" s="1086" t="n"/>
      <c r="BC27" s="1087" t="n"/>
      <c r="BD27" s="1086" t="n"/>
      <c r="BE27" s="1087" t="n"/>
      <c r="BF27" s="1086" t="n"/>
      <c r="BG27" s="1087" t="n"/>
      <c r="BH27" s="1086" t="n"/>
      <c r="BI27" s="1087" t="n"/>
      <c r="BJ27" s="1086" t="n"/>
      <c r="BK27" s="1087" t="n"/>
      <c r="BL27" s="1086" t="n"/>
      <c r="BM27" s="1087" t="n"/>
      <c r="BN27" s="1086" t="n"/>
      <c r="BO27" s="1087" t="n"/>
      <c r="BP27" s="1086" t="n"/>
      <c r="BQ27" s="1087" t="n"/>
      <c r="BR27" s="1088">
        <f>BR26</f>
        <v/>
      </c>
      <c r="BS27" s="1088">
        <f>BS26</f>
        <v/>
      </c>
      <c r="BT27" s="1088">
        <f>BT26</f>
        <v/>
      </c>
      <c r="BU27" s="1088">
        <f>BU26</f>
        <v/>
      </c>
      <c r="BV27" s="1088">
        <f>BV26</f>
        <v/>
      </c>
      <c r="BW27" s="1088">
        <f>BW26</f>
        <v/>
      </c>
      <c r="BX27" s="1088">
        <f>BX26</f>
        <v/>
      </c>
      <c r="BY27" s="1088">
        <f>BY26</f>
        <v/>
      </c>
      <c r="BZ27" s="1088">
        <f>BZ26</f>
        <v/>
      </c>
      <c r="CA27" s="1088">
        <f>CA26</f>
        <v/>
      </c>
      <c r="CB27" s="1088">
        <f>CB26</f>
        <v/>
      </c>
      <c r="CC27" s="1088">
        <f>CC26</f>
        <v/>
      </c>
      <c r="CD27" s="1088">
        <f>CD26</f>
        <v/>
      </c>
      <c r="CE27" s="1088">
        <f>CE26</f>
        <v/>
      </c>
      <c r="CF27" s="1088">
        <f>CF26</f>
        <v/>
      </c>
      <c r="CG27" s="1088">
        <f>CG26</f>
        <v/>
      </c>
      <c r="CH27" s="1088">
        <f>CH26</f>
        <v/>
      </c>
      <c r="CI27" s="1088">
        <f>CI26</f>
        <v/>
      </c>
      <c r="CJ27" s="1088">
        <f>CJ26</f>
        <v/>
      </c>
      <c r="CK27" s="1088">
        <f>CK26</f>
        <v/>
      </c>
      <c r="CL27" s="1088">
        <f>CL26</f>
        <v/>
      </c>
      <c r="CM27" s="1088">
        <f>CM26</f>
        <v/>
      </c>
      <c r="CN27" s="1088">
        <f>CN26</f>
        <v/>
      </c>
      <c r="CO27" s="1088">
        <f>CO26</f>
        <v/>
      </c>
      <c r="CP27" s="1088">
        <f>CP26</f>
        <v/>
      </c>
      <c r="CQ27" s="1088">
        <f>CQ26</f>
        <v/>
      </c>
      <c r="CR27" s="1088">
        <f>CR26</f>
        <v/>
      </c>
      <c r="CS27" s="1088">
        <f>CS26</f>
        <v/>
      </c>
      <c r="CT27" s="1088">
        <f>CT26</f>
        <v/>
      </c>
      <c r="CU27" s="1088">
        <f>CU26</f>
        <v/>
      </c>
      <c r="CV27" s="1088">
        <f>CV26</f>
        <v/>
      </c>
      <c r="CW27" s="1088">
        <f>CW26</f>
        <v/>
      </c>
      <c r="CX27" s="1088">
        <f>CX26</f>
        <v/>
      </c>
      <c r="CY27" s="1088">
        <f>CY26</f>
        <v/>
      </c>
      <c r="CZ27" s="1088">
        <f>CZ26</f>
        <v/>
      </c>
      <c r="DA27" s="1088">
        <f>DA26</f>
        <v/>
      </c>
      <c r="DB27" s="1088">
        <f>DB26</f>
        <v/>
      </c>
      <c r="DC27" s="1088">
        <f>DC26</f>
        <v/>
      </c>
      <c r="DD27" s="1088">
        <f>DD26</f>
        <v/>
      </c>
      <c r="DE27" s="1088">
        <f>DE26</f>
        <v/>
      </c>
      <c r="DF27" s="1088">
        <f>DF26</f>
        <v/>
      </c>
      <c r="DG27" s="1088">
        <f>DG26</f>
        <v/>
      </c>
      <c r="DH27" s="1088">
        <f>DH26</f>
        <v/>
      </c>
      <c r="DI27" s="1088">
        <f>DI26</f>
        <v/>
      </c>
      <c r="DJ27" s="214">
        <f>DJ26</f>
        <v/>
      </c>
      <c r="DK27" s="214">
        <f>DK26</f>
        <v/>
      </c>
      <c r="DL27" s="1088">
        <f>DL26</f>
        <v/>
      </c>
      <c r="DM27" s="1088">
        <f>DM26</f>
        <v/>
      </c>
      <c r="DN27" s="1088">
        <f>DN26</f>
        <v/>
      </c>
      <c r="DO27" s="1088">
        <f>DO26</f>
        <v/>
      </c>
      <c r="DP27" s="214">
        <f>DP26</f>
        <v/>
      </c>
      <c r="DQ27" s="214">
        <f>DQ26</f>
        <v/>
      </c>
      <c r="DR27" s="1088">
        <f>DR26</f>
        <v/>
      </c>
      <c r="DS27" s="1088">
        <f>DS26</f>
        <v/>
      </c>
      <c r="DT27" s="1088">
        <f>DT26</f>
        <v/>
      </c>
      <c r="DU27" s="1088">
        <f>DU26</f>
        <v/>
      </c>
      <c r="DV27" s="1088">
        <f>DV26</f>
        <v/>
      </c>
      <c r="DW27" s="1088">
        <f>DW26</f>
        <v/>
      </c>
      <c r="DX27" s="215">
        <f>DX26</f>
        <v/>
      </c>
    </row>
    <row r="28" ht="20.4" customHeight="1" thickBot="1">
      <c r="A28" s="101" t="n">
        <v>53</v>
      </c>
      <c r="B28" s="102" t="inlineStr">
        <is>
          <t xml:space="preserve">Dagon Tamarind </t>
        </is>
      </c>
      <c r="C28" s="102" t="inlineStr">
        <is>
          <t>ပုလင်း</t>
        </is>
      </c>
      <c r="D28" s="101" t="n">
        <v>26</v>
      </c>
      <c r="E28" s="101" t="n">
        <v>0.64</v>
      </c>
      <c r="F28" s="101" t="inlineStr">
        <is>
          <t>1 * 14</t>
        </is>
      </c>
      <c r="G28" s="101" t="n">
        <v>1180</v>
      </c>
      <c r="H28" s="1092" t="n"/>
      <c r="I28" s="1093" t="n">
        <v>0</v>
      </c>
      <c r="J28" s="1092" t="n"/>
      <c r="K28" s="1093" t="n">
        <v>0</v>
      </c>
      <c r="L28" s="1092" t="n"/>
      <c r="M28" s="1093" t="n">
        <v>0</v>
      </c>
      <c r="N28" s="1092" t="n"/>
      <c r="O28" s="1093" t="n">
        <v>0</v>
      </c>
      <c r="P28" s="1092" t="n"/>
      <c r="Q28" s="1093" t="n">
        <v>0</v>
      </c>
      <c r="R28" s="1092" t="n"/>
      <c r="S28" s="1093" t="n">
        <v>0</v>
      </c>
      <c r="T28" s="1092" t="n"/>
      <c r="U28" s="1093" t="n">
        <v>0</v>
      </c>
      <c r="V28" s="1092" t="n"/>
      <c r="W28" s="1093" t="n">
        <v>0</v>
      </c>
      <c r="X28" s="1092" t="n"/>
      <c r="Y28" s="1093" t="n">
        <v>0</v>
      </c>
      <c r="Z28" s="1092" t="n"/>
      <c r="AA28" s="1093" t="n">
        <v>0</v>
      </c>
      <c r="AB28" s="1092" t="n"/>
      <c r="AC28" s="1093" t="n">
        <v>0</v>
      </c>
      <c r="AD28" s="1092" t="n"/>
      <c r="AE28" s="1093" t="n">
        <v>0</v>
      </c>
      <c r="AF28" s="1094" t="n">
        <v>0</v>
      </c>
      <c r="AG28" s="1095" t="n">
        <v>0</v>
      </c>
      <c r="AH28" s="1092" t="n"/>
      <c r="AI28" s="1093" t="n">
        <v>0</v>
      </c>
      <c r="AJ28" s="1092" t="n"/>
      <c r="AK28" s="1093" t="n">
        <v>0</v>
      </c>
      <c r="AL28" s="1092" t="n"/>
      <c r="AM28" s="1093" t="n">
        <v>0</v>
      </c>
      <c r="AN28" s="1092" t="n"/>
      <c r="AO28" s="1093" t="n">
        <v>0</v>
      </c>
      <c r="AP28" s="1092" t="n"/>
      <c r="AQ28" s="1093" t="n">
        <v>0</v>
      </c>
      <c r="AR28" s="1092" t="n"/>
      <c r="AS28" s="1093" t="n">
        <v>0</v>
      </c>
      <c r="AT28" s="1092" t="n"/>
      <c r="AU28" s="1093" t="n">
        <v>0</v>
      </c>
      <c r="AV28" s="1092" t="n"/>
      <c r="AW28" s="1093" t="n">
        <v>0</v>
      </c>
      <c r="AX28" s="1092" t="n"/>
      <c r="AY28" s="1093" t="n">
        <v>0</v>
      </c>
      <c r="AZ28" s="1092" t="n"/>
      <c r="BA28" s="1093" t="n">
        <v>0</v>
      </c>
      <c r="BB28" s="1092" t="n"/>
      <c r="BC28" s="1093" t="n">
        <v>0</v>
      </c>
      <c r="BD28" s="1092" t="n"/>
      <c r="BE28" s="1093" t="n">
        <v>0</v>
      </c>
      <c r="BF28" s="1094" t="n">
        <v>0</v>
      </c>
      <c r="BG28" s="1095" t="n">
        <v>0</v>
      </c>
      <c r="BH28" s="1092" t="n"/>
      <c r="BI28" s="1093" t="n">
        <v>0</v>
      </c>
      <c r="BJ28" s="1092" t="n"/>
      <c r="BK28" s="1093" t="n">
        <v>0</v>
      </c>
      <c r="BL28" s="1092" t="n">
        <v>2942</v>
      </c>
      <c r="BM28" s="1093" t="n">
        <v>1882.88</v>
      </c>
      <c r="BN28" s="1092" t="n">
        <v>651</v>
      </c>
      <c r="BO28" s="1093" t="n">
        <v>416.64</v>
      </c>
      <c r="BP28" s="1092" t="n">
        <v>2143</v>
      </c>
      <c r="BQ28" s="1093" t="n">
        <v>1371.52</v>
      </c>
      <c r="BR28" s="1096" t="n">
        <v>1147.2</v>
      </c>
      <c r="BS28" s="1093" t="n">
        <v>734.208</v>
      </c>
      <c r="BT28" s="1092" t="n">
        <v>1267</v>
      </c>
      <c r="BU28" s="1093" t="n">
        <v>810.88</v>
      </c>
      <c r="BV28" s="1092" t="n">
        <v>371</v>
      </c>
      <c r="BW28" s="1093" t="n">
        <v>237.44</v>
      </c>
      <c r="BX28" s="1092" t="n">
        <v>336</v>
      </c>
      <c r="BY28" s="1093" t="n">
        <v>215.04</v>
      </c>
      <c r="BZ28" s="1092" t="n">
        <v>770</v>
      </c>
      <c r="CA28" s="1093" t="n">
        <v>492.8</v>
      </c>
      <c r="CB28" s="1092" t="n">
        <v>3164</v>
      </c>
      <c r="CC28" s="1093" t="n">
        <v>2024.96</v>
      </c>
      <c r="CD28" s="1092" t="n">
        <v>196</v>
      </c>
      <c r="CE28" s="1093" t="n">
        <v>125.44</v>
      </c>
      <c r="CF28" s="1092" t="n">
        <v>280</v>
      </c>
      <c r="CG28" s="1093" t="n">
        <v>179.2</v>
      </c>
      <c r="CH28" s="1094" t="n">
        <v>1010</v>
      </c>
      <c r="CI28" s="1095" t="n">
        <v>646.4</v>
      </c>
      <c r="CJ28" s="1097" t="n">
        <v>1010</v>
      </c>
      <c r="CK28" s="1093" t="n">
        <v>646.4</v>
      </c>
      <c r="CL28" s="1098" t="n">
        <v>210</v>
      </c>
      <c r="CM28" s="1093" t="n">
        <v>134.4</v>
      </c>
      <c r="CN28" s="1098" t="n">
        <v>168</v>
      </c>
      <c r="CO28" s="110" t="n">
        <v>107.52</v>
      </c>
      <c r="CP28" s="1098" t="n">
        <v>686</v>
      </c>
      <c r="CQ28" s="110" t="n">
        <v>439.04</v>
      </c>
      <c r="CR28" s="1098" t="n">
        <v>112</v>
      </c>
      <c r="CS28" s="110" t="n">
        <v>71.68000000000001</v>
      </c>
      <c r="CT28" s="1098" t="n">
        <v>294</v>
      </c>
      <c r="CU28" s="110" t="n">
        <v>188.16</v>
      </c>
      <c r="CV28" s="1098" t="n"/>
      <c r="CW28" s="110" t="n">
        <v>0</v>
      </c>
      <c r="CX28" s="1098" t="n"/>
      <c r="CY28" s="110" t="n">
        <v>0</v>
      </c>
      <c r="CZ28" s="1098" t="n"/>
      <c r="DA28" s="110" t="n">
        <v>0</v>
      </c>
      <c r="DB28" s="1098" t="n"/>
      <c r="DC28" s="110" t="n">
        <v>0</v>
      </c>
      <c r="DD28" s="1098" t="n"/>
      <c r="DE28" s="110" t="n">
        <v>0</v>
      </c>
      <c r="DF28" s="1098" t="n"/>
      <c r="DG28" s="110" t="n">
        <v>0</v>
      </c>
      <c r="DH28" s="1098" t="n"/>
      <c r="DI28" s="110" t="n">
        <v>0</v>
      </c>
      <c r="DJ28" s="110" t="n">
        <v>0.1146697932161606</v>
      </c>
      <c r="DK28" s="110" t="n">
        <v>0.11</v>
      </c>
      <c r="DL28" s="1099" t="n">
        <v>1470</v>
      </c>
      <c r="DM28" s="1100" t="n">
        <v>940.8000000000001</v>
      </c>
      <c r="DN28" s="1101" t="n">
        <v>294</v>
      </c>
      <c r="DO28" s="1101" t="n">
        <v>188.16</v>
      </c>
      <c r="DP28" s="114" t="n">
        <v>0.03189364640527181</v>
      </c>
      <c r="DQ28" s="115" t="n">
        <v>-0.08277614681088877</v>
      </c>
      <c r="DR28" s="1004" t="n">
        <v>-74.37238493723849</v>
      </c>
      <c r="DS28" s="1004" t="n">
        <v>-70.89108910891089</v>
      </c>
      <c r="DT28" s="117" t="n">
        <v>-458.24</v>
      </c>
      <c r="DU28" s="117" t="n">
        <v>-546.048</v>
      </c>
      <c r="DV28" s="117" t="n">
        <v>-32.73142857142857</v>
      </c>
      <c r="DW28" s="117" t="n">
        <v>-39.00342857142857</v>
      </c>
      <c r="DX28" s="117" t="n">
        <v>-195.0171428571429</v>
      </c>
    </row>
    <row r="29" ht="20.4" customFormat="1" customHeight="1" s="125" thickBot="1">
      <c r="A29" s="119" t="n"/>
      <c r="B29" s="120" t="n"/>
      <c r="C29" s="120" t="n"/>
      <c r="D29" s="121" t="n"/>
      <c r="E29" s="121" t="n"/>
      <c r="F29" s="121" t="n"/>
      <c r="G29" s="121" t="n"/>
      <c r="H29" s="1086" t="n"/>
      <c r="I29" s="1087" t="n"/>
      <c r="J29" s="1086" t="n"/>
      <c r="K29" s="1087" t="n"/>
      <c r="L29" s="1086" t="n"/>
      <c r="M29" s="1087" t="n"/>
      <c r="N29" s="1086" t="n"/>
      <c r="O29" s="1087" t="n"/>
      <c r="P29" s="1086" t="n"/>
      <c r="Q29" s="1087" t="n"/>
      <c r="R29" s="1086" t="n"/>
      <c r="S29" s="1087" t="n"/>
      <c r="T29" s="1086" t="n"/>
      <c r="U29" s="1087" t="n"/>
      <c r="V29" s="1086" t="n"/>
      <c r="W29" s="1087" t="n"/>
      <c r="X29" s="1086" t="n"/>
      <c r="Y29" s="1087" t="n"/>
      <c r="Z29" s="1086" t="n"/>
      <c r="AA29" s="1087" t="n"/>
      <c r="AB29" s="1086" t="n"/>
      <c r="AC29" s="1087" t="n"/>
      <c r="AD29" s="1086" t="n"/>
      <c r="AE29" s="1087" t="n"/>
      <c r="AF29" s="1086" t="n"/>
      <c r="AG29" s="1087" t="n"/>
      <c r="AH29" s="1086" t="n"/>
      <c r="AI29" s="1087" t="n"/>
      <c r="AJ29" s="1086" t="n"/>
      <c r="AK29" s="1087" t="n"/>
      <c r="AL29" s="1086" t="n"/>
      <c r="AM29" s="1087" t="n"/>
      <c r="AN29" s="1086" t="n"/>
      <c r="AO29" s="1087" t="n"/>
      <c r="AP29" s="1086" t="n"/>
      <c r="AQ29" s="1087" t="n"/>
      <c r="AR29" s="1086" t="n"/>
      <c r="AS29" s="1087" t="n"/>
      <c r="AT29" s="1086" t="n"/>
      <c r="AU29" s="1087" t="n"/>
      <c r="AV29" s="1086" t="n"/>
      <c r="AW29" s="1087" t="n"/>
      <c r="AX29" s="1086" t="n"/>
      <c r="AY29" s="1087" t="n"/>
      <c r="AZ29" s="1086" t="n"/>
      <c r="BA29" s="1087" t="n"/>
      <c r="BB29" s="1086" t="n"/>
      <c r="BC29" s="1087" t="n"/>
      <c r="BD29" s="1086" t="n"/>
      <c r="BE29" s="1087" t="n"/>
      <c r="BF29" s="1086" t="n"/>
      <c r="BG29" s="1087" t="n"/>
      <c r="BH29" s="1086" t="n"/>
      <c r="BI29" s="1087" t="n"/>
      <c r="BJ29" s="1086" t="n"/>
      <c r="BK29" s="1087" t="n"/>
      <c r="BL29" s="1086" t="n"/>
      <c r="BM29" s="1087" t="n"/>
      <c r="BN29" s="1086" t="n"/>
      <c r="BO29" s="1087" t="n"/>
      <c r="BP29" s="1086" t="n"/>
      <c r="BQ29" s="1087" t="n"/>
      <c r="BR29" s="1088">
        <f>BR28</f>
        <v/>
      </c>
      <c r="BS29" s="1088">
        <f>BS28</f>
        <v/>
      </c>
      <c r="BT29" s="1088">
        <f>BT28</f>
        <v/>
      </c>
      <c r="BU29" s="1088">
        <f>BU28</f>
        <v/>
      </c>
      <c r="BV29" s="1088">
        <f>BV28</f>
        <v/>
      </c>
      <c r="BW29" s="1088">
        <f>BW28</f>
        <v/>
      </c>
      <c r="BX29" s="1088">
        <f>BX28</f>
        <v/>
      </c>
      <c r="BY29" s="1088">
        <f>BY28</f>
        <v/>
      </c>
      <c r="BZ29" s="1088">
        <f>BZ28</f>
        <v/>
      </c>
      <c r="CA29" s="1088">
        <f>CA28</f>
        <v/>
      </c>
      <c r="CB29" s="1088">
        <f>CB28</f>
        <v/>
      </c>
      <c r="CC29" s="1088">
        <f>CC28</f>
        <v/>
      </c>
      <c r="CD29" s="1088">
        <f>CD28</f>
        <v/>
      </c>
      <c r="CE29" s="1088">
        <f>CE28</f>
        <v/>
      </c>
      <c r="CF29" s="1088">
        <f>CF28</f>
        <v/>
      </c>
      <c r="CG29" s="1088">
        <f>CG28</f>
        <v/>
      </c>
      <c r="CH29" s="1088">
        <f>CH28</f>
        <v/>
      </c>
      <c r="CI29" s="1088">
        <f>CI28</f>
        <v/>
      </c>
      <c r="CJ29" s="1088">
        <f>CJ28</f>
        <v/>
      </c>
      <c r="CK29" s="1088">
        <f>CK28</f>
        <v/>
      </c>
      <c r="CL29" s="1088">
        <f>CL28</f>
        <v/>
      </c>
      <c r="CM29" s="1088">
        <f>CM28</f>
        <v/>
      </c>
      <c r="CN29" s="1088">
        <f>CN28</f>
        <v/>
      </c>
      <c r="CO29" s="1088">
        <f>CO28</f>
        <v/>
      </c>
      <c r="CP29" s="1088">
        <f>CP28</f>
        <v/>
      </c>
      <c r="CQ29" s="1088">
        <f>CQ28</f>
        <v/>
      </c>
      <c r="CR29" s="1088">
        <f>CR28</f>
        <v/>
      </c>
      <c r="CS29" s="1088">
        <f>CS28</f>
        <v/>
      </c>
      <c r="CT29" s="1088">
        <f>CT28</f>
        <v/>
      </c>
      <c r="CU29" s="1088">
        <f>CU28</f>
        <v/>
      </c>
      <c r="CV29" s="1088">
        <f>CV28</f>
        <v/>
      </c>
      <c r="CW29" s="1088">
        <f>CW28</f>
        <v/>
      </c>
      <c r="CX29" s="1088">
        <f>CX28</f>
        <v/>
      </c>
      <c r="CY29" s="1088">
        <f>CY28</f>
        <v/>
      </c>
      <c r="CZ29" s="1088">
        <f>CZ28</f>
        <v/>
      </c>
      <c r="DA29" s="1088">
        <f>DA28</f>
        <v/>
      </c>
      <c r="DB29" s="1088">
        <f>DB28</f>
        <v/>
      </c>
      <c r="DC29" s="1088">
        <f>DC28</f>
        <v/>
      </c>
      <c r="DD29" s="1088">
        <f>DD28</f>
        <v/>
      </c>
      <c r="DE29" s="1088">
        <f>DE28</f>
        <v/>
      </c>
      <c r="DF29" s="1088">
        <f>DF28</f>
        <v/>
      </c>
      <c r="DG29" s="1088">
        <f>DG28</f>
        <v/>
      </c>
      <c r="DH29" s="1088">
        <f>DH28</f>
        <v/>
      </c>
      <c r="DI29" s="1088">
        <f>DI28</f>
        <v/>
      </c>
      <c r="DJ29" s="214">
        <f>DJ28</f>
        <v/>
      </c>
      <c r="DK29" s="214">
        <f>DK28</f>
        <v/>
      </c>
      <c r="DL29" s="1088">
        <f>DL28</f>
        <v/>
      </c>
      <c r="DM29" s="1088">
        <f>DM28</f>
        <v/>
      </c>
      <c r="DN29" s="1088">
        <f>DN28</f>
        <v/>
      </c>
      <c r="DO29" s="1088">
        <f>DO28</f>
        <v/>
      </c>
      <c r="DP29" s="214">
        <f>DP28</f>
        <v/>
      </c>
      <c r="DQ29" s="214">
        <f>DQ28</f>
        <v/>
      </c>
      <c r="DR29" s="1088">
        <f>DR28</f>
        <v/>
      </c>
      <c r="DS29" s="1088">
        <f>DS28</f>
        <v/>
      </c>
      <c r="DT29" s="1088">
        <f>DT28</f>
        <v/>
      </c>
      <c r="DU29" s="1088">
        <f>DU28</f>
        <v/>
      </c>
      <c r="DV29" s="1088">
        <f>DV28</f>
        <v/>
      </c>
      <c r="DW29" s="1088">
        <f>DW28</f>
        <v/>
      </c>
      <c r="DX29" s="215">
        <f>DX28</f>
        <v/>
      </c>
    </row>
    <row r="30" ht="20.4" customHeight="1" thickBot="1">
      <c r="A30" s="101" t="n">
        <v>61</v>
      </c>
      <c r="B30" s="102" t="inlineStr">
        <is>
          <t xml:space="preserve">Dagon Pineapple </t>
        </is>
      </c>
      <c r="C30" s="102" t="inlineStr">
        <is>
          <t>ပုလင်း</t>
        </is>
      </c>
      <c r="D30" s="101" t="n">
        <v>12</v>
      </c>
      <c r="E30" s="101" t="n">
        <v>0.64</v>
      </c>
      <c r="F30" s="101" t="inlineStr">
        <is>
          <t>1 * 24</t>
        </is>
      </c>
      <c r="G30" s="101" t="n">
        <v>1230</v>
      </c>
      <c r="H30" s="1092" t="n">
        <v>12312</v>
      </c>
      <c r="I30" s="1093" t="n">
        <v>7879.68</v>
      </c>
      <c r="J30" s="1092" t="n">
        <v>9552</v>
      </c>
      <c r="K30" s="1093" t="n">
        <v>6113.28</v>
      </c>
      <c r="L30" s="1092" t="n">
        <v>17280</v>
      </c>
      <c r="M30" s="1093" t="n">
        <v>11059.2</v>
      </c>
      <c r="N30" s="1092" t="n">
        <v>8328</v>
      </c>
      <c r="O30" s="1093" t="n">
        <v>5329.92</v>
      </c>
      <c r="P30" s="1092" t="n">
        <v>8640</v>
      </c>
      <c r="Q30" s="1093" t="n">
        <v>5529.6</v>
      </c>
      <c r="R30" s="1092" t="n">
        <v>15312</v>
      </c>
      <c r="S30" s="1093" t="n">
        <v>9799.68</v>
      </c>
      <c r="T30" s="1092" t="n">
        <v>10944</v>
      </c>
      <c r="U30" s="1093" t="n">
        <v>7004.16</v>
      </c>
      <c r="V30" s="1092" t="n">
        <v>12888</v>
      </c>
      <c r="W30" s="1093" t="n">
        <v>8248.32</v>
      </c>
      <c r="X30" s="1092" t="n">
        <v>11496</v>
      </c>
      <c r="Y30" s="1093" t="n">
        <v>7357.440000000001</v>
      </c>
      <c r="Z30" s="1092" t="n">
        <v>8736</v>
      </c>
      <c r="AA30" s="1093" t="n">
        <v>5591.04</v>
      </c>
      <c r="AB30" s="1092" t="n">
        <v>5760</v>
      </c>
      <c r="AC30" s="1093" t="n">
        <v>3686.4</v>
      </c>
      <c r="AD30" s="1092" t="n">
        <v>13536</v>
      </c>
      <c r="AE30" s="1093" t="n">
        <v>8663.040000000001</v>
      </c>
      <c r="AF30" s="1094" t="n">
        <v>11232</v>
      </c>
      <c r="AG30" s="1095" t="n">
        <v>7188.48</v>
      </c>
      <c r="AH30" s="1092" t="n">
        <v>15072</v>
      </c>
      <c r="AI30" s="1093" t="n">
        <v>9646.08</v>
      </c>
      <c r="AJ30" s="1092" t="n">
        <v>5352</v>
      </c>
      <c r="AK30" s="1093" t="n">
        <v>3425.28</v>
      </c>
      <c r="AL30" s="1092" t="n">
        <v>11496</v>
      </c>
      <c r="AM30" s="1093" t="n">
        <v>7357.440000000001</v>
      </c>
      <c r="AN30" s="1092" t="n">
        <v>10296</v>
      </c>
      <c r="AO30" s="1093" t="n">
        <v>6589.440000000001</v>
      </c>
      <c r="AP30" s="1092" t="n">
        <v>9336</v>
      </c>
      <c r="AQ30" s="1093" t="n">
        <v>5975.04</v>
      </c>
      <c r="AR30" s="1092" t="n">
        <v>11016</v>
      </c>
      <c r="AS30" s="1093" t="n">
        <v>7050.24</v>
      </c>
      <c r="AT30" s="1092" t="n">
        <v>13056</v>
      </c>
      <c r="AU30" s="1093" t="n">
        <v>8355.84</v>
      </c>
      <c r="AV30" s="1092" t="n">
        <v>14400</v>
      </c>
      <c r="AW30" s="1093" t="n">
        <v>9216</v>
      </c>
      <c r="AX30" s="1092" t="n">
        <v>12576</v>
      </c>
      <c r="AY30" s="1093" t="n">
        <v>8048.64</v>
      </c>
      <c r="AZ30" s="1092" t="n">
        <v>10680</v>
      </c>
      <c r="BA30" s="1093" t="n">
        <v>6835.2</v>
      </c>
      <c r="BB30" s="1092" t="n">
        <v>6942</v>
      </c>
      <c r="BC30" s="1093" t="n">
        <v>4442.88</v>
      </c>
      <c r="BD30" s="1092" t="n">
        <v>17568</v>
      </c>
      <c r="BE30" s="1093" t="n">
        <v>11243.52</v>
      </c>
      <c r="BF30" s="1094" t="n">
        <v>11482.5</v>
      </c>
      <c r="BG30" s="1095" t="n">
        <v>7348.8</v>
      </c>
      <c r="BH30" s="1092" t="n">
        <v>5832</v>
      </c>
      <c r="BI30" s="1093" t="n">
        <v>3732.48</v>
      </c>
      <c r="BJ30" s="1092" t="n">
        <v>7320</v>
      </c>
      <c r="BK30" s="1093" t="n">
        <v>4684.8</v>
      </c>
      <c r="BL30" s="1092" t="n">
        <v>12024</v>
      </c>
      <c r="BM30" s="1093" t="n">
        <v>7695.360000000001</v>
      </c>
      <c r="BN30" s="1092" t="n">
        <v>6528</v>
      </c>
      <c r="BO30" s="1093" t="n">
        <v>4177.92</v>
      </c>
      <c r="BP30" s="1092" t="n">
        <v>7944</v>
      </c>
      <c r="BQ30" s="1093" t="n">
        <v>5084.16</v>
      </c>
      <c r="BR30" s="1096" t="n">
        <v>7929.6</v>
      </c>
      <c r="BS30" s="1093" t="n">
        <v>5074.944</v>
      </c>
      <c r="BT30" s="1092" t="n">
        <v>9492</v>
      </c>
      <c r="BU30" s="1093" t="n">
        <v>6074.88</v>
      </c>
      <c r="BV30" s="1092" t="n">
        <v>11832</v>
      </c>
      <c r="BW30" s="1093" t="n">
        <v>7572.48</v>
      </c>
      <c r="BX30" s="1092" t="n">
        <v>12852</v>
      </c>
      <c r="BY30" s="1093" t="n">
        <v>8225.280000000001</v>
      </c>
      <c r="BZ30" s="1092" t="n">
        <v>10104</v>
      </c>
      <c r="CA30" s="1093" t="n">
        <v>6466.56</v>
      </c>
      <c r="CB30" s="1092" t="n">
        <v>12240</v>
      </c>
      <c r="CC30" s="1093" t="n">
        <v>7833.6</v>
      </c>
      <c r="CD30" s="1092" t="n">
        <v>8880</v>
      </c>
      <c r="CE30" s="1093" t="n">
        <v>5683.2</v>
      </c>
      <c r="CF30" s="1092" t="n">
        <v>12951</v>
      </c>
      <c r="CG30" s="1093" t="n">
        <v>8288.639999999999</v>
      </c>
      <c r="CH30" s="1094" t="n">
        <v>9833.25</v>
      </c>
      <c r="CI30" s="1095" t="n">
        <v>6293.28</v>
      </c>
      <c r="CJ30" s="1097" t="n">
        <v>9833</v>
      </c>
      <c r="CK30" s="1093" t="n">
        <v>6293.12</v>
      </c>
      <c r="CL30" s="1098" t="n">
        <v>10968</v>
      </c>
      <c r="CM30" s="1093" t="n">
        <v>7019.52</v>
      </c>
      <c r="CN30" s="1098" t="n">
        <v>10200</v>
      </c>
      <c r="CO30" s="110" t="n">
        <v>6528</v>
      </c>
      <c r="CP30" s="1098" t="n">
        <v>14808</v>
      </c>
      <c r="CQ30" s="110" t="n">
        <v>9477.120000000001</v>
      </c>
      <c r="CR30" s="1098" t="n">
        <v>8928</v>
      </c>
      <c r="CS30" s="110" t="n">
        <v>5713.92</v>
      </c>
      <c r="CT30" s="1098" t="n">
        <v>13152</v>
      </c>
      <c r="CU30" s="110" t="n">
        <v>8417.280000000001</v>
      </c>
      <c r="CV30" s="1098" t="n"/>
      <c r="CW30" s="110" t="n">
        <v>0</v>
      </c>
      <c r="CX30" s="1098" t="n"/>
      <c r="CY30" s="110" t="n">
        <v>0</v>
      </c>
      <c r="CZ30" s="1098" t="n"/>
      <c r="DA30" s="110" t="n">
        <v>0</v>
      </c>
      <c r="DB30" s="1098" t="n"/>
      <c r="DC30" s="110" t="n">
        <v>0</v>
      </c>
      <c r="DD30" s="1098" t="n"/>
      <c r="DE30" s="110" t="n">
        <v>0</v>
      </c>
      <c r="DF30" s="1098" t="n"/>
      <c r="DG30" s="110" t="n">
        <v>0</v>
      </c>
      <c r="DH30" s="1098" t="n"/>
      <c r="DI30" s="110" t="n">
        <v>0</v>
      </c>
      <c r="DJ30" s="110" t="n">
        <v>1.116412617963179</v>
      </c>
      <c r="DK30" s="110" t="n">
        <v>1.12</v>
      </c>
      <c r="DL30" s="1099" t="n">
        <v>58056</v>
      </c>
      <c r="DM30" s="1100" t="n">
        <v>37155.84</v>
      </c>
      <c r="DN30" s="1101" t="n">
        <v>11611.2</v>
      </c>
      <c r="DO30" s="1101" t="n">
        <v>7431.168</v>
      </c>
      <c r="DP30" s="114" t="n">
        <v>1.259603765785347</v>
      </c>
      <c r="DQ30" s="115" t="n">
        <v>0.1431911478221675</v>
      </c>
      <c r="DR30" s="1004" t="n">
        <v>46.42857142857142</v>
      </c>
      <c r="DS30" s="1004" t="n">
        <v>18.08100068644649</v>
      </c>
      <c r="DT30" s="117" t="n">
        <v>1137.888</v>
      </c>
      <c r="DU30" s="117" t="n">
        <v>2356.223999999999</v>
      </c>
      <c r="DV30" s="117" t="n">
        <v>81.27771428571428</v>
      </c>
      <c r="DW30" s="117" t="n">
        <v>168.3017142857142</v>
      </c>
      <c r="DX30" s="117" t="n">
        <v>841.5085714285713</v>
      </c>
    </row>
    <row r="31" ht="20.4" customFormat="1" customHeight="1" s="125" thickBot="1">
      <c r="A31" s="119" t="n"/>
      <c r="B31" s="120" t="n"/>
      <c r="C31" s="120" t="n"/>
      <c r="D31" s="121" t="n"/>
      <c r="E31" s="121" t="n"/>
      <c r="F31" s="121" t="n"/>
      <c r="G31" s="121" t="n"/>
      <c r="H31" s="1086" t="n"/>
      <c r="I31" s="1087" t="n"/>
      <c r="J31" s="1086" t="n"/>
      <c r="K31" s="1087" t="n"/>
      <c r="L31" s="1086" t="n"/>
      <c r="M31" s="1087" t="n"/>
      <c r="N31" s="1086" t="n"/>
      <c r="O31" s="1087" t="n"/>
      <c r="P31" s="1086" t="n"/>
      <c r="Q31" s="1087" t="n"/>
      <c r="R31" s="1086" t="n"/>
      <c r="S31" s="1087" t="n"/>
      <c r="T31" s="1086" t="n"/>
      <c r="U31" s="1087" t="n"/>
      <c r="V31" s="1086" t="n"/>
      <c r="W31" s="1087" t="n"/>
      <c r="X31" s="1086" t="n"/>
      <c r="Y31" s="1087" t="n"/>
      <c r="Z31" s="1086" t="n"/>
      <c r="AA31" s="1087" t="n"/>
      <c r="AB31" s="1086" t="n"/>
      <c r="AC31" s="1087" t="n"/>
      <c r="AD31" s="1086" t="n"/>
      <c r="AE31" s="1087" t="n"/>
      <c r="AF31" s="1086" t="n"/>
      <c r="AG31" s="1087" t="n"/>
      <c r="AH31" s="1086" t="n"/>
      <c r="AI31" s="1087" t="n"/>
      <c r="AJ31" s="1086" t="n"/>
      <c r="AK31" s="1087" t="n"/>
      <c r="AL31" s="1086" t="n"/>
      <c r="AM31" s="1087" t="n"/>
      <c r="AN31" s="1086" t="n"/>
      <c r="AO31" s="1087" t="n"/>
      <c r="AP31" s="1086" t="n"/>
      <c r="AQ31" s="1087" t="n"/>
      <c r="AR31" s="1086" t="n"/>
      <c r="AS31" s="1087" t="n"/>
      <c r="AT31" s="1086" t="n"/>
      <c r="AU31" s="1087" t="n"/>
      <c r="AV31" s="1086" t="n"/>
      <c r="AW31" s="1087" t="n"/>
      <c r="AX31" s="1086" t="n"/>
      <c r="AY31" s="1087" t="n"/>
      <c r="AZ31" s="1086" t="n"/>
      <c r="BA31" s="1087" t="n"/>
      <c r="BB31" s="1086" t="n"/>
      <c r="BC31" s="1087" t="n"/>
      <c r="BD31" s="1086" t="n"/>
      <c r="BE31" s="1087" t="n"/>
      <c r="BF31" s="1086" t="n"/>
      <c r="BG31" s="1087" t="n"/>
      <c r="BH31" s="1086" t="n"/>
      <c r="BI31" s="1087" t="n"/>
      <c r="BJ31" s="1086" t="n"/>
      <c r="BK31" s="1087" t="n"/>
      <c r="BL31" s="1086" t="n"/>
      <c r="BM31" s="1087" t="n"/>
      <c r="BN31" s="1086" t="n"/>
      <c r="BO31" s="1087" t="n"/>
      <c r="BP31" s="1086" t="n"/>
      <c r="BQ31" s="1087" t="n"/>
      <c r="BR31" s="1088">
        <f>BR30</f>
        <v/>
      </c>
      <c r="BS31" s="1088">
        <f>BS30</f>
        <v/>
      </c>
      <c r="BT31" s="1088">
        <f>BT30</f>
        <v/>
      </c>
      <c r="BU31" s="1088">
        <f>BU30</f>
        <v/>
      </c>
      <c r="BV31" s="1088">
        <f>BV30</f>
        <v/>
      </c>
      <c r="BW31" s="1088">
        <f>BW30</f>
        <v/>
      </c>
      <c r="BX31" s="1088">
        <f>BX30</f>
        <v/>
      </c>
      <c r="BY31" s="1088">
        <f>BY30</f>
        <v/>
      </c>
      <c r="BZ31" s="1088">
        <f>BZ30</f>
        <v/>
      </c>
      <c r="CA31" s="1088">
        <f>CA30</f>
        <v/>
      </c>
      <c r="CB31" s="1088">
        <f>CB30</f>
        <v/>
      </c>
      <c r="CC31" s="1088">
        <f>CC30</f>
        <v/>
      </c>
      <c r="CD31" s="1088">
        <f>CD30</f>
        <v/>
      </c>
      <c r="CE31" s="1088">
        <f>CE30</f>
        <v/>
      </c>
      <c r="CF31" s="1088">
        <f>CF30</f>
        <v/>
      </c>
      <c r="CG31" s="1088">
        <f>CG30</f>
        <v/>
      </c>
      <c r="CH31" s="1088">
        <f>CH30</f>
        <v/>
      </c>
      <c r="CI31" s="1088">
        <f>CI30</f>
        <v/>
      </c>
      <c r="CJ31" s="1088">
        <f>CJ30</f>
        <v/>
      </c>
      <c r="CK31" s="1088">
        <f>CK30</f>
        <v/>
      </c>
      <c r="CL31" s="1088">
        <f>CL30</f>
        <v/>
      </c>
      <c r="CM31" s="1088">
        <f>CM30</f>
        <v/>
      </c>
      <c r="CN31" s="1088">
        <f>CN30</f>
        <v/>
      </c>
      <c r="CO31" s="1088">
        <f>CO30</f>
        <v/>
      </c>
      <c r="CP31" s="1088">
        <f>CP30</f>
        <v/>
      </c>
      <c r="CQ31" s="1088">
        <f>CQ30</f>
        <v/>
      </c>
      <c r="CR31" s="1088">
        <f>CR30</f>
        <v/>
      </c>
      <c r="CS31" s="1088">
        <f>CS30</f>
        <v/>
      </c>
      <c r="CT31" s="1088">
        <f>CT30</f>
        <v/>
      </c>
      <c r="CU31" s="1088">
        <f>CU30</f>
        <v/>
      </c>
      <c r="CV31" s="1088">
        <f>CV30</f>
        <v/>
      </c>
      <c r="CW31" s="1088">
        <f>CW30</f>
        <v/>
      </c>
      <c r="CX31" s="1088">
        <f>CX30</f>
        <v/>
      </c>
      <c r="CY31" s="1088">
        <f>CY30</f>
        <v/>
      </c>
      <c r="CZ31" s="1088">
        <f>CZ30</f>
        <v/>
      </c>
      <c r="DA31" s="1088">
        <f>DA30</f>
        <v/>
      </c>
      <c r="DB31" s="1088">
        <f>DB30</f>
        <v/>
      </c>
      <c r="DC31" s="1088">
        <f>DC30</f>
        <v/>
      </c>
      <c r="DD31" s="1088">
        <f>DD30</f>
        <v/>
      </c>
      <c r="DE31" s="1088">
        <f>DE30</f>
        <v/>
      </c>
      <c r="DF31" s="1088">
        <f>DF30</f>
        <v/>
      </c>
      <c r="DG31" s="1088">
        <f>DG30</f>
        <v/>
      </c>
      <c r="DH31" s="1088">
        <f>DH30</f>
        <v/>
      </c>
      <c r="DI31" s="1088">
        <f>DI30</f>
        <v/>
      </c>
      <c r="DJ31" s="214">
        <f>DJ30</f>
        <v/>
      </c>
      <c r="DK31" s="214">
        <f>DK30</f>
        <v/>
      </c>
      <c r="DL31" s="1088">
        <f>DL30</f>
        <v/>
      </c>
      <c r="DM31" s="1088">
        <f>DM30</f>
        <v/>
      </c>
      <c r="DN31" s="1088">
        <f>DN30</f>
        <v/>
      </c>
      <c r="DO31" s="1088">
        <f>DO30</f>
        <v/>
      </c>
      <c r="DP31" s="214">
        <f>DP30</f>
        <v/>
      </c>
      <c r="DQ31" s="214">
        <f>DQ30</f>
        <v/>
      </c>
      <c r="DR31" s="1088">
        <f>DR30</f>
        <v/>
      </c>
      <c r="DS31" s="1088">
        <f>DS30</f>
        <v/>
      </c>
      <c r="DT31" s="1088">
        <f>DT30</f>
        <v/>
      </c>
      <c r="DU31" s="1088">
        <f>DU30</f>
        <v/>
      </c>
      <c r="DV31" s="1088">
        <f>DV30</f>
        <v/>
      </c>
      <c r="DW31" s="1088">
        <f>DW30</f>
        <v/>
      </c>
      <c r="DX31" s="215">
        <f>DX30</f>
        <v/>
      </c>
    </row>
    <row r="32">
      <c r="A32" s="92" t="n">
        <v>72</v>
      </c>
      <c r="B32" s="93" t="inlineStr">
        <is>
          <t>ချယ်ရီကော်ဘူး(0.6 Liter)</t>
        </is>
      </c>
      <c r="C32" s="93" t="inlineStr">
        <is>
          <t>‌ကော်ဘူး</t>
        </is>
      </c>
      <c r="D32" s="92" t="n">
        <v>8</v>
      </c>
      <c r="E32" s="92" t="n">
        <v>0.6</v>
      </c>
      <c r="F32" s="92" t="inlineStr">
        <is>
          <t>1 * 24</t>
        </is>
      </c>
      <c r="G32" s="92" t="n">
        <v>900</v>
      </c>
      <c r="H32" s="996" t="n"/>
      <c r="I32" s="997" t="n">
        <v>0</v>
      </c>
      <c r="J32" s="996" t="n"/>
      <c r="K32" s="997" t="n">
        <v>0</v>
      </c>
      <c r="L32" s="996" t="n"/>
      <c r="M32" s="997" t="n">
        <v>0</v>
      </c>
      <c r="N32" s="996" t="n"/>
      <c r="O32" s="997" t="n">
        <v>0</v>
      </c>
      <c r="P32" s="996" t="n"/>
      <c r="Q32" s="997" t="n">
        <v>0</v>
      </c>
      <c r="R32" s="996" t="n"/>
      <c r="S32" s="997" t="n">
        <v>0</v>
      </c>
      <c r="T32" s="996" t="n"/>
      <c r="U32" s="997" t="n">
        <v>0</v>
      </c>
      <c r="V32" s="996" t="n"/>
      <c r="W32" s="997" t="n">
        <v>0</v>
      </c>
      <c r="X32" s="996" t="n"/>
      <c r="Y32" s="997" t="n">
        <v>0</v>
      </c>
      <c r="Z32" s="996" t="n"/>
      <c r="AA32" s="997" t="n">
        <v>0</v>
      </c>
      <c r="AB32" s="996" t="n"/>
      <c r="AC32" s="997" t="n">
        <v>0</v>
      </c>
      <c r="AD32" s="996" t="n"/>
      <c r="AE32" s="997" t="n">
        <v>0</v>
      </c>
      <c r="AF32" s="998" t="n">
        <v>0</v>
      </c>
      <c r="AG32" s="999" t="n">
        <v>0</v>
      </c>
      <c r="AH32" s="996" t="n"/>
      <c r="AI32" s="997" t="n">
        <v>0</v>
      </c>
      <c r="AJ32" s="996" t="n"/>
      <c r="AK32" s="997" t="n">
        <v>0</v>
      </c>
      <c r="AL32" s="996" t="n"/>
      <c r="AM32" s="997" t="n">
        <v>0</v>
      </c>
      <c r="AN32" s="996" t="n"/>
      <c r="AO32" s="997" t="n">
        <v>0</v>
      </c>
      <c r="AP32" s="996" t="n"/>
      <c r="AQ32" s="997" t="n">
        <v>0</v>
      </c>
      <c r="AR32" s="996" t="n"/>
      <c r="AS32" s="997" t="n">
        <v>0</v>
      </c>
      <c r="AT32" s="996" t="n"/>
      <c r="AU32" s="997" t="n">
        <v>0</v>
      </c>
      <c r="AV32" s="996" t="n"/>
      <c r="AW32" s="997" t="n">
        <v>0</v>
      </c>
      <c r="AX32" s="996" t="n"/>
      <c r="AY32" s="997" t="n">
        <v>0</v>
      </c>
      <c r="AZ32" s="996" t="n"/>
      <c r="BA32" s="997" t="n">
        <v>0</v>
      </c>
      <c r="BB32" s="996" t="n"/>
      <c r="BC32" s="997" t="n">
        <v>0</v>
      </c>
      <c r="BD32" s="996" t="n"/>
      <c r="BE32" s="997" t="n">
        <v>0</v>
      </c>
      <c r="BF32" s="998" t="n">
        <v>0</v>
      </c>
      <c r="BG32" s="999" t="n">
        <v>0</v>
      </c>
      <c r="BH32" s="996" t="n"/>
      <c r="BI32" s="997" t="n">
        <v>0</v>
      </c>
      <c r="BJ32" s="996" t="n"/>
      <c r="BK32" s="997" t="n">
        <v>0</v>
      </c>
      <c r="BL32" s="996" t="n"/>
      <c r="BM32" s="997" t="n">
        <v>0</v>
      </c>
      <c r="BN32" s="996" t="n"/>
      <c r="BO32" s="997" t="n">
        <v>0</v>
      </c>
      <c r="BP32" s="996" t="n">
        <v>12608</v>
      </c>
      <c r="BQ32" s="997" t="n">
        <v>7564.799999999999</v>
      </c>
      <c r="BR32" s="1000" t="n">
        <v>2521.6</v>
      </c>
      <c r="BS32" s="997" t="n">
        <v>1512.96</v>
      </c>
      <c r="BT32" s="996" t="n">
        <v>6380</v>
      </c>
      <c r="BU32" s="997" t="n">
        <v>3828</v>
      </c>
      <c r="BV32" s="996" t="n">
        <v>18960</v>
      </c>
      <c r="BW32" s="997" t="n">
        <v>11376</v>
      </c>
      <c r="BX32" s="996" t="n">
        <v>12922</v>
      </c>
      <c r="BY32" s="997" t="n">
        <v>7753.2</v>
      </c>
      <c r="BZ32" s="996" t="n">
        <v>27118</v>
      </c>
      <c r="CA32" s="997" t="n">
        <v>16270.8</v>
      </c>
      <c r="CB32" s="996" t="n">
        <v>29069</v>
      </c>
      <c r="CC32" s="997" t="n">
        <v>17441.4</v>
      </c>
      <c r="CD32" s="996" t="n">
        <v>28498</v>
      </c>
      <c r="CE32" s="997" t="n">
        <v>17098.8</v>
      </c>
      <c r="CF32" s="996" t="n">
        <v>30810</v>
      </c>
      <c r="CG32" s="997" t="n">
        <v>18486</v>
      </c>
      <c r="CH32" s="998" t="n">
        <v>13863.75</v>
      </c>
      <c r="CI32" s="999" t="n">
        <v>8318.25</v>
      </c>
      <c r="CJ32" s="1089" t="n">
        <v>20795</v>
      </c>
      <c r="CK32" s="997" t="n">
        <v>12477</v>
      </c>
      <c r="CL32" s="1102" t="n">
        <v>42798</v>
      </c>
      <c r="CM32" s="997" t="n">
        <v>25678.8</v>
      </c>
      <c r="CN32" s="1002" t="n">
        <v>32991</v>
      </c>
      <c r="CO32" s="95" t="n">
        <v>19794.6</v>
      </c>
      <c r="CP32" s="1002" t="n">
        <v>26400</v>
      </c>
      <c r="CQ32" s="95" t="n">
        <v>15840</v>
      </c>
      <c r="CR32" s="1002" t="n">
        <v>39264</v>
      </c>
      <c r="CS32" s="95" t="n">
        <v>23558.4</v>
      </c>
      <c r="CT32" s="1002" t="n">
        <v>37848</v>
      </c>
      <c r="CU32" s="95" t="n">
        <v>22708.8</v>
      </c>
      <c r="CV32" s="1002" t="n"/>
      <c r="CW32" s="95" t="n">
        <v>0</v>
      </c>
      <c r="CX32" s="1002" t="n"/>
      <c r="CY32" s="95" t="n">
        <v>0</v>
      </c>
      <c r="CZ32" s="1002" t="n"/>
      <c r="DA32" s="95" t="n">
        <v>0</v>
      </c>
      <c r="DB32" s="1002" t="n"/>
      <c r="DC32" s="95" t="n">
        <v>0</v>
      </c>
      <c r="DD32" s="1002" t="n"/>
      <c r="DE32" s="95" t="n">
        <v>0</v>
      </c>
      <c r="DF32" s="1002" t="n"/>
      <c r="DG32" s="95" t="n">
        <v>0</v>
      </c>
      <c r="DH32" s="1002" t="n"/>
      <c r="DI32" s="95" t="n">
        <v>0</v>
      </c>
      <c r="DJ32" s="95" t="n">
        <v>1.475637387717091</v>
      </c>
      <c r="DK32" s="95" t="n"/>
      <c r="DL32" s="1003" t="n">
        <v>179301</v>
      </c>
      <c r="DM32" s="1001" t="n">
        <v>107580.6</v>
      </c>
      <c r="DN32" s="1090" t="n">
        <v>35860.2</v>
      </c>
      <c r="DO32" s="1090" t="n">
        <v>21516.12</v>
      </c>
      <c r="DP32" s="97" t="n">
        <v>3.647042534509974</v>
      </c>
      <c r="DQ32" s="98" t="n">
        <v>2.171405146792883</v>
      </c>
      <c r="DR32" s="1091" t="n">
        <v>1322.120875634518</v>
      </c>
      <c r="DS32" s="1091" t="n">
        <v>158.6616175277252</v>
      </c>
      <c r="DT32" s="100" t="n">
        <v>13197.87</v>
      </c>
      <c r="DU32" s="100" t="n">
        <v>20003.16</v>
      </c>
      <c r="DV32" s="100" t="n">
        <v>942.7049999999999</v>
      </c>
      <c r="DW32" s="100" t="n">
        <v>1428.797142857143</v>
      </c>
      <c r="DX32" s="100" t="n">
        <v>7143.985714285714</v>
      </c>
    </row>
    <row r="33">
      <c r="A33" s="7" t="n">
        <v>73</v>
      </c>
      <c r="B33" s="8" t="inlineStr">
        <is>
          <t>ချယ်ရီအရက်သန့်</t>
        </is>
      </c>
      <c r="C33" s="8" t="inlineStr">
        <is>
          <t>ပုလင်း</t>
        </is>
      </c>
      <c r="D33" s="7" t="n">
        <v>25</v>
      </c>
      <c r="E33" s="7" t="n">
        <v>0.64</v>
      </c>
      <c r="F33" s="7" t="inlineStr">
        <is>
          <t>1 * 14</t>
        </is>
      </c>
      <c r="G33" s="7" t="n">
        <v>1230</v>
      </c>
      <c r="H33" s="975" t="n"/>
      <c r="I33" s="976" t="n">
        <v>0</v>
      </c>
      <c r="J33" s="975" t="n"/>
      <c r="K33" s="976" t="n">
        <v>0</v>
      </c>
      <c r="L33" s="975" t="n"/>
      <c r="M33" s="976" t="n">
        <v>0</v>
      </c>
      <c r="N33" s="975" t="n"/>
      <c r="O33" s="976" t="n">
        <v>0</v>
      </c>
      <c r="P33" s="975" t="n"/>
      <c r="Q33" s="976" t="n">
        <v>0</v>
      </c>
      <c r="R33" s="975" t="n"/>
      <c r="S33" s="976" t="n">
        <v>0</v>
      </c>
      <c r="T33" s="975" t="n"/>
      <c r="U33" s="976" t="n">
        <v>0</v>
      </c>
      <c r="V33" s="975" t="n"/>
      <c r="W33" s="976" t="n">
        <v>0</v>
      </c>
      <c r="X33" s="975" t="n"/>
      <c r="Y33" s="976" t="n">
        <v>0</v>
      </c>
      <c r="Z33" s="975" t="n"/>
      <c r="AA33" s="976" t="n">
        <v>0</v>
      </c>
      <c r="AB33" s="975" t="n"/>
      <c r="AC33" s="976" t="n">
        <v>0</v>
      </c>
      <c r="AD33" s="975" t="n"/>
      <c r="AE33" s="976" t="n">
        <v>0</v>
      </c>
      <c r="AF33" s="977" t="n">
        <v>0</v>
      </c>
      <c r="AG33" s="978" t="n">
        <v>0</v>
      </c>
      <c r="AH33" s="975" t="n"/>
      <c r="AI33" s="976" t="n">
        <v>0</v>
      </c>
      <c r="AJ33" s="975" t="n"/>
      <c r="AK33" s="976" t="n">
        <v>0</v>
      </c>
      <c r="AL33" s="975" t="n"/>
      <c r="AM33" s="976" t="n">
        <v>0</v>
      </c>
      <c r="AN33" s="975" t="n"/>
      <c r="AO33" s="976" t="n">
        <v>0</v>
      </c>
      <c r="AP33" s="975" t="n"/>
      <c r="AQ33" s="976" t="n">
        <v>0</v>
      </c>
      <c r="AR33" s="975" t="n"/>
      <c r="AS33" s="976" t="n">
        <v>0</v>
      </c>
      <c r="AT33" s="975" t="n"/>
      <c r="AU33" s="976" t="n">
        <v>0</v>
      </c>
      <c r="AV33" s="975" t="n"/>
      <c r="AW33" s="976" t="n">
        <v>0</v>
      </c>
      <c r="AX33" s="975" t="n"/>
      <c r="AY33" s="976" t="n">
        <v>0</v>
      </c>
      <c r="AZ33" s="975" t="n"/>
      <c r="BA33" s="976" t="n">
        <v>0</v>
      </c>
      <c r="BB33" s="975" t="n"/>
      <c r="BC33" s="976" t="n">
        <v>0</v>
      </c>
      <c r="BD33" s="975" t="n"/>
      <c r="BE33" s="976" t="n">
        <v>0</v>
      </c>
      <c r="BF33" s="977" t="n">
        <v>0</v>
      </c>
      <c r="BG33" s="978" t="n">
        <v>0</v>
      </c>
      <c r="BH33" s="975" t="n"/>
      <c r="BI33" s="976" t="n">
        <v>0</v>
      </c>
      <c r="BJ33" s="975" t="n"/>
      <c r="BK33" s="976" t="n">
        <v>0</v>
      </c>
      <c r="BL33" s="975" t="n">
        <v>5419</v>
      </c>
      <c r="BM33" s="976" t="n">
        <v>3468.16</v>
      </c>
      <c r="BN33" s="975" t="n">
        <v>840</v>
      </c>
      <c r="BO33" s="976" t="n">
        <v>537.6</v>
      </c>
      <c r="BP33" s="975" t="n">
        <v>2533</v>
      </c>
      <c r="BQ33" s="976" t="n">
        <v>1621.12</v>
      </c>
      <c r="BR33" s="979" t="n">
        <v>1758.4</v>
      </c>
      <c r="BS33" s="976" t="n">
        <v>1125.376</v>
      </c>
      <c r="BT33" s="975" t="n">
        <v>2394</v>
      </c>
      <c r="BU33" s="976" t="n">
        <v>1532.16</v>
      </c>
      <c r="BV33" s="975" t="n">
        <v>623</v>
      </c>
      <c r="BW33" s="976" t="n">
        <v>398.72</v>
      </c>
      <c r="BX33" s="975" t="n">
        <v>504</v>
      </c>
      <c r="BY33" s="976" t="n">
        <v>322.56</v>
      </c>
      <c r="BZ33" s="975" t="n">
        <v>322</v>
      </c>
      <c r="CA33" s="976" t="n">
        <v>206.08</v>
      </c>
      <c r="CB33" s="975" t="n">
        <v>373</v>
      </c>
      <c r="CC33" s="976" t="n">
        <v>238.72</v>
      </c>
      <c r="CD33" s="975" t="n">
        <v>1512</v>
      </c>
      <c r="CE33" s="976" t="n">
        <v>967.6800000000001</v>
      </c>
      <c r="CF33" s="975" t="n">
        <v>168</v>
      </c>
      <c r="CG33" s="976" t="n">
        <v>107.52</v>
      </c>
      <c r="CH33" s="977" t="n">
        <v>1224</v>
      </c>
      <c r="CI33" s="978" t="n">
        <v>783.36</v>
      </c>
      <c r="CJ33" s="980" t="n">
        <v>1224</v>
      </c>
      <c r="CK33" s="976" t="n">
        <v>783.36</v>
      </c>
      <c r="CL33" s="987" t="n">
        <v>98</v>
      </c>
      <c r="CM33" s="976" t="n">
        <v>62.72</v>
      </c>
      <c r="CN33" s="982" t="n">
        <v>2380</v>
      </c>
      <c r="CO33" s="15" t="n">
        <v>1523.2</v>
      </c>
      <c r="CP33" s="982" t="n"/>
      <c r="CQ33" s="15" t="n">
        <v>0</v>
      </c>
      <c r="CR33" s="982" t="n"/>
      <c r="CS33" s="15" t="n">
        <v>0</v>
      </c>
      <c r="CT33" s="982" t="n"/>
      <c r="CU33" s="15" t="n">
        <v>0</v>
      </c>
      <c r="CV33" s="982" t="n"/>
      <c r="CW33" s="15" t="n">
        <v>0</v>
      </c>
      <c r="CX33" s="982" t="n"/>
      <c r="CY33" s="15" t="n">
        <v>0</v>
      </c>
      <c r="CZ33" s="982" t="n"/>
      <c r="DA33" s="15" t="n">
        <v>0</v>
      </c>
      <c r="DB33" s="982" t="n"/>
      <c r="DC33" s="15" t="n">
        <v>0</v>
      </c>
      <c r="DD33" s="982" t="n"/>
      <c r="DE33" s="15" t="n">
        <v>0</v>
      </c>
      <c r="DF33" s="982" t="n"/>
      <c r="DG33" s="15" t="n">
        <v>0</v>
      </c>
      <c r="DH33" s="982" t="n"/>
      <c r="DI33" s="15" t="n">
        <v>0</v>
      </c>
      <c r="DJ33" s="15" t="n">
        <v>0.1389661652441392</v>
      </c>
      <c r="DK33" s="15" t="n"/>
      <c r="DL33" s="983" t="n">
        <v>2478</v>
      </c>
      <c r="DM33" s="984" t="n">
        <v>1585.92</v>
      </c>
      <c r="DN33" s="985" t="n">
        <v>495.6</v>
      </c>
      <c r="DO33" s="985" t="n">
        <v>317.184</v>
      </c>
      <c r="DP33" s="69" t="n">
        <v>0.05376357536888676</v>
      </c>
      <c r="DQ33" s="70" t="n">
        <v>-0.08520258987525239</v>
      </c>
      <c r="DR33" s="986" t="n">
        <v>-71.81528662420382</v>
      </c>
      <c r="DS33" s="986" t="n">
        <v>-59.50980392156863</v>
      </c>
      <c r="DT33" s="72" t="n">
        <v>-466.176</v>
      </c>
      <c r="DU33" s="72" t="n">
        <v>-808.192</v>
      </c>
      <c r="DV33" s="72" t="n">
        <v>-33.29828571428571</v>
      </c>
      <c r="DW33" s="72" t="n">
        <v>-57.728</v>
      </c>
      <c r="DX33" s="72" t="n">
        <v>-288.64</v>
      </c>
    </row>
    <row r="34">
      <c r="A34" s="7" t="n">
        <v>75</v>
      </c>
      <c r="B34" s="8" t="inlineStr">
        <is>
          <t>ချယ်ရီသံပုရာ (1 Liter )</t>
        </is>
      </c>
      <c r="C34" s="8" t="inlineStr">
        <is>
          <t>‌ကော်ဘူး</t>
        </is>
      </c>
      <c r="D34" s="7" t="n">
        <v>14</v>
      </c>
      <c r="E34" s="7" t="n">
        <v>1</v>
      </c>
      <c r="F34" s="7" t="inlineStr">
        <is>
          <t>1 * 12</t>
        </is>
      </c>
      <c r="G34" s="7" t="n">
        <v>1220</v>
      </c>
      <c r="H34" s="975" t="n"/>
      <c r="I34" s="976" t="n">
        <v>0</v>
      </c>
      <c r="J34" s="975" t="n"/>
      <c r="K34" s="976" t="n">
        <v>0</v>
      </c>
      <c r="L34" s="975" t="n"/>
      <c r="M34" s="976" t="n">
        <v>0</v>
      </c>
      <c r="N34" s="975" t="n"/>
      <c r="O34" s="976" t="n">
        <v>0</v>
      </c>
      <c r="P34" s="975" t="n"/>
      <c r="Q34" s="976" t="n">
        <v>0</v>
      </c>
      <c r="R34" s="975" t="n"/>
      <c r="S34" s="976" t="n">
        <v>0</v>
      </c>
      <c r="T34" s="975" t="n"/>
      <c r="U34" s="976" t="n">
        <v>0</v>
      </c>
      <c r="V34" s="975" t="n"/>
      <c r="W34" s="976" t="n">
        <v>0</v>
      </c>
      <c r="X34" s="975" t="n"/>
      <c r="Y34" s="976" t="n">
        <v>0</v>
      </c>
      <c r="Z34" s="975" t="n"/>
      <c r="AA34" s="976" t="n">
        <v>0</v>
      </c>
      <c r="AB34" s="975" t="n"/>
      <c r="AC34" s="976" t="n">
        <v>0</v>
      </c>
      <c r="AD34" s="975" t="n"/>
      <c r="AE34" s="976" t="n">
        <v>0</v>
      </c>
      <c r="AF34" s="977" t="n">
        <v>0</v>
      </c>
      <c r="AG34" s="978" t="n">
        <v>0</v>
      </c>
      <c r="AH34" s="975" t="n"/>
      <c r="AI34" s="976" t="n">
        <v>0</v>
      </c>
      <c r="AJ34" s="975" t="n"/>
      <c r="AK34" s="976" t="n">
        <v>0</v>
      </c>
      <c r="AL34" s="975" t="n"/>
      <c r="AM34" s="976" t="n">
        <v>0</v>
      </c>
      <c r="AN34" s="975" t="n"/>
      <c r="AO34" s="976" t="n">
        <v>0</v>
      </c>
      <c r="AP34" s="975" t="n"/>
      <c r="AQ34" s="976" t="n">
        <v>0</v>
      </c>
      <c r="AR34" s="975" t="n"/>
      <c r="AS34" s="976" t="n">
        <v>0</v>
      </c>
      <c r="AT34" s="975" t="n"/>
      <c r="AU34" s="976" t="n">
        <v>0</v>
      </c>
      <c r="AV34" s="975" t="n"/>
      <c r="AW34" s="976" t="n">
        <v>0</v>
      </c>
      <c r="AX34" s="975" t="n"/>
      <c r="AY34" s="976" t="n">
        <v>0</v>
      </c>
      <c r="AZ34" s="975" t="n"/>
      <c r="BA34" s="976" t="n">
        <v>0</v>
      </c>
      <c r="BB34" s="975" t="n"/>
      <c r="BC34" s="976" t="n">
        <v>0</v>
      </c>
      <c r="BD34" s="975" t="n"/>
      <c r="BE34" s="976" t="n">
        <v>0</v>
      </c>
      <c r="BF34" s="977" t="n">
        <v>0</v>
      </c>
      <c r="BG34" s="978" t="n">
        <v>0</v>
      </c>
      <c r="BH34" s="975" t="n"/>
      <c r="BI34" s="976" t="n">
        <v>0</v>
      </c>
      <c r="BJ34" s="975" t="n"/>
      <c r="BK34" s="976" t="n">
        <v>0</v>
      </c>
      <c r="BL34" s="975" t="n"/>
      <c r="BM34" s="976" t="n">
        <v>0</v>
      </c>
      <c r="BN34" s="975" t="n"/>
      <c r="BO34" s="976" t="n">
        <v>0</v>
      </c>
      <c r="BP34" s="975" t="n"/>
      <c r="BQ34" s="976" t="n">
        <v>0</v>
      </c>
      <c r="BR34" s="979" t="n">
        <v>0</v>
      </c>
      <c r="BS34" s="976" t="n">
        <v>0</v>
      </c>
      <c r="BT34" s="975" t="n"/>
      <c r="BU34" s="976" t="n">
        <v>0</v>
      </c>
      <c r="BV34" s="975" t="n"/>
      <c r="BW34" s="976" t="n">
        <v>0</v>
      </c>
      <c r="BX34" s="975" t="n"/>
      <c r="BY34" s="976" t="n">
        <v>0</v>
      </c>
      <c r="BZ34" s="975" t="n">
        <v>1800</v>
      </c>
      <c r="CA34" s="976" t="n">
        <v>1800</v>
      </c>
      <c r="CB34" s="975" t="n">
        <v>1225</v>
      </c>
      <c r="CC34" s="976" t="n">
        <v>1225</v>
      </c>
      <c r="CD34" s="975" t="n">
        <v>2352</v>
      </c>
      <c r="CE34" s="976" t="n">
        <v>2352</v>
      </c>
      <c r="CF34" s="975" t="n">
        <v>3829</v>
      </c>
      <c r="CG34" s="976" t="n">
        <v>3829</v>
      </c>
      <c r="CH34" s="977" t="n">
        <v>767.1666666666666</v>
      </c>
      <c r="CI34" s="978" t="n">
        <v>767.1666666666666</v>
      </c>
      <c r="CJ34" s="980" t="n">
        <v>767</v>
      </c>
      <c r="CK34" s="976" t="n">
        <v>767</v>
      </c>
      <c r="CL34" s="987" t="n">
        <v>8591</v>
      </c>
      <c r="CM34" s="976" t="n">
        <v>8591</v>
      </c>
      <c r="CN34" s="982" t="n">
        <v>7187</v>
      </c>
      <c r="CO34" s="15" t="n">
        <v>7187</v>
      </c>
      <c r="CP34" s="982" t="n">
        <v>4257</v>
      </c>
      <c r="CQ34" s="15" t="n">
        <v>4257</v>
      </c>
      <c r="CR34" s="982" t="n">
        <v>4920</v>
      </c>
      <c r="CS34" s="15" t="n">
        <v>4920</v>
      </c>
      <c r="CT34" s="982" t="n">
        <v>7955</v>
      </c>
      <c r="CU34" s="15" t="n">
        <v>7955</v>
      </c>
      <c r="CV34" s="982" t="n"/>
      <c r="CW34" s="15" t="n">
        <v>0</v>
      </c>
      <c r="CX34" s="982" t="n"/>
      <c r="CY34" s="15" t="n">
        <v>0</v>
      </c>
      <c r="CZ34" s="982" t="n"/>
      <c r="DA34" s="15" t="n">
        <v>0</v>
      </c>
      <c r="DB34" s="982" t="n"/>
      <c r="DC34" s="15" t="n">
        <v>0</v>
      </c>
      <c r="DD34" s="982" t="n"/>
      <c r="DE34" s="15" t="n">
        <v>0</v>
      </c>
      <c r="DF34" s="982" t="n"/>
      <c r="DG34" s="15" t="n">
        <v>0</v>
      </c>
      <c r="DH34" s="982" t="n"/>
      <c r="DI34" s="15" t="n">
        <v>0</v>
      </c>
      <c r="DJ34" s="15" t="n">
        <v>0.1360935071611972</v>
      </c>
      <c r="DK34" s="15" t="n"/>
      <c r="DL34" s="983" t="n">
        <v>32910</v>
      </c>
      <c r="DM34" s="984" t="n">
        <v>32910</v>
      </c>
      <c r="DN34" s="985" t="n">
        <v>6582</v>
      </c>
      <c r="DO34" s="985" t="n">
        <v>6582</v>
      </c>
      <c r="DP34" s="69" t="n">
        <v>1.115667414112984</v>
      </c>
      <c r="DQ34" s="70" t="n">
        <v>0.9795739069517865</v>
      </c>
      <c r="DR34" s="986" t="e">
        <v>#DIV/0!</v>
      </c>
      <c r="DS34" s="986" t="n">
        <v>757.9621985661526</v>
      </c>
      <c r="DT34" s="72" t="n">
        <v>5814.833333333333</v>
      </c>
      <c r="DU34" s="72" t="n">
        <v>6582</v>
      </c>
      <c r="DV34" s="72" t="n">
        <v>415.3452380952381</v>
      </c>
      <c r="DW34" s="72" t="n">
        <v>470.1428571428572</v>
      </c>
      <c r="DX34" s="72" t="n">
        <v>2350.714285714286</v>
      </c>
    </row>
    <row r="35" ht="20.4" customHeight="1" thickBot="1">
      <c r="A35" s="73" t="n">
        <v>76</v>
      </c>
      <c r="B35" s="74" t="inlineStr">
        <is>
          <t>ချယ်ရီသံပုရာ (0.6 Liter )</t>
        </is>
      </c>
      <c r="C35" s="74" t="inlineStr">
        <is>
          <t>‌ကော်ဘူး</t>
        </is>
      </c>
      <c r="D35" s="73" t="n">
        <v>20</v>
      </c>
      <c r="E35" s="73" t="n">
        <v>0.6</v>
      </c>
      <c r="F35" s="73" t="inlineStr">
        <is>
          <t>1 * 24</t>
        </is>
      </c>
      <c r="G35" s="73" t="n">
        <v>915</v>
      </c>
      <c r="H35" s="1075" t="n"/>
      <c r="I35" s="1076" t="n">
        <v>0</v>
      </c>
      <c r="J35" s="1075" t="n"/>
      <c r="K35" s="1076" t="n">
        <v>0</v>
      </c>
      <c r="L35" s="1075" t="n"/>
      <c r="M35" s="1076" t="n">
        <v>0</v>
      </c>
      <c r="N35" s="1075" t="n"/>
      <c r="O35" s="1076" t="n">
        <v>0</v>
      </c>
      <c r="P35" s="1075" t="n"/>
      <c r="Q35" s="1076" t="n">
        <v>0</v>
      </c>
      <c r="R35" s="1075" t="n"/>
      <c r="S35" s="1076" t="n">
        <v>0</v>
      </c>
      <c r="T35" s="1075" t="n"/>
      <c r="U35" s="1076" t="n">
        <v>0</v>
      </c>
      <c r="V35" s="1075" t="n"/>
      <c r="W35" s="1076" t="n">
        <v>0</v>
      </c>
      <c r="X35" s="1075" t="n"/>
      <c r="Y35" s="1076" t="n">
        <v>0</v>
      </c>
      <c r="Z35" s="1075" t="n"/>
      <c r="AA35" s="1076" t="n">
        <v>0</v>
      </c>
      <c r="AB35" s="1075" t="n"/>
      <c r="AC35" s="1076" t="n">
        <v>0</v>
      </c>
      <c r="AD35" s="1075" t="n"/>
      <c r="AE35" s="1076" t="n">
        <v>0</v>
      </c>
      <c r="AF35" s="1077" t="n">
        <v>0</v>
      </c>
      <c r="AG35" s="1078" t="n">
        <v>0</v>
      </c>
      <c r="AH35" s="1075" t="n"/>
      <c r="AI35" s="1076" t="n">
        <v>0</v>
      </c>
      <c r="AJ35" s="1075" t="n"/>
      <c r="AK35" s="1076" t="n">
        <v>0</v>
      </c>
      <c r="AL35" s="1075" t="n"/>
      <c r="AM35" s="1076" t="n">
        <v>0</v>
      </c>
      <c r="AN35" s="1075" t="n"/>
      <c r="AO35" s="1076" t="n">
        <v>0</v>
      </c>
      <c r="AP35" s="1075" t="n"/>
      <c r="AQ35" s="1076" t="n">
        <v>0</v>
      </c>
      <c r="AR35" s="1075" t="n"/>
      <c r="AS35" s="1076" t="n">
        <v>0</v>
      </c>
      <c r="AT35" s="1075" t="n"/>
      <c r="AU35" s="1076" t="n">
        <v>0</v>
      </c>
      <c r="AV35" s="1075" t="n"/>
      <c r="AW35" s="1076" t="n">
        <v>0</v>
      </c>
      <c r="AX35" s="1075" t="n"/>
      <c r="AY35" s="1076" t="n">
        <v>0</v>
      </c>
      <c r="AZ35" s="1075" t="n"/>
      <c r="BA35" s="1076" t="n">
        <v>0</v>
      </c>
      <c r="BB35" s="1075" t="n"/>
      <c r="BC35" s="1076" t="n">
        <v>0</v>
      </c>
      <c r="BD35" s="1075" t="n"/>
      <c r="BE35" s="1076" t="n">
        <v>0</v>
      </c>
      <c r="BF35" s="1077" t="n">
        <v>0</v>
      </c>
      <c r="BG35" s="1078" t="n">
        <v>0</v>
      </c>
      <c r="BH35" s="1075" t="n"/>
      <c r="BI35" s="1076" t="n">
        <v>0</v>
      </c>
      <c r="BJ35" s="1075" t="n"/>
      <c r="BK35" s="1076" t="n">
        <v>0</v>
      </c>
      <c r="BL35" s="1075" t="n"/>
      <c r="BM35" s="1076" t="n">
        <v>0</v>
      </c>
      <c r="BN35" s="1075" t="n"/>
      <c r="BO35" s="1076" t="n">
        <v>0</v>
      </c>
      <c r="BP35" s="1075" t="n"/>
      <c r="BQ35" s="1076" t="n">
        <v>0</v>
      </c>
      <c r="BR35" s="1079" t="n">
        <v>0</v>
      </c>
      <c r="BS35" s="1076" t="n">
        <v>0</v>
      </c>
      <c r="BT35" s="1075" t="n"/>
      <c r="BU35" s="1076" t="n">
        <v>0</v>
      </c>
      <c r="BV35" s="1075" t="n"/>
      <c r="BW35" s="1076" t="n">
        <v>0</v>
      </c>
      <c r="BX35" s="1075" t="n"/>
      <c r="BY35" s="1076" t="n">
        <v>0</v>
      </c>
      <c r="BZ35" s="1075" t="n">
        <v>3192</v>
      </c>
      <c r="CA35" s="1076" t="n">
        <v>1915.2</v>
      </c>
      <c r="CB35" s="1075" t="n">
        <v>3095</v>
      </c>
      <c r="CC35" s="1076" t="n">
        <v>1857</v>
      </c>
      <c r="CD35" s="1075" t="n">
        <v>2112</v>
      </c>
      <c r="CE35" s="1076" t="n">
        <v>1267.2</v>
      </c>
      <c r="CF35" s="1075" t="n">
        <v>3870</v>
      </c>
      <c r="CG35" s="1076" t="n">
        <v>2322</v>
      </c>
      <c r="CH35" s="1077" t="n">
        <v>1022.416666666667</v>
      </c>
      <c r="CI35" s="1078" t="n">
        <v>613.4499999999999</v>
      </c>
      <c r="CJ35" s="1080" t="n">
        <v>1022</v>
      </c>
      <c r="CK35" s="1076" t="n">
        <v>613.1999999999999</v>
      </c>
      <c r="CL35" s="1103" t="n">
        <v>3756</v>
      </c>
      <c r="CM35" s="1076" t="n">
        <v>2253.6</v>
      </c>
      <c r="CN35" s="1082" t="n">
        <v>2577</v>
      </c>
      <c r="CO35" s="83" t="n">
        <v>1546.2</v>
      </c>
      <c r="CP35" s="1082" t="n">
        <v>2112</v>
      </c>
      <c r="CQ35" s="83" t="n">
        <v>1267.2</v>
      </c>
      <c r="CR35" s="1082" t="n">
        <v>1992</v>
      </c>
      <c r="CS35" s="83" t="n">
        <v>1195.2</v>
      </c>
      <c r="CT35" s="1082" t="n">
        <v>1296</v>
      </c>
      <c r="CU35" s="83" t="n">
        <v>777.6</v>
      </c>
      <c r="CV35" s="1082" t="n"/>
      <c r="CW35" s="83" t="n">
        <v>0</v>
      </c>
      <c r="CX35" s="1082" t="n"/>
      <c r="CY35" s="83" t="n">
        <v>0</v>
      </c>
      <c r="CZ35" s="1082" t="n"/>
      <c r="DA35" s="83" t="n">
        <v>0</v>
      </c>
      <c r="DB35" s="1082" t="n"/>
      <c r="DC35" s="83" t="n">
        <v>0</v>
      </c>
      <c r="DD35" s="1082" t="n"/>
      <c r="DE35" s="83" t="n">
        <v>0</v>
      </c>
      <c r="DF35" s="1082" t="n"/>
      <c r="DG35" s="83" t="n">
        <v>0</v>
      </c>
      <c r="DH35" s="1082" t="n"/>
      <c r="DI35" s="83" t="n">
        <v>0</v>
      </c>
      <c r="DJ35" s="83" t="n">
        <v>0.1088245430823851</v>
      </c>
      <c r="DK35" s="83" t="n">
        <v>1.86</v>
      </c>
      <c r="DL35" s="1083" t="n">
        <v>11733</v>
      </c>
      <c r="DM35" s="1084" t="n">
        <v>7039.8</v>
      </c>
      <c r="DN35" s="1085" t="n">
        <v>2346.6</v>
      </c>
      <c r="DO35" s="1085" t="n">
        <v>1407.96</v>
      </c>
      <c r="DP35" s="87" t="n">
        <v>0.238653158975162</v>
      </c>
      <c r="DQ35" s="88" t="n">
        <v>0.1298286158927769</v>
      </c>
      <c r="DR35" s="1005" t="e">
        <v>#DIV/0!</v>
      </c>
      <c r="DS35" s="1005" t="n">
        <v>129.5150379003994</v>
      </c>
      <c r="DT35" s="90" t="n">
        <v>794.5100000000001</v>
      </c>
      <c r="DU35" s="90" t="n">
        <v>1407.96</v>
      </c>
      <c r="DV35" s="90" t="n">
        <v>56.7507142857143</v>
      </c>
      <c r="DW35" s="90" t="n">
        <v>100.5685714285714</v>
      </c>
      <c r="DX35" s="90" t="n">
        <v>502.8428571428572</v>
      </c>
    </row>
    <row r="36" ht="20.4" customFormat="1" customHeight="1" s="125" thickBot="1">
      <c r="A36" s="119" t="n"/>
      <c r="B36" s="120" t="n"/>
      <c r="C36" s="120" t="n"/>
      <c r="D36" s="121" t="n"/>
      <c r="E36" s="121" t="n"/>
      <c r="F36" s="121" t="n"/>
      <c r="G36" s="121" t="n"/>
      <c r="H36" s="1086" t="n"/>
      <c r="I36" s="1087" t="n"/>
      <c r="J36" s="1086" t="n"/>
      <c r="K36" s="1087" t="n"/>
      <c r="L36" s="1086" t="n"/>
      <c r="M36" s="1087" t="n"/>
      <c r="N36" s="1086" t="n"/>
      <c r="O36" s="1087" t="n"/>
      <c r="P36" s="1086" t="n"/>
      <c r="Q36" s="1087" t="n"/>
      <c r="R36" s="1086" t="n"/>
      <c r="S36" s="1087" t="n"/>
      <c r="T36" s="1086" t="n"/>
      <c r="U36" s="1087" t="n"/>
      <c r="V36" s="1086" t="n"/>
      <c r="W36" s="1087" t="n"/>
      <c r="X36" s="1086" t="n"/>
      <c r="Y36" s="1087" t="n"/>
      <c r="Z36" s="1086" t="n"/>
      <c r="AA36" s="1087" t="n"/>
      <c r="AB36" s="1086" t="n"/>
      <c r="AC36" s="1087" t="n"/>
      <c r="AD36" s="1086" t="n"/>
      <c r="AE36" s="1087" t="n"/>
      <c r="AF36" s="1086" t="n"/>
      <c r="AG36" s="1087" t="n"/>
      <c r="AH36" s="1086" t="n"/>
      <c r="AI36" s="1087" t="n"/>
      <c r="AJ36" s="1086" t="n"/>
      <c r="AK36" s="1087" t="n"/>
      <c r="AL36" s="1086" t="n"/>
      <c r="AM36" s="1087" t="n"/>
      <c r="AN36" s="1086" t="n"/>
      <c r="AO36" s="1087" t="n"/>
      <c r="AP36" s="1086" t="n"/>
      <c r="AQ36" s="1087" t="n"/>
      <c r="AR36" s="1086" t="n"/>
      <c r="AS36" s="1087" t="n"/>
      <c r="AT36" s="1086" t="n"/>
      <c r="AU36" s="1087" t="n"/>
      <c r="AV36" s="1086" t="n"/>
      <c r="AW36" s="1087" t="n"/>
      <c r="AX36" s="1086" t="n"/>
      <c r="AY36" s="1087" t="n"/>
      <c r="AZ36" s="1086" t="n"/>
      <c r="BA36" s="1087" t="n"/>
      <c r="BB36" s="1086" t="n"/>
      <c r="BC36" s="1087" t="n"/>
      <c r="BD36" s="1086" t="n"/>
      <c r="BE36" s="1087" t="n"/>
      <c r="BF36" s="1086" t="n"/>
      <c r="BG36" s="1087" t="n"/>
      <c r="BH36" s="1086" t="n"/>
      <c r="BI36" s="1087" t="n"/>
      <c r="BJ36" s="1086" t="n"/>
      <c r="BK36" s="1087" t="n"/>
      <c r="BL36" s="1086" t="n"/>
      <c r="BM36" s="1087" t="n"/>
      <c r="BN36" s="1086" t="n"/>
      <c r="BO36" s="1087" t="n"/>
      <c r="BP36" s="1086" t="n"/>
      <c r="BQ36" s="1087" t="n"/>
      <c r="BR36" s="1088">
        <f>BR32+BR33+BR34+BR35</f>
        <v/>
      </c>
      <c r="BS36" s="1088">
        <f>BS32+BS33+BS34+BS35</f>
        <v/>
      </c>
      <c r="BT36" s="1088">
        <f>BT32+BT33+BT34+BT35</f>
        <v/>
      </c>
      <c r="BU36" s="1088">
        <f>BU32+BU33+BU34+BU35</f>
        <v/>
      </c>
      <c r="BV36" s="1088">
        <f>BV32+BV33+BV34+BV35</f>
        <v/>
      </c>
      <c r="BW36" s="1088">
        <f>BW32+BW33+BW34+BW35</f>
        <v/>
      </c>
      <c r="BX36" s="1088">
        <f>BX32+BX33+BX34+BX35</f>
        <v/>
      </c>
      <c r="BY36" s="1088">
        <f>BY32+BY33+BY34+BY35</f>
        <v/>
      </c>
      <c r="BZ36" s="1088">
        <f>BZ32+BZ33+BZ34+BZ35</f>
        <v/>
      </c>
      <c r="CA36" s="1088">
        <f>CA32+CA33+CA34+CA35</f>
        <v/>
      </c>
      <c r="CB36" s="1088">
        <f>CB32+CB33+CB34+CB35</f>
        <v/>
      </c>
      <c r="CC36" s="1088">
        <f>CC32+CC33+CC34+CC35</f>
        <v/>
      </c>
      <c r="CD36" s="1088">
        <f>CD32+CD33+CD34+CD35</f>
        <v/>
      </c>
      <c r="CE36" s="1088">
        <f>CE32+CE33+CE34+CE35</f>
        <v/>
      </c>
      <c r="CF36" s="1088">
        <f>CF32+CF33+CF34+CF35</f>
        <v/>
      </c>
      <c r="CG36" s="1088">
        <f>CG32+CG33+CG34+CG35</f>
        <v/>
      </c>
      <c r="CH36" s="1088">
        <f>CH32+CH33+CH34+CH35</f>
        <v/>
      </c>
      <c r="CI36" s="1088">
        <f>CI32+CI33+CI34+CI35</f>
        <v/>
      </c>
      <c r="CJ36" s="1088">
        <f>CJ32+CJ33+CJ34+CJ35</f>
        <v/>
      </c>
      <c r="CK36" s="1088">
        <f>CK32+CK33+CK34+CK35</f>
        <v/>
      </c>
      <c r="CL36" s="1088">
        <f>CL32+CL33+CL34+CL35</f>
        <v/>
      </c>
      <c r="CM36" s="1088">
        <f>CM32+CM33+CM34+CM35</f>
        <v/>
      </c>
      <c r="CN36" s="1088">
        <f>CN32+CN33+CN34+CN35</f>
        <v/>
      </c>
      <c r="CO36" s="1088">
        <f>CO32+CO33+CO34+CO35</f>
        <v/>
      </c>
      <c r="CP36" s="1088">
        <f>CP32+CP33+CP34+CP35</f>
        <v/>
      </c>
      <c r="CQ36" s="1088">
        <f>CQ32+CQ33+CQ34+CQ35</f>
        <v/>
      </c>
      <c r="CR36" s="1088">
        <f>CR32+CR33+CR34+CR35</f>
        <v/>
      </c>
      <c r="CS36" s="1088">
        <f>CS32+CS33+CS34+CS35</f>
        <v/>
      </c>
      <c r="CT36" s="1088">
        <f>CT32+CT33+CT34+CT35</f>
        <v/>
      </c>
      <c r="CU36" s="1088">
        <f>CU32+CU33+CU34+CU35</f>
        <v/>
      </c>
      <c r="CV36" s="1088">
        <f>CV32+CV33+CV34+CV35</f>
        <v/>
      </c>
      <c r="CW36" s="1088">
        <f>CW32+CW33+CW34+CW35</f>
        <v/>
      </c>
      <c r="CX36" s="1088">
        <f>CX32+CX33+CX34+CX35</f>
        <v/>
      </c>
      <c r="CY36" s="1088">
        <f>CY32+CY33+CY34+CY35</f>
        <v/>
      </c>
      <c r="CZ36" s="1088">
        <f>CZ32+CZ33+CZ34+CZ35</f>
        <v/>
      </c>
      <c r="DA36" s="1088">
        <f>DA32+DA33+DA34+DA35</f>
        <v/>
      </c>
      <c r="DB36" s="1088">
        <f>DB32+DB33+DB34+DB35</f>
        <v/>
      </c>
      <c r="DC36" s="1088">
        <f>DC32+DC33+DC34+DC35</f>
        <v/>
      </c>
      <c r="DD36" s="1088">
        <f>DD32+DD33+DD34+DD35</f>
        <v/>
      </c>
      <c r="DE36" s="1088">
        <f>DE32+DE33+DE34+DE35</f>
        <v/>
      </c>
      <c r="DF36" s="1088">
        <f>DF32+DF33+DF34+DF35</f>
        <v/>
      </c>
      <c r="DG36" s="1088">
        <f>DG32+DG33+DG34+DG35</f>
        <v/>
      </c>
      <c r="DH36" s="1088">
        <f>DH32+DH33+DH34+DH35</f>
        <v/>
      </c>
      <c r="DI36" s="1088">
        <f>DI32+DI33+DI34+DI35</f>
        <v/>
      </c>
      <c r="DJ36" s="214">
        <f>DJ32+DJ33+DJ34+DJ35</f>
        <v/>
      </c>
      <c r="DK36" s="214">
        <f>DK32+DK33+DK34+DK35</f>
        <v/>
      </c>
      <c r="DL36" s="1088">
        <f>DL32+DL33+DL34+DL35</f>
        <v/>
      </c>
      <c r="DM36" s="1088">
        <f>DM32+DM33+DM34+DM35</f>
        <v/>
      </c>
      <c r="DN36" s="1088">
        <f>DN32+DN33+DN34+DN35</f>
        <v/>
      </c>
      <c r="DO36" s="1088">
        <f>DO32+DO33+DO34+DO35</f>
        <v/>
      </c>
      <c r="DP36" s="214">
        <f>DP32+DP33+DP34+DP35</f>
        <v/>
      </c>
      <c r="DQ36" s="214">
        <f>DQ32+DQ33+DQ34+DQ35</f>
        <v/>
      </c>
      <c r="DR36" s="1088">
        <f>DR32+DR33+DR34+DR35</f>
        <v/>
      </c>
      <c r="DS36" s="1088">
        <f>DS32+DS33+DS34+DS35</f>
        <v/>
      </c>
      <c r="DT36" s="1088">
        <f>DT32+DT33+DT34+DT35</f>
        <v/>
      </c>
      <c r="DU36" s="1088">
        <f>DU32+DU33+DU34+DU35</f>
        <v/>
      </c>
      <c r="DV36" s="1088">
        <f>DV32+DV33+DV34+DV35</f>
        <v/>
      </c>
      <c r="DW36" s="1088">
        <f>DW32+DW33+DW34+DW35</f>
        <v/>
      </c>
      <c r="DX36" s="215">
        <f>DX32+DX33+DX34+DX35</f>
        <v/>
      </c>
    </row>
    <row r="37">
      <c r="A37" s="92" t="n">
        <v>80</v>
      </c>
      <c r="B37" s="93" t="inlineStr">
        <is>
          <t>ရွှေမင်းသားခေါင်ရည်</t>
        </is>
      </c>
      <c r="C37" s="93" t="inlineStr">
        <is>
          <t>ပုလင်း</t>
        </is>
      </c>
      <c r="D37" s="92" t="n">
        <v>10</v>
      </c>
      <c r="E37" s="92" t="n">
        <v>0.64</v>
      </c>
      <c r="F37" s="92" t="inlineStr">
        <is>
          <t>1 * 24</t>
        </is>
      </c>
      <c r="G37" s="92" t="n">
        <v>800</v>
      </c>
      <c r="H37" s="996" t="n"/>
      <c r="I37" s="997" t="n">
        <v>0</v>
      </c>
      <c r="J37" s="996" t="n"/>
      <c r="K37" s="997" t="n">
        <v>0</v>
      </c>
      <c r="L37" s="996" t="n"/>
      <c r="M37" s="997" t="n">
        <v>0</v>
      </c>
      <c r="N37" s="996" t="n"/>
      <c r="O37" s="997" t="n">
        <v>0</v>
      </c>
      <c r="P37" s="996" t="n"/>
      <c r="Q37" s="997" t="n">
        <v>0</v>
      </c>
      <c r="R37" s="996" t="n"/>
      <c r="S37" s="997" t="n">
        <v>0</v>
      </c>
      <c r="T37" s="996" t="n"/>
      <c r="U37" s="997" t="n">
        <v>0</v>
      </c>
      <c r="V37" s="996" t="n"/>
      <c r="W37" s="997" t="n">
        <v>0</v>
      </c>
      <c r="X37" s="996" t="n"/>
      <c r="Y37" s="997" t="n">
        <v>0</v>
      </c>
      <c r="Z37" s="996" t="n"/>
      <c r="AA37" s="997" t="n">
        <v>0</v>
      </c>
      <c r="AB37" s="996" t="n"/>
      <c r="AC37" s="997" t="n">
        <v>0</v>
      </c>
      <c r="AD37" s="996" t="n"/>
      <c r="AE37" s="997" t="n">
        <v>0</v>
      </c>
      <c r="AF37" s="998" t="n">
        <v>0</v>
      </c>
      <c r="AG37" s="999" t="n">
        <v>0</v>
      </c>
      <c r="AH37" s="996" t="n"/>
      <c r="AI37" s="997" t="n">
        <v>0</v>
      </c>
      <c r="AJ37" s="996" t="n"/>
      <c r="AK37" s="997" t="n">
        <v>0</v>
      </c>
      <c r="AL37" s="996" t="n"/>
      <c r="AM37" s="997" t="n">
        <v>0</v>
      </c>
      <c r="AN37" s="996" t="n">
        <v>5029</v>
      </c>
      <c r="AO37" s="997" t="n">
        <v>3218.56</v>
      </c>
      <c r="AP37" s="996" t="n">
        <v>520</v>
      </c>
      <c r="AQ37" s="997" t="n">
        <v>332.8</v>
      </c>
      <c r="AR37" s="996" t="n">
        <v>192</v>
      </c>
      <c r="AS37" s="997" t="n">
        <v>122.88</v>
      </c>
      <c r="AT37" s="996" t="n">
        <v>192</v>
      </c>
      <c r="AU37" s="997" t="n">
        <v>122.88</v>
      </c>
      <c r="AV37" s="996" t="n">
        <v>72</v>
      </c>
      <c r="AW37" s="997" t="n">
        <v>46.08</v>
      </c>
      <c r="AX37" s="996" t="n">
        <v>576</v>
      </c>
      <c r="AY37" s="997" t="n">
        <v>368.64</v>
      </c>
      <c r="AZ37" s="996" t="n">
        <v>24</v>
      </c>
      <c r="BA37" s="997" t="n">
        <v>15.36</v>
      </c>
      <c r="BB37" s="996" t="n">
        <v>264</v>
      </c>
      <c r="BC37" s="997" t="n">
        <v>168.96</v>
      </c>
      <c r="BD37" s="996" t="n">
        <v>120</v>
      </c>
      <c r="BE37" s="997" t="n">
        <v>76.8</v>
      </c>
      <c r="BF37" s="998" t="n">
        <v>582.4166666666666</v>
      </c>
      <c r="BG37" s="999" t="n">
        <v>372.7466666666667</v>
      </c>
      <c r="BH37" s="996" t="n"/>
      <c r="BI37" s="997" t="n">
        <v>0</v>
      </c>
      <c r="BJ37" s="996" t="n">
        <v>144</v>
      </c>
      <c r="BK37" s="997" t="n">
        <v>92.16</v>
      </c>
      <c r="BL37" s="996" t="n">
        <v>4149</v>
      </c>
      <c r="BM37" s="997" t="n">
        <v>2655.36</v>
      </c>
      <c r="BN37" s="996" t="n">
        <v>18550</v>
      </c>
      <c r="BO37" s="997" t="n">
        <v>11872</v>
      </c>
      <c r="BP37" s="996" t="n">
        <v>20986</v>
      </c>
      <c r="BQ37" s="997" t="n">
        <v>13431.04</v>
      </c>
      <c r="BR37" s="1000" t="n">
        <v>8765.799999999999</v>
      </c>
      <c r="BS37" s="997" t="n">
        <v>5610.112</v>
      </c>
      <c r="BT37" s="996" t="n">
        <v>17002</v>
      </c>
      <c r="BU37" s="997" t="n">
        <v>10881.28</v>
      </c>
      <c r="BV37" s="996" t="n">
        <v>21224</v>
      </c>
      <c r="BW37" s="997" t="n">
        <v>13583.36</v>
      </c>
      <c r="BX37" s="996" t="n">
        <v>18204</v>
      </c>
      <c r="BY37" s="997" t="n">
        <v>11650.56</v>
      </c>
      <c r="BZ37" s="996" t="n">
        <v>17136</v>
      </c>
      <c r="CA37" s="997" t="n">
        <v>10967.04</v>
      </c>
      <c r="CB37" s="996" t="n">
        <v>20256</v>
      </c>
      <c r="CC37" s="997" t="n">
        <v>12963.84</v>
      </c>
      <c r="CD37" s="996" t="n">
        <v>18185</v>
      </c>
      <c r="CE37" s="997" t="n">
        <v>11638.4</v>
      </c>
      <c r="CF37" s="996" t="n">
        <v>11232</v>
      </c>
      <c r="CG37" s="997" t="n">
        <v>7188.48</v>
      </c>
      <c r="CH37" s="998" t="n">
        <v>13922.33333333333</v>
      </c>
      <c r="CI37" s="999" t="n">
        <v>8910.293333333333</v>
      </c>
      <c r="CJ37" s="1089" t="n">
        <v>13922</v>
      </c>
      <c r="CK37" s="997" t="n">
        <v>8910.08</v>
      </c>
      <c r="CL37" s="1002" t="n">
        <v>14112</v>
      </c>
      <c r="CM37" s="997" t="n">
        <v>9031.68</v>
      </c>
      <c r="CN37" s="1002" t="n">
        <v>17376</v>
      </c>
      <c r="CO37" s="95" t="n">
        <v>11120.64</v>
      </c>
      <c r="CP37" s="1002" t="n">
        <v>20266</v>
      </c>
      <c r="CQ37" s="95" t="n">
        <v>12970.24</v>
      </c>
      <c r="CR37" s="1002" t="n">
        <v>21648</v>
      </c>
      <c r="CS37" s="95" t="n">
        <v>13854.72</v>
      </c>
      <c r="CT37" s="1002" t="n">
        <v>31114</v>
      </c>
      <c r="CU37" s="95" t="n">
        <v>19912.96</v>
      </c>
      <c r="CV37" s="1002" t="n"/>
      <c r="CW37" s="95" t="n">
        <v>0</v>
      </c>
      <c r="CX37" s="1002" t="n"/>
      <c r="CY37" s="95" t="n">
        <v>0</v>
      </c>
      <c r="CZ37" s="1002" t="n"/>
      <c r="DA37" s="95" t="n">
        <v>0</v>
      </c>
      <c r="DB37" s="1002" t="n"/>
      <c r="DC37" s="95" t="n">
        <v>0</v>
      </c>
      <c r="DD37" s="1002" t="n"/>
      <c r="DE37" s="95" t="n">
        <v>0</v>
      </c>
      <c r="DF37" s="1002" t="n"/>
      <c r="DG37" s="95" t="n">
        <v>0</v>
      </c>
      <c r="DH37" s="1002" t="n"/>
      <c r="DI37" s="95" t="n">
        <v>0</v>
      </c>
      <c r="DJ37" s="95" t="n">
        <v>1.580664440019597</v>
      </c>
      <c r="DK37" s="95" t="n"/>
      <c r="DL37" s="1003" t="n">
        <v>104516</v>
      </c>
      <c r="DM37" s="1001" t="n">
        <v>66890.23999999999</v>
      </c>
      <c r="DN37" s="1090" t="n">
        <v>20903.2</v>
      </c>
      <c r="DO37" s="1090" t="n">
        <v>13378.048</v>
      </c>
      <c r="DP37" s="97" t="n">
        <v>2.267616563056726</v>
      </c>
      <c r="DQ37" s="98" t="n">
        <v>0.6869521230371289</v>
      </c>
      <c r="DR37" s="1091" t="n">
        <v>138.4631180268772</v>
      </c>
      <c r="DS37" s="1091" t="n">
        <v>50.14149926975841</v>
      </c>
      <c r="DT37" s="100" t="n">
        <v>4467.754666666666</v>
      </c>
      <c r="DU37" s="100" t="n">
        <v>7767.935999999999</v>
      </c>
      <c r="DV37" s="100" t="n">
        <v>319.1253333333333</v>
      </c>
      <c r="DW37" s="100" t="n">
        <v>554.8525714285713</v>
      </c>
      <c r="DX37" s="100" t="n">
        <v>2774.262857142857</v>
      </c>
    </row>
    <row r="38" ht="20.4" customHeight="1" thickBot="1">
      <c r="A38" s="73" t="n">
        <v>81</v>
      </c>
      <c r="B38" s="74" t="inlineStr">
        <is>
          <t>ရွှေမင်းသားမန်ကျည်းခေါင်ရည်</t>
        </is>
      </c>
      <c r="C38" s="74" t="inlineStr">
        <is>
          <t>ပုလင်း</t>
        </is>
      </c>
      <c r="D38" s="73" t="n"/>
      <c r="E38" s="73" t="n">
        <v>0.64</v>
      </c>
      <c r="F38" s="73" t="inlineStr">
        <is>
          <t>1 x 14</t>
        </is>
      </c>
      <c r="G38" s="73" t="n">
        <v>830</v>
      </c>
      <c r="H38" s="1075" t="n"/>
      <c r="I38" s="1076" t="n"/>
      <c r="J38" s="1075" t="n"/>
      <c r="K38" s="1076" t="n"/>
      <c r="L38" s="1075" t="n"/>
      <c r="M38" s="1076" t="n"/>
      <c r="N38" s="1075" t="n"/>
      <c r="O38" s="1076" t="n"/>
      <c r="P38" s="1075" t="n"/>
      <c r="Q38" s="1076" t="n"/>
      <c r="R38" s="1075" t="n"/>
      <c r="S38" s="1076" t="n"/>
      <c r="T38" s="1075" t="n"/>
      <c r="U38" s="1076" t="n"/>
      <c r="V38" s="1075" t="n"/>
      <c r="W38" s="1076" t="n"/>
      <c r="X38" s="1075" t="n"/>
      <c r="Y38" s="1076" t="n"/>
      <c r="Z38" s="1075" t="n"/>
      <c r="AA38" s="1076" t="n"/>
      <c r="AB38" s="1075" t="n"/>
      <c r="AC38" s="1076" t="n"/>
      <c r="AD38" s="1075" t="n"/>
      <c r="AE38" s="1076" t="n"/>
      <c r="AF38" s="1077" t="n"/>
      <c r="AG38" s="1078" t="n"/>
      <c r="AH38" s="1075" t="n"/>
      <c r="AI38" s="1076" t="n"/>
      <c r="AJ38" s="1075" t="n"/>
      <c r="AK38" s="1076" t="n"/>
      <c r="AL38" s="1075" t="n"/>
      <c r="AM38" s="1076" t="n"/>
      <c r="AN38" s="1075" t="n"/>
      <c r="AO38" s="1076" t="n"/>
      <c r="AP38" s="1075" t="n"/>
      <c r="AQ38" s="1076" t="n"/>
      <c r="AR38" s="1075" t="n"/>
      <c r="AS38" s="1076" t="n"/>
      <c r="AT38" s="1075" t="n"/>
      <c r="AU38" s="1076" t="n"/>
      <c r="AV38" s="1075" t="n"/>
      <c r="AW38" s="1076" t="n"/>
      <c r="AX38" s="1075" t="n"/>
      <c r="AY38" s="1076" t="n"/>
      <c r="AZ38" s="1075" t="n"/>
      <c r="BA38" s="1076" t="n"/>
      <c r="BB38" s="1075" t="n"/>
      <c r="BC38" s="1076" t="n"/>
      <c r="BD38" s="1075" t="n"/>
      <c r="BE38" s="1076" t="n"/>
      <c r="BF38" s="1077" t="n"/>
      <c r="BG38" s="1078" t="n"/>
      <c r="BH38" s="1075" t="n"/>
      <c r="BI38" s="1076" t="n"/>
      <c r="BJ38" s="1075" t="n"/>
      <c r="BK38" s="1076" t="n"/>
      <c r="BL38" s="1075" t="n"/>
      <c r="BM38" s="1076" t="n"/>
      <c r="BN38" s="1075" t="n"/>
      <c r="BO38" s="1076" t="n"/>
      <c r="BP38" s="1075" t="n"/>
      <c r="BQ38" s="1076" t="n"/>
      <c r="BR38" s="1079" t="n">
        <v>0</v>
      </c>
      <c r="BS38" s="1076" t="n">
        <v>0</v>
      </c>
      <c r="BT38" s="1075" t="n"/>
      <c r="BU38" s="1076" t="n"/>
      <c r="BV38" s="1075" t="n"/>
      <c r="BW38" s="1076" t="n"/>
      <c r="BX38" s="1075" t="n"/>
      <c r="BY38" s="1076" t="n"/>
      <c r="BZ38" s="1075" t="n"/>
      <c r="CA38" s="1076" t="n"/>
      <c r="CB38" s="1075" t="n"/>
      <c r="CC38" s="1076" t="n"/>
      <c r="CD38" s="1075" t="n"/>
      <c r="CE38" s="1076" t="n"/>
      <c r="CF38" s="1075" t="n"/>
      <c r="CG38" s="1076" t="n"/>
      <c r="CH38" s="1077" t="n">
        <v>0</v>
      </c>
      <c r="CI38" s="1078" t="n">
        <v>0</v>
      </c>
      <c r="CJ38" s="1080" t="n"/>
      <c r="CK38" s="1076" t="n"/>
      <c r="CL38" s="1082" t="n"/>
      <c r="CM38" s="1076" t="n"/>
      <c r="CN38" s="1082" t="n"/>
      <c r="CO38" s="83" t="n"/>
      <c r="CP38" s="1082" t="n"/>
      <c r="CQ38" s="83" t="n"/>
      <c r="CR38" s="1082" t="n">
        <v>4158</v>
      </c>
      <c r="CS38" s="83" t="n">
        <v>2661.12</v>
      </c>
      <c r="CT38" s="1082" t="n">
        <v>10876</v>
      </c>
      <c r="CU38" s="83" t="n">
        <v>6960.64</v>
      </c>
      <c r="CV38" s="1082" t="n"/>
      <c r="CW38" s="83" t="n">
        <v>0</v>
      </c>
      <c r="CX38" s="1082" t="n"/>
      <c r="CY38" s="83" t="n">
        <v>0</v>
      </c>
      <c r="CZ38" s="1082" t="n"/>
      <c r="DA38" s="83" t="n">
        <v>0</v>
      </c>
      <c r="DB38" s="1082" t="n"/>
      <c r="DC38" s="83" t="n">
        <v>0</v>
      </c>
      <c r="DD38" s="1082" t="n"/>
      <c r="DE38" s="83" t="n">
        <v>0</v>
      </c>
      <c r="DF38" s="1082" t="n"/>
      <c r="DG38" s="83" t="n">
        <v>0</v>
      </c>
      <c r="DH38" s="1082" t="n"/>
      <c r="DI38" s="83" t="n">
        <v>0</v>
      </c>
      <c r="DJ38" s="83" t="n">
        <v>0</v>
      </c>
      <c r="DK38" s="83" t="n">
        <v>1.58</v>
      </c>
      <c r="DL38" s="1083" t="n">
        <v>15034</v>
      </c>
      <c r="DM38" s="1084" t="n">
        <v>9621.76</v>
      </c>
      <c r="DN38" s="1085" t="n">
        <v>3006.8</v>
      </c>
      <c r="DO38" s="1085" t="n">
        <v>1924.352</v>
      </c>
      <c r="DP38" s="87" t="n">
        <v>0.3261830476577254</v>
      </c>
      <c r="DQ38" s="88" t="n">
        <v>0.3261830476577254</v>
      </c>
      <c r="DR38" s="1005" t="e">
        <v>#DIV/0!</v>
      </c>
      <c r="DS38" s="1005" t="e">
        <v>#DIV/0!</v>
      </c>
      <c r="DT38" s="90" t="n">
        <v>1924.352</v>
      </c>
      <c r="DU38" s="90" t="n">
        <v>1924.352</v>
      </c>
      <c r="DV38" s="90" t="n">
        <v>137.4537142857143</v>
      </c>
      <c r="DW38" s="90" t="n">
        <v>137.4537142857143</v>
      </c>
      <c r="DX38" s="90" t="n">
        <v>687.2685714285715</v>
      </c>
    </row>
    <row r="39" ht="20.4" customFormat="1" customHeight="1" s="125" thickBot="1">
      <c r="A39" s="119" t="n"/>
      <c r="B39" s="120" t="n"/>
      <c r="C39" s="120" t="n"/>
      <c r="D39" s="121" t="n"/>
      <c r="E39" s="121" t="n"/>
      <c r="F39" s="121" t="n"/>
      <c r="G39" s="121" t="n"/>
      <c r="H39" s="1086" t="n"/>
      <c r="I39" s="1087" t="n"/>
      <c r="J39" s="1086" t="n"/>
      <c r="K39" s="1087" t="n"/>
      <c r="L39" s="1086" t="n"/>
      <c r="M39" s="1087" t="n"/>
      <c r="N39" s="1086" t="n"/>
      <c r="O39" s="1087" t="n"/>
      <c r="P39" s="1086" t="n"/>
      <c r="Q39" s="1087" t="n"/>
      <c r="R39" s="1086" t="n"/>
      <c r="S39" s="1087" t="n"/>
      <c r="T39" s="1086" t="n"/>
      <c r="U39" s="1087" t="n"/>
      <c r="V39" s="1086" t="n"/>
      <c r="W39" s="1087" t="n"/>
      <c r="X39" s="1086" t="n"/>
      <c r="Y39" s="1087" t="n"/>
      <c r="Z39" s="1086" t="n"/>
      <c r="AA39" s="1087" t="n"/>
      <c r="AB39" s="1086" t="n"/>
      <c r="AC39" s="1087" t="n"/>
      <c r="AD39" s="1086" t="n"/>
      <c r="AE39" s="1087" t="n"/>
      <c r="AF39" s="1086" t="n"/>
      <c r="AG39" s="1087" t="n"/>
      <c r="AH39" s="1086" t="n"/>
      <c r="AI39" s="1087" t="n"/>
      <c r="AJ39" s="1086" t="n"/>
      <c r="AK39" s="1087" t="n"/>
      <c r="AL39" s="1086" t="n"/>
      <c r="AM39" s="1087" t="n"/>
      <c r="AN39" s="1086" t="n"/>
      <c r="AO39" s="1087" t="n"/>
      <c r="AP39" s="1086" t="n"/>
      <c r="AQ39" s="1087" t="n"/>
      <c r="AR39" s="1086" t="n"/>
      <c r="AS39" s="1087" t="n"/>
      <c r="AT39" s="1086" t="n"/>
      <c r="AU39" s="1087" t="n"/>
      <c r="AV39" s="1086" t="n"/>
      <c r="AW39" s="1087" t="n"/>
      <c r="AX39" s="1086" t="n"/>
      <c r="AY39" s="1087" t="n"/>
      <c r="AZ39" s="1086" t="n"/>
      <c r="BA39" s="1087" t="n"/>
      <c r="BB39" s="1086" t="n"/>
      <c r="BC39" s="1087" t="n"/>
      <c r="BD39" s="1086" t="n"/>
      <c r="BE39" s="1087" t="n"/>
      <c r="BF39" s="1086" t="n"/>
      <c r="BG39" s="1087" t="n"/>
      <c r="BH39" s="1086" t="n"/>
      <c r="BI39" s="1087" t="n"/>
      <c r="BJ39" s="1086" t="n"/>
      <c r="BK39" s="1087" t="n"/>
      <c r="BL39" s="1086" t="n"/>
      <c r="BM39" s="1087" t="n"/>
      <c r="BN39" s="1086" t="n"/>
      <c r="BO39" s="1087" t="n"/>
      <c r="BP39" s="1086" t="n"/>
      <c r="BQ39" s="1087" t="n"/>
      <c r="BR39" s="1088">
        <f>BR37+BR38</f>
        <v/>
      </c>
      <c r="BS39" s="1088">
        <f>BS37+BS38</f>
        <v/>
      </c>
      <c r="BT39" s="1088">
        <f>BT37+BT38</f>
        <v/>
      </c>
      <c r="BU39" s="1088">
        <f>BU37+BU38</f>
        <v/>
      </c>
      <c r="BV39" s="1088">
        <f>BV37+BV38</f>
        <v/>
      </c>
      <c r="BW39" s="1088">
        <f>BW37+BW38</f>
        <v/>
      </c>
      <c r="BX39" s="1088">
        <f>BX37+BX38</f>
        <v/>
      </c>
      <c r="BY39" s="1088">
        <f>BY37+BY38</f>
        <v/>
      </c>
      <c r="BZ39" s="1088">
        <f>BZ37+BZ38</f>
        <v/>
      </c>
      <c r="CA39" s="1088">
        <f>CA37+CA38</f>
        <v/>
      </c>
      <c r="CB39" s="1088">
        <f>CB37+CB38</f>
        <v/>
      </c>
      <c r="CC39" s="1088">
        <f>CC37+CC38</f>
        <v/>
      </c>
      <c r="CD39" s="1088">
        <f>CD37+CD38</f>
        <v/>
      </c>
      <c r="CE39" s="1088">
        <f>CE37+CE38</f>
        <v/>
      </c>
      <c r="CF39" s="1088">
        <f>CF37+CF38</f>
        <v/>
      </c>
      <c r="CG39" s="1088">
        <f>CG37+CG38</f>
        <v/>
      </c>
      <c r="CH39" s="1088">
        <f>CH37+CH38</f>
        <v/>
      </c>
      <c r="CI39" s="1088">
        <f>CI37+CI38</f>
        <v/>
      </c>
      <c r="CJ39" s="1088">
        <f>CJ37+CJ38</f>
        <v/>
      </c>
      <c r="CK39" s="1088">
        <f>CK37+CK38</f>
        <v/>
      </c>
      <c r="CL39" s="1088">
        <f>CL37+CL38</f>
        <v/>
      </c>
      <c r="CM39" s="1088">
        <f>CM37+CM38</f>
        <v/>
      </c>
      <c r="CN39" s="1088">
        <f>CN37+CN38</f>
        <v/>
      </c>
      <c r="CO39" s="1088">
        <f>CO37+CO38</f>
        <v/>
      </c>
      <c r="CP39" s="1088">
        <f>CP37+CP38</f>
        <v/>
      </c>
      <c r="CQ39" s="1088">
        <f>CQ37+CQ38</f>
        <v/>
      </c>
      <c r="CR39" s="1088">
        <f>CR37+CR38</f>
        <v/>
      </c>
      <c r="CS39" s="1088">
        <f>CS37+CS38</f>
        <v/>
      </c>
      <c r="CT39" s="1088">
        <f>CT37+CT38</f>
        <v/>
      </c>
      <c r="CU39" s="1088">
        <f>CU37+CU38</f>
        <v/>
      </c>
      <c r="CV39" s="1088">
        <f>CV37+CV38</f>
        <v/>
      </c>
      <c r="CW39" s="1088">
        <f>CW37+CW38</f>
        <v/>
      </c>
      <c r="CX39" s="1088">
        <f>CX37+CX38</f>
        <v/>
      </c>
      <c r="CY39" s="1088">
        <f>CY37+CY38</f>
        <v/>
      </c>
      <c r="CZ39" s="1088">
        <f>CZ37+CZ38</f>
        <v/>
      </c>
      <c r="DA39" s="1088">
        <f>DA37+DA38</f>
        <v/>
      </c>
      <c r="DB39" s="1088">
        <f>DB37+DB38</f>
        <v/>
      </c>
      <c r="DC39" s="1088">
        <f>DC37+DC38</f>
        <v/>
      </c>
      <c r="DD39" s="1088">
        <f>DD37+DD38</f>
        <v/>
      </c>
      <c r="DE39" s="1088">
        <f>DE37+DE38</f>
        <v/>
      </c>
      <c r="DF39" s="1088">
        <f>DF37+DF38</f>
        <v/>
      </c>
      <c r="DG39" s="1088">
        <f>DG37+DG38</f>
        <v/>
      </c>
      <c r="DH39" s="1088">
        <f>DH37+DH38</f>
        <v/>
      </c>
      <c r="DI39" s="1088">
        <f>DI37+DI38</f>
        <v/>
      </c>
      <c r="DJ39" s="214">
        <f>DJ37+DJ38</f>
        <v/>
      </c>
      <c r="DK39" s="214">
        <f>DK37+DK38</f>
        <v/>
      </c>
      <c r="DL39" s="1088">
        <f>DL37+DL38</f>
        <v/>
      </c>
      <c r="DM39" s="1088">
        <f>DM37+DM38</f>
        <v/>
      </c>
      <c r="DN39" s="1088">
        <f>DN37+DN38</f>
        <v/>
      </c>
      <c r="DO39" s="1088">
        <f>DO37+DO38</f>
        <v/>
      </c>
      <c r="DP39" s="214">
        <f>DP37+DP38</f>
        <v/>
      </c>
      <c r="DQ39" s="214">
        <f>DQ37+DQ38</f>
        <v/>
      </c>
      <c r="DR39" s="1088">
        <f>DR37+DR38</f>
        <v/>
      </c>
      <c r="DS39" s="1088">
        <f>DS37+DS38</f>
        <v/>
      </c>
      <c r="DT39" s="1088">
        <f>DT37+DT38</f>
        <v/>
      </c>
      <c r="DU39" s="1088">
        <f>DU37+DU38</f>
        <v/>
      </c>
      <c r="DV39" s="1088">
        <f>DV37+DV38</f>
        <v/>
      </c>
      <c r="DW39" s="1088">
        <f>DW37+DW38</f>
        <v/>
      </c>
      <c r="DX39" s="215">
        <f>DX37+DX38</f>
        <v/>
      </c>
    </row>
    <row r="40">
      <c r="A40" s="92" t="n">
        <v>91</v>
      </c>
      <c r="B40" s="93" t="inlineStr">
        <is>
          <t>Formula Rum 700ml</t>
        </is>
      </c>
      <c r="C40" s="93" t="inlineStr">
        <is>
          <t>ပုလင်း</t>
        </is>
      </c>
      <c r="D40" s="92" t="n">
        <v>28</v>
      </c>
      <c r="E40" s="92" t="n">
        <v>0.7</v>
      </c>
      <c r="F40" s="92" t="inlineStr">
        <is>
          <t>1 * 12</t>
        </is>
      </c>
      <c r="G40" s="92" t="n">
        <v>3600</v>
      </c>
      <c r="H40" s="996" t="n">
        <v>404</v>
      </c>
      <c r="I40" s="997" t="n">
        <v>282.8</v>
      </c>
      <c r="J40" s="996" t="n">
        <v>592</v>
      </c>
      <c r="K40" s="997" t="n">
        <v>414.4</v>
      </c>
      <c r="L40" s="996" t="n">
        <v>866</v>
      </c>
      <c r="M40" s="997" t="n">
        <v>606.1999999999999</v>
      </c>
      <c r="N40" s="996" t="n">
        <v>636</v>
      </c>
      <c r="O40" s="997" t="n">
        <v>445.2</v>
      </c>
      <c r="P40" s="996" t="n">
        <v>977</v>
      </c>
      <c r="Q40" s="997" t="n">
        <v>683.9</v>
      </c>
      <c r="R40" s="996" t="n">
        <v>468</v>
      </c>
      <c r="S40" s="997" t="n">
        <v>327.6</v>
      </c>
      <c r="T40" s="996" t="n">
        <v>96</v>
      </c>
      <c r="U40" s="997" t="n">
        <v>67.19999999999999</v>
      </c>
      <c r="V40" s="996" t="n">
        <v>396</v>
      </c>
      <c r="W40" s="997" t="n">
        <v>277.2</v>
      </c>
      <c r="X40" s="996" t="n">
        <v>24</v>
      </c>
      <c r="Y40" s="997" t="n">
        <v>16.8</v>
      </c>
      <c r="Z40" s="996" t="n">
        <v>845</v>
      </c>
      <c r="AA40" s="997" t="n">
        <v>591.5</v>
      </c>
      <c r="AB40" s="996" t="n">
        <v>1146</v>
      </c>
      <c r="AC40" s="997" t="n">
        <v>802.1999999999999</v>
      </c>
      <c r="AD40" s="996" t="n">
        <v>759</v>
      </c>
      <c r="AE40" s="997" t="n">
        <v>531.3</v>
      </c>
      <c r="AF40" s="998" t="n">
        <v>600.75</v>
      </c>
      <c r="AG40" s="999" t="n">
        <v>420.525</v>
      </c>
      <c r="AH40" s="996" t="n">
        <v>910</v>
      </c>
      <c r="AI40" s="997" t="n">
        <v>637</v>
      </c>
      <c r="AJ40" s="996" t="n">
        <v>517</v>
      </c>
      <c r="AK40" s="997" t="n">
        <v>361.9</v>
      </c>
      <c r="AL40" s="996" t="n">
        <v>250</v>
      </c>
      <c r="AM40" s="997" t="n">
        <v>175</v>
      </c>
      <c r="AN40" s="996" t="n">
        <v>515</v>
      </c>
      <c r="AO40" s="997" t="n">
        <v>360.5</v>
      </c>
      <c r="AP40" s="996" t="n">
        <v>738</v>
      </c>
      <c r="AQ40" s="997" t="n">
        <v>516.6</v>
      </c>
      <c r="AR40" s="996" t="n">
        <v>352</v>
      </c>
      <c r="AS40" s="997" t="n">
        <v>246.4</v>
      </c>
      <c r="AT40" s="996" t="n">
        <v>415</v>
      </c>
      <c r="AU40" s="997" t="n">
        <v>290.5</v>
      </c>
      <c r="AV40" s="996" t="n">
        <v>305</v>
      </c>
      <c r="AW40" s="997" t="n">
        <v>213.5</v>
      </c>
      <c r="AX40" s="996" t="n">
        <v>840</v>
      </c>
      <c r="AY40" s="997" t="n">
        <v>588</v>
      </c>
      <c r="AZ40" s="996" t="n">
        <v>446</v>
      </c>
      <c r="BA40" s="997" t="n">
        <v>312.2</v>
      </c>
      <c r="BB40" s="996" t="n">
        <v>180</v>
      </c>
      <c r="BC40" s="997" t="n">
        <v>126</v>
      </c>
      <c r="BD40" s="996" t="n">
        <v>1272</v>
      </c>
      <c r="BE40" s="997" t="n">
        <v>890.4</v>
      </c>
      <c r="BF40" s="998" t="n">
        <v>561.6666666666666</v>
      </c>
      <c r="BG40" s="999" t="n">
        <v>393.1666666666666</v>
      </c>
      <c r="BH40" s="996" t="n">
        <v>372</v>
      </c>
      <c r="BI40" s="997" t="n">
        <v>260.4</v>
      </c>
      <c r="BJ40" s="996" t="n">
        <v>1045</v>
      </c>
      <c r="BK40" s="997" t="n">
        <v>731.5</v>
      </c>
      <c r="BL40" s="996" t="n">
        <v>2335</v>
      </c>
      <c r="BM40" s="997" t="n">
        <v>1634.5</v>
      </c>
      <c r="BN40" s="996" t="n">
        <v>252</v>
      </c>
      <c r="BO40" s="997" t="n">
        <v>176.4</v>
      </c>
      <c r="BP40" s="996" t="n">
        <v>870</v>
      </c>
      <c r="BQ40" s="997" t="n">
        <v>609</v>
      </c>
      <c r="BR40" s="1000" t="n">
        <v>974.8</v>
      </c>
      <c r="BS40" s="997" t="n">
        <v>682.36</v>
      </c>
      <c r="BT40" s="996" t="n">
        <v>448</v>
      </c>
      <c r="BU40" s="997" t="n">
        <v>313.6</v>
      </c>
      <c r="BV40" s="996" t="n">
        <v>2144</v>
      </c>
      <c r="BW40" s="997" t="n">
        <v>1500.8</v>
      </c>
      <c r="BX40" s="996" t="n">
        <v>1209</v>
      </c>
      <c r="BY40" s="997" t="n">
        <v>846.3</v>
      </c>
      <c r="BZ40" s="996" t="n">
        <v>324</v>
      </c>
      <c r="CA40" s="997" t="n">
        <v>226.8</v>
      </c>
      <c r="CB40" s="996" t="n">
        <v>772</v>
      </c>
      <c r="CC40" s="997" t="n">
        <v>540.4</v>
      </c>
      <c r="CD40" s="996" t="n">
        <v>948</v>
      </c>
      <c r="CE40" s="997" t="n">
        <v>663.5999999999999</v>
      </c>
      <c r="CF40" s="996" t="n">
        <v>12</v>
      </c>
      <c r="CG40" s="997" t="n">
        <v>8.399999999999999</v>
      </c>
      <c r="CH40" s="998" t="n">
        <v>894.25</v>
      </c>
      <c r="CI40" s="999" t="n">
        <v>625.9749999999999</v>
      </c>
      <c r="CJ40" s="1089" t="n">
        <v>894</v>
      </c>
      <c r="CK40" s="997" t="n">
        <v>625.8</v>
      </c>
      <c r="CL40" s="1102" t="n">
        <v>121</v>
      </c>
      <c r="CM40" s="997" t="n">
        <v>84.69999999999999</v>
      </c>
      <c r="CN40" s="1002" t="n">
        <v>141</v>
      </c>
      <c r="CO40" s="95" t="n">
        <v>98.69999999999999</v>
      </c>
      <c r="CP40" s="1002" t="n">
        <v>234</v>
      </c>
      <c r="CQ40" s="95" t="n">
        <v>163.8</v>
      </c>
      <c r="CR40" s="1002" t="n">
        <v>51</v>
      </c>
      <c r="CS40" s="95" t="n">
        <v>35.7</v>
      </c>
      <c r="CT40" s="1002" t="n">
        <v>540</v>
      </c>
      <c r="CU40" s="95" t="n">
        <v>378</v>
      </c>
      <c r="CV40" s="1002" t="n"/>
      <c r="CW40" s="95" t="n">
        <v>0</v>
      </c>
      <c r="CX40" s="1002" t="n"/>
      <c r="CY40" s="95" t="n">
        <v>0</v>
      </c>
      <c r="CZ40" s="1002" t="n"/>
      <c r="DA40" s="95" t="n">
        <v>0</v>
      </c>
      <c r="DB40" s="1002" t="n"/>
      <c r="DC40" s="95" t="n">
        <v>0</v>
      </c>
      <c r="DD40" s="1002" t="n"/>
      <c r="DE40" s="95" t="n">
        <v>0</v>
      </c>
      <c r="DF40" s="1002" t="n"/>
      <c r="DG40" s="95" t="n">
        <v>0</v>
      </c>
      <c r="DH40" s="1002" t="n"/>
      <c r="DI40" s="95" t="n">
        <v>0</v>
      </c>
      <c r="DJ40" s="95" t="n">
        <v>0.1110464477235243</v>
      </c>
      <c r="DK40" s="95" t="n"/>
      <c r="DL40" s="1003" t="n">
        <v>1087</v>
      </c>
      <c r="DM40" s="1001" t="n">
        <v>760.8999999999999</v>
      </c>
      <c r="DN40" s="1090" t="n">
        <v>217.4</v>
      </c>
      <c r="DO40" s="1090" t="n">
        <v>152.18</v>
      </c>
      <c r="DP40" s="97" t="n">
        <v>0.02579493574593039</v>
      </c>
      <c r="DQ40" s="98" t="n">
        <v>-0.08525151197759391</v>
      </c>
      <c r="DR40" s="1091" t="n">
        <v>-77.69798933114485</v>
      </c>
      <c r="DS40" s="1091" t="n">
        <v>-75.68912496505452</v>
      </c>
      <c r="DT40" s="100" t="n">
        <v>-473.795</v>
      </c>
      <c r="DU40" s="100" t="n">
        <v>-530.1800000000001</v>
      </c>
      <c r="DV40" s="100" t="n">
        <v>-33.84249999999999</v>
      </c>
      <c r="DW40" s="100" t="n">
        <v>-37.87</v>
      </c>
      <c r="DX40" s="100" t="n">
        <v>-189.35</v>
      </c>
    </row>
    <row r="41" ht="20.4" customHeight="1" thickBot="1">
      <c r="A41" s="73" t="n">
        <v>92</v>
      </c>
      <c r="B41" s="74" t="inlineStr">
        <is>
          <t>Formula Rum 350ml</t>
        </is>
      </c>
      <c r="C41" s="74" t="inlineStr">
        <is>
          <t>ပုလင်း</t>
        </is>
      </c>
      <c r="D41" s="73" t="n">
        <v>27</v>
      </c>
      <c r="E41" s="73" t="n">
        <v>0.35</v>
      </c>
      <c r="F41" s="73" t="inlineStr">
        <is>
          <t>1 * 24</t>
        </is>
      </c>
      <c r="G41" s="73" t="n">
        <v>2100</v>
      </c>
      <c r="H41" s="1075" t="n"/>
      <c r="I41" s="1076" t="n">
        <v>0</v>
      </c>
      <c r="J41" s="1075" t="n"/>
      <c r="K41" s="1076" t="n">
        <v>0</v>
      </c>
      <c r="L41" s="1075" t="n"/>
      <c r="M41" s="1076" t="n">
        <v>0</v>
      </c>
      <c r="N41" s="1075" t="n"/>
      <c r="O41" s="1076" t="n">
        <v>0</v>
      </c>
      <c r="P41" s="1075" t="n"/>
      <c r="Q41" s="1076" t="n">
        <v>0</v>
      </c>
      <c r="R41" s="1075" t="n"/>
      <c r="S41" s="1076" t="n">
        <v>0</v>
      </c>
      <c r="T41" s="1075" t="n"/>
      <c r="U41" s="1076" t="n">
        <v>0</v>
      </c>
      <c r="V41" s="1075" t="n">
        <v>372</v>
      </c>
      <c r="W41" s="1076" t="n">
        <v>130.2</v>
      </c>
      <c r="X41" s="1075" t="n"/>
      <c r="Y41" s="1076" t="n">
        <v>0</v>
      </c>
      <c r="Z41" s="1075" t="n">
        <v>1379</v>
      </c>
      <c r="AA41" s="1076" t="n">
        <v>482.65</v>
      </c>
      <c r="AB41" s="1075" t="n">
        <v>476</v>
      </c>
      <c r="AC41" s="1076" t="n">
        <v>166.6</v>
      </c>
      <c r="AD41" s="1075" t="n">
        <v>427</v>
      </c>
      <c r="AE41" s="1076" t="n">
        <v>149.45</v>
      </c>
      <c r="AF41" s="1077" t="n">
        <v>221.1666666666667</v>
      </c>
      <c r="AG41" s="1078" t="n">
        <v>77.40833333333333</v>
      </c>
      <c r="AH41" s="1075" t="n">
        <v>339</v>
      </c>
      <c r="AI41" s="1076" t="n">
        <v>118.65</v>
      </c>
      <c r="AJ41" s="1075" t="n">
        <v>98</v>
      </c>
      <c r="AK41" s="1076" t="n">
        <v>34.3</v>
      </c>
      <c r="AL41" s="1075" t="n">
        <v>185</v>
      </c>
      <c r="AM41" s="1076" t="n">
        <v>64.75</v>
      </c>
      <c r="AN41" s="1075" t="n">
        <v>65</v>
      </c>
      <c r="AO41" s="1076" t="n">
        <v>22.75</v>
      </c>
      <c r="AP41" s="1075" t="n">
        <v>67</v>
      </c>
      <c r="AQ41" s="1076" t="n">
        <v>23.45</v>
      </c>
      <c r="AR41" s="1075" t="n">
        <v>34</v>
      </c>
      <c r="AS41" s="1076" t="n">
        <v>11.9</v>
      </c>
      <c r="AT41" s="1075" t="n">
        <v>39</v>
      </c>
      <c r="AU41" s="1076" t="n">
        <v>13.65</v>
      </c>
      <c r="AV41" s="1075" t="n">
        <v>30</v>
      </c>
      <c r="AW41" s="1076" t="n">
        <v>10.5</v>
      </c>
      <c r="AX41" s="1075" t="n">
        <v>195</v>
      </c>
      <c r="AY41" s="1076" t="n">
        <v>68.25</v>
      </c>
      <c r="AZ41" s="1075" t="n">
        <v>30</v>
      </c>
      <c r="BA41" s="1076" t="n">
        <v>10.5</v>
      </c>
      <c r="BB41" s="1075" t="n">
        <v>60</v>
      </c>
      <c r="BC41" s="1076" t="n">
        <v>21</v>
      </c>
      <c r="BD41" s="1075" t="n">
        <v>342</v>
      </c>
      <c r="BE41" s="1076" t="n">
        <v>119.7</v>
      </c>
      <c r="BF41" s="1077" t="n">
        <v>123.6666666666667</v>
      </c>
      <c r="BG41" s="1078" t="n">
        <v>43.28333333333333</v>
      </c>
      <c r="BH41" s="1075" t="n">
        <v>24</v>
      </c>
      <c r="BI41" s="1076" t="n">
        <v>8.399999999999999</v>
      </c>
      <c r="BJ41" s="1075" t="n">
        <v>234</v>
      </c>
      <c r="BK41" s="1076" t="n">
        <v>81.89999999999999</v>
      </c>
      <c r="BL41" s="1075" t="n">
        <v>474</v>
      </c>
      <c r="BM41" s="1076" t="n">
        <v>165.9</v>
      </c>
      <c r="BN41" s="1075" t="n">
        <v>412</v>
      </c>
      <c r="BO41" s="1076" t="n">
        <v>144.2</v>
      </c>
      <c r="BP41" s="1075" t="n">
        <v>510</v>
      </c>
      <c r="BQ41" s="1076" t="n">
        <v>178.5</v>
      </c>
      <c r="BR41" s="1079" t="n">
        <v>330.8</v>
      </c>
      <c r="BS41" s="1076" t="n">
        <v>115.78</v>
      </c>
      <c r="BT41" s="1075" t="n">
        <v>399</v>
      </c>
      <c r="BU41" s="1076" t="n">
        <v>139.65</v>
      </c>
      <c r="BV41" s="1075" t="n">
        <v>1270</v>
      </c>
      <c r="BW41" s="1076" t="n">
        <v>444.5</v>
      </c>
      <c r="BX41" s="1075" t="n">
        <v>966</v>
      </c>
      <c r="BY41" s="1076" t="n">
        <v>338.1</v>
      </c>
      <c r="BZ41" s="1075" t="n">
        <v>330</v>
      </c>
      <c r="CA41" s="1076" t="n">
        <v>115.5</v>
      </c>
      <c r="CB41" s="1075" t="n">
        <v>899</v>
      </c>
      <c r="CC41" s="1076" t="n">
        <v>314.65</v>
      </c>
      <c r="CD41" s="1075" t="n">
        <v>810</v>
      </c>
      <c r="CE41" s="1076" t="n">
        <v>283.5</v>
      </c>
      <c r="CF41" s="1075" t="n">
        <v>12</v>
      </c>
      <c r="CG41" s="1076" t="n">
        <v>4.199999999999999</v>
      </c>
      <c r="CH41" s="1077" t="n">
        <v>528.3333333333334</v>
      </c>
      <c r="CI41" s="1078" t="n">
        <v>184.9166666666667</v>
      </c>
      <c r="CJ41" s="1080" t="n">
        <v>528</v>
      </c>
      <c r="CK41" s="1076" t="n">
        <v>184.8</v>
      </c>
      <c r="CL41" s="1103" t="n">
        <v>26</v>
      </c>
      <c r="CM41" s="1076" t="n">
        <v>9.1</v>
      </c>
      <c r="CN41" s="1082" t="n">
        <v>90</v>
      </c>
      <c r="CO41" s="83" t="n">
        <v>31.5</v>
      </c>
      <c r="CP41" s="1082" t="n">
        <v>264</v>
      </c>
      <c r="CQ41" s="83" t="n">
        <v>92.39999999999999</v>
      </c>
      <c r="CR41" s="1082" t="n">
        <v>481</v>
      </c>
      <c r="CS41" s="83" t="n">
        <v>168.35</v>
      </c>
      <c r="CT41" s="1082" t="n">
        <v>331</v>
      </c>
      <c r="CU41" s="83" t="n">
        <v>115.85</v>
      </c>
      <c r="CV41" s="1082" t="n"/>
      <c r="CW41" s="83" t="n">
        <v>0</v>
      </c>
      <c r="CX41" s="1082" t="n"/>
      <c r="CY41" s="83" t="n">
        <v>0</v>
      </c>
      <c r="CZ41" s="1082" t="n"/>
      <c r="DA41" s="83" t="n">
        <v>0</v>
      </c>
      <c r="DB41" s="1082" t="n"/>
      <c r="DC41" s="83" t="n">
        <v>0</v>
      </c>
      <c r="DD41" s="1082" t="n"/>
      <c r="DE41" s="83" t="n">
        <v>0</v>
      </c>
      <c r="DF41" s="1082" t="n"/>
      <c r="DG41" s="83" t="n">
        <v>0</v>
      </c>
      <c r="DH41" s="1082" t="n"/>
      <c r="DI41" s="83" t="n">
        <v>0</v>
      </c>
      <c r="DJ41" s="83" t="n">
        <v>0.03280376845434461</v>
      </c>
      <c r="DK41" s="83" t="n">
        <v>0.14</v>
      </c>
      <c r="DL41" s="1083" t="n">
        <v>1192</v>
      </c>
      <c r="DM41" s="1084" t="n">
        <v>417.2</v>
      </c>
      <c r="DN41" s="1085" t="n">
        <v>238.4</v>
      </c>
      <c r="DO41" s="1085" t="n">
        <v>83.44000000000001</v>
      </c>
      <c r="DP41" s="87" t="n">
        <v>0.01414331343567113</v>
      </c>
      <c r="DQ41" s="88" t="n">
        <v>-0.01866045501867349</v>
      </c>
      <c r="DR41" s="1005" t="n">
        <v>-27.93228536880288</v>
      </c>
      <c r="DS41" s="1005" t="n">
        <v>-54.8769716088328</v>
      </c>
      <c r="DT41" s="90" t="n">
        <v>-101.4766666666666</v>
      </c>
      <c r="DU41" s="90" t="n">
        <v>-32.33999999999996</v>
      </c>
      <c r="DV41" s="90" t="n">
        <v>-7.248333333333332</v>
      </c>
      <c r="DW41" s="90" t="n">
        <v>-2.309999999999997</v>
      </c>
      <c r="DX41" s="90" t="n">
        <v>-11.54999999999999</v>
      </c>
    </row>
    <row r="42" ht="20.4" customFormat="1" customHeight="1" s="125" thickBot="1">
      <c r="A42" s="119" t="n"/>
      <c r="B42" s="120" t="n"/>
      <c r="C42" s="120" t="n"/>
      <c r="D42" s="121" t="n"/>
      <c r="E42" s="121" t="n"/>
      <c r="F42" s="121" t="n"/>
      <c r="G42" s="121" t="n"/>
      <c r="H42" s="1086" t="n"/>
      <c r="I42" s="1087" t="n"/>
      <c r="J42" s="1086" t="n"/>
      <c r="K42" s="1087" t="n"/>
      <c r="L42" s="1086" t="n"/>
      <c r="M42" s="1087" t="n"/>
      <c r="N42" s="1086" t="n"/>
      <c r="O42" s="1087" t="n"/>
      <c r="P42" s="1086" t="n"/>
      <c r="Q42" s="1087" t="n"/>
      <c r="R42" s="1086" t="n"/>
      <c r="S42" s="1087" t="n"/>
      <c r="T42" s="1086" t="n"/>
      <c r="U42" s="1087" t="n"/>
      <c r="V42" s="1086" t="n"/>
      <c r="W42" s="1087" t="n"/>
      <c r="X42" s="1086" t="n"/>
      <c r="Y42" s="1087" t="n"/>
      <c r="Z42" s="1086" t="n"/>
      <c r="AA42" s="1087" t="n"/>
      <c r="AB42" s="1086" t="n"/>
      <c r="AC42" s="1087" t="n"/>
      <c r="AD42" s="1086" t="n"/>
      <c r="AE42" s="1087" t="n"/>
      <c r="AF42" s="1086" t="n"/>
      <c r="AG42" s="1087" t="n"/>
      <c r="AH42" s="1086" t="n"/>
      <c r="AI42" s="1087" t="n"/>
      <c r="AJ42" s="1086" t="n"/>
      <c r="AK42" s="1087" t="n"/>
      <c r="AL42" s="1086" t="n"/>
      <c r="AM42" s="1087" t="n"/>
      <c r="AN42" s="1086" t="n"/>
      <c r="AO42" s="1087" t="n"/>
      <c r="AP42" s="1086" t="n"/>
      <c r="AQ42" s="1087" t="n"/>
      <c r="AR42" s="1086" t="n"/>
      <c r="AS42" s="1087" t="n"/>
      <c r="AT42" s="1086" t="n"/>
      <c r="AU42" s="1087" t="n"/>
      <c r="AV42" s="1086" t="n"/>
      <c r="AW42" s="1087" t="n"/>
      <c r="AX42" s="1086" t="n"/>
      <c r="AY42" s="1087" t="n"/>
      <c r="AZ42" s="1086" t="n"/>
      <c r="BA42" s="1087" t="n"/>
      <c r="BB42" s="1086" t="n"/>
      <c r="BC42" s="1087" t="n"/>
      <c r="BD42" s="1086" t="n"/>
      <c r="BE42" s="1087" t="n"/>
      <c r="BF42" s="1086" t="n"/>
      <c r="BG42" s="1087" t="n"/>
      <c r="BH42" s="1086" t="n"/>
      <c r="BI42" s="1087" t="n"/>
      <c r="BJ42" s="1086" t="n"/>
      <c r="BK42" s="1087" t="n"/>
      <c r="BL42" s="1086" t="n"/>
      <c r="BM42" s="1087" t="n"/>
      <c r="BN42" s="1086" t="n"/>
      <c r="BO42" s="1087" t="n"/>
      <c r="BP42" s="1086" t="n"/>
      <c r="BQ42" s="1087" t="n"/>
      <c r="BR42" s="1088">
        <f>BR40+BR41</f>
        <v/>
      </c>
      <c r="BS42" s="1088">
        <f>BS40+BS41</f>
        <v/>
      </c>
      <c r="BT42" s="1088">
        <f>BT40+BT41</f>
        <v/>
      </c>
      <c r="BU42" s="1088">
        <f>BU40+BU41</f>
        <v/>
      </c>
      <c r="BV42" s="1088">
        <f>BV40+BV41</f>
        <v/>
      </c>
      <c r="BW42" s="1088">
        <f>BW40+BW41</f>
        <v/>
      </c>
      <c r="BX42" s="1088">
        <f>BX40+BX41</f>
        <v/>
      </c>
      <c r="BY42" s="1088">
        <f>BY40+BY41</f>
        <v/>
      </c>
      <c r="BZ42" s="1088">
        <f>BZ40+BZ41</f>
        <v/>
      </c>
      <c r="CA42" s="1088">
        <f>CA40+CA41</f>
        <v/>
      </c>
      <c r="CB42" s="1088">
        <f>CB40+CB41</f>
        <v/>
      </c>
      <c r="CC42" s="1088">
        <f>CC40+CC41</f>
        <v/>
      </c>
      <c r="CD42" s="1088">
        <f>CD40+CD41</f>
        <v/>
      </c>
      <c r="CE42" s="1088">
        <f>CE40+CE41</f>
        <v/>
      </c>
      <c r="CF42" s="1088">
        <f>CF40+CF41</f>
        <v/>
      </c>
      <c r="CG42" s="1088">
        <f>CG40+CG41</f>
        <v/>
      </c>
      <c r="CH42" s="1088">
        <f>CH40+CH41</f>
        <v/>
      </c>
      <c r="CI42" s="1088">
        <f>CI40+CI41</f>
        <v/>
      </c>
      <c r="CJ42" s="1088">
        <f>CJ40+CJ41</f>
        <v/>
      </c>
      <c r="CK42" s="1088">
        <f>CK40+CK41</f>
        <v/>
      </c>
      <c r="CL42" s="1088">
        <f>CL40+CL41</f>
        <v/>
      </c>
      <c r="CM42" s="1088">
        <f>CM40+CM41</f>
        <v/>
      </c>
      <c r="CN42" s="1088">
        <f>CN40+CN41</f>
        <v/>
      </c>
      <c r="CO42" s="1088">
        <f>CO40+CO41</f>
        <v/>
      </c>
      <c r="CP42" s="1088">
        <f>CP40+CP41</f>
        <v/>
      </c>
      <c r="CQ42" s="1088">
        <f>CQ40+CQ41</f>
        <v/>
      </c>
      <c r="CR42" s="1088">
        <f>CR40+CR41</f>
        <v/>
      </c>
      <c r="CS42" s="1088">
        <f>CS40+CS41</f>
        <v/>
      </c>
      <c r="CT42" s="1088">
        <f>CT40+CT41</f>
        <v/>
      </c>
      <c r="CU42" s="1088">
        <f>CU40+CU41</f>
        <v/>
      </c>
      <c r="CV42" s="1088">
        <f>CV40+CV41</f>
        <v/>
      </c>
      <c r="CW42" s="1088">
        <f>CW40+CW41</f>
        <v/>
      </c>
      <c r="CX42" s="1088">
        <f>CX40+CX41</f>
        <v/>
      </c>
      <c r="CY42" s="1088">
        <f>CY40+CY41</f>
        <v/>
      </c>
      <c r="CZ42" s="1088">
        <f>CZ40+CZ41</f>
        <v/>
      </c>
      <c r="DA42" s="1088">
        <f>DA40+DA41</f>
        <v/>
      </c>
      <c r="DB42" s="1088">
        <f>DB40+DB41</f>
        <v/>
      </c>
      <c r="DC42" s="1088">
        <f>DC40+DC41</f>
        <v/>
      </c>
      <c r="DD42" s="1088">
        <f>DD40+DD41</f>
        <v/>
      </c>
      <c r="DE42" s="1088">
        <f>DE40+DE41</f>
        <v/>
      </c>
      <c r="DF42" s="1088">
        <f>DF40+DF41</f>
        <v/>
      </c>
      <c r="DG42" s="1088">
        <f>DG40+DG41</f>
        <v/>
      </c>
      <c r="DH42" s="1088">
        <f>DH40+DH41</f>
        <v/>
      </c>
      <c r="DI42" s="1088">
        <f>DI40+DI41</f>
        <v/>
      </c>
      <c r="DJ42" s="214">
        <f>DJ40+DJ41</f>
        <v/>
      </c>
      <c r="DK42" s="214">
        <f>DK40+DK41</f>
        <v/>
      </c>
      <c r="DL42" s="1088">
        <f>DL40+DL41</f>
        <v/>
      </c>
      <c r="DM42" s="1088">
        <f>DM40+DM41</f>
        <v/>
      </c>
      <c r="DN42" s="1088">
        <f>DN40+DN41</f>
        <v/>
      </c>
      <c r="DO42" s="1088">
        <f>DO40+DO41</f>
        <v/>
      </c>
      <c r="DP42" s="214">
        <f>DP40+DP41</f>
        <v/>
      </c>
      <c r="DQ42" s="214">
        <f>DQ40+DQ41</f>
        <v/>
      </c>
      <c r="DR42" s="1088">
        <f>DR40+DR41</f>
        <v/>
      </c>
      <c r="DS42" s="1088">
        <f>DS40+DS41</f>
        <v/>
      </c>
      <c r="DT42" s="1088">
        <f>DT40+DT41</f>
        <v/>
      </c>
      <c r="DU42" s="1088">
        <f>DU40+DU41</f>
        <v/>
      </c>
      <c r="DV42" s="1088">
        <f>DV40+DV41</f>
        <v/>
      </c>
      <c r="DW42" s="1088">
        <f>DW40+DW41</f>
        <v/>
      </c>
      <c r="DX42" s="215">
        <f>DX40+DX41</f>
        <v/>
      </c>
    </row>
    <row r="43" ht="20.4" customHeight="1" thickBot="1">
      <c r="A43" s="101" t="n">
        <v>98</v>
      </c>
      <c r="B43" s="102" t="inlineStr">
        <is>
          <t xml:space="preserve">White Orange </t>
        </is>
      </c>
      <c r="C43" s="102" t="inlineStr">
        <is>
          <t>ပုလင်း</t>
        </is>
      </c>
      <c r="D43" s="101" t="n">
        <v>1</v>
      </c>
      <c r="E43" s="101" t="n">
        <v>0.64</v>
      </c>
      <c r="F43" s="101" t="inlineStr">
        <is>
          <t>1 * 24</t>
        </is>
      </c>
      <c r="G43" s="101" t="n">
        <v>1230</v>
      </c>
      <c r="H43" s="1092" t="n">
        <v>201961</v>
      </c>
      <c r="I43" s="1093" t="n">
        <v>129255.04</v>
      </c>
      <c r="J43" s="1092" t="n">
        <v>171588</v>
      </c>
      <c r="K43" s="1093" t="n">
        <v>109816.32</v>
      </c>
      <c r="L43" s="1092" t="n">
        <v>193632</v>
      </c>
      <c r="M43" s="1093" t="n">
        <v>123924.48</v>
      </c>
      <c r="N43" s="1092" t="n">
        <v>167880</v>
      </c>
      <c r="O43" s="1093" t="n">
        <v>107443.2</v>
      </c>
      <c r="P43" s="1092" t="n">
        <v>178684</v>
      </c>
      <c r="Q43" s="1093" t="n">
        <v>114357.76</v>
      </c>
      <c r="R43" s="1092" t="n">
        <v>175704</v>
      </c>
      <c r="S43" s="1093" t="n">
        <v>112450.56</v>
      </c>
      <c r="T43" s="1092" t="n">
        <v>171550</v>
      </c>
      <c r="U43" s="1093" t="n">
        <v>109792</v>
      </c>
      <c r="V43" s="1092" t="n">
        <v>188352</v>
      </c>
      <c r="W43" s="1093" t="n">
        <v>120545.28</v>
      </c>
      <c r="X43" s="1092" t="n">
        <v>185043</v>
      </c>
      <c r="Y43" s="1093" t="n">
        <v>118427.52</v>
      </c>
      <c r="Z43" s="1092" t="n">
        <v>197568</v>
      </c>
      <c r="AA43" s="1093" t="n">
        <v>126443.52</v>
      </c>
      <c r="AB43" s="1092" t="n">
        <v>212496</v>
      </c>
      <c r="AC43" s="1093" t="n">
        <v>135997.44</v>
      </c>
      <c r="AD43" s="1092" t="n">
        <v>210283</v>
      </c>
      <c r="AE43" s="1093" t="n">
        <v>134581.12</v>
      </c>
      <c r="AF43" s="1094" t="n">
        <v>187895.0833333333</v>
      </c>
      <c r="AG43" s="1095" t="n">
        <v>120252.8533333333</v>
      </c>
      <c r="AH43" s="1092" t="n">
        <v>186336</v>
      </c>
      <c r="AI43" s="1093" t="n">
        <v>119255.04</v>
      </c>
      <c r="AJ43" s="1092" t="n">
        <v>172130</v>
      </c>
      <c r="AK43" s="1093" t="n">
        <v>110163.2</v>
      </c>
      <c r="AL43" s="1092" t="n">
        <v>170904</v>
      </c>
      <c r="AM43" s="1093" t="n">
        <v>109378.56</v>
      </c>
      <c r="AN43" s="1092" t="n">
        <v>168240</v>
      </c>
      <c r="AO43" s="1093" t="n">
        <v>107673.6</v>
      </c>
      <c r="AP43" s="1092" t="n">
        <v>135120</v>
      </c>
      <c r="AQ43" s="1093" t="n">
        <v>86476.8</v>
      </c>
      <c r="AR43" s="1092" t="n">
        <v>178344</v>
      </c>
      <c r="AS43" s="1093" t="n">
        <v>114140.16</v>
      </c>
      <c r="AT43" s="1092" t="n">
        <v>180288</v>
      </c>
      <c r="AU43" s="1093" t="n">
        <v>115384.32</v>
      </c>
      <c r="AV43" s="1092" t="n">
        <v>190538</v>
      </c>
      <c r="AW43" s="1093" t="n">
        <v>121944.32</v>
      </c>
      <c r="AX43" s="1092" t="n">
        <v>179088</v>
      </c>
      <c r="AY43" s="1093" t="n">
        <v>114616.32</v>
      </c>
      <c r="AZ43" s="1092" t="n">
        <v>213576</v>
      </c>
      <c r="BA43" s="1093" t="n">
        <v>136688.64</v>
      </c>
      <c r="BB43" s="1092" t="n">
        <v>201456</v>
      </c>
      <c r="BC43" s="1093" t="n">
        <v>128931.84</v>
      </c>
      <c r="BD43" s="1092" t="n">
        <v>221976</v>
      </c>
      <c r="BE43" s="1093" t="n">
        <v>142064.64</v>
      </c>
      <c r="BF43" s="1094" t="n">
        <v>183166.3333333333</v>
      </c>
      <c r="BG43" s="1095" t="n">
        <v>117226.4533333333</v>
      </c>
      <c r="BH43" s="1092" t="n">
        <v>205104</v>
      </c>
      <c r="BI43" s="1093" t="n">
        <v>131266.56</v>
      </c>
      <c r="BJ43" s="1092" t="n">
        <v>188737</v>
      </c>
      <c r="BK43" s="1093" t="n">
        <v>120791.68</v>
      </c>
      <c r="BL43" s="1092" t="n">
        <v>178271</v>
      </c>
      <c r="BM43" s="1093" t="n">
        <v>114093.44</v>
      </c>
      <c r="BN43" s="1092" t="n">
        <v>172056</v>
      </c>
      <c r="BO43" s="1093" t="n">
        <v>110115.84</v>
      </c>
      <c r="BP43" s="1092" t="n">
        <v>191772</v>
      </c>
      <c r="BQ43" s="1093" t="n">
        <v>122734.08</v>
      </c>
      <c r="BR43" s="1096" t="n">
        <v>187188</v>
      </c>
      <c r="BS43" s="1093" t="n">
        <v>119800.32</v>
      </c>
      <c r="BT43" s="1092" t="n">
        <v>175896</v>
      </c>
      <c r="BU43" s="1093" t="n">
        <v>112573.44</v>
      </c>
      <c r="BV43" s="1092" t="n">
        <v>189492</v>
      </c>
      <c r="BW43" s="1093" t="n">
        <v>121274.88</v>
      </c>
      <c r="BX43" s="1092" t="n">
        <v>192528</v>
      </c>
      <c r="BY43" s="1093" t="n">
        <v>123217.92</v>
      </c>
      <c r="BZ43" s="1092" t="n">
        <v>203688</v>
      </c>
      <c r="CA43" s="1093" t="n">
        <v>130360.32</v>
      </c>
      <c r="CB43" s="1092" t="n">
        <v>209141</v>
      </c>
      <c r="CC43" s="1093" t="n">
        <v>133850.24</v>
      </c>
      <c r="CD43" s="1092" t="n">
        <v>227352</v>
      </c>
      <c r="CE43" s="1093" t="n">
        <v>145505.28</v>
      </c>
      <c r="CF43" s="1092" t="n">
        <v>225907</v>
      </c>
      <c r="CG43" s="1093" t="n">
        <v>144580.48</v>
      </c>
      <c r="CH43" s="1094" t="n">
        <v>196662</v>
      </c>
      <c r="CI43" s="1095" t="n">
        <v>125863.68</v>
      </c>
      <c r="CJ43" s="1097" t="n">
        <v>196662</v>
      </c>
      <c r="CK43" s="1093" t="n">
        <v>125863.68</v>
      </c>
      <c r="CL43" s="1098" t="n">
        <v>209448</v>
      </c>
      <c r="CM43" s="1093" t="n">
        <v>134046.72</v>
      </c>
      <c r="CN43" s="1098" t="n">
        <v>178916</v>
      </c>
      <c r="CO43" s="110" t="n">
        <v>114506.24</v>
      </c>
      <c r="CP43" s="1098" t="n">
        <v>223786</v>
      </c>
      <c r="CQ43" s="110" t="n">
        <v>143223.04</v>
      </c>
      <c r="CR43" s="1098" t="n">
        <v>178440</v>
      </c>
      <c r="CS43" s="110" t="n">
        <v>114201.6</v>
      </c>
      <c r="CT43" s="1098" t="n">
        <v>177984</v>
      </c>
      <c r="CU43" s="110" t="n">
        <v>113909.76</v>
      </c>
      <c r="CV43" s="1098" t="n"/>
      <c r="CW43" s="110" t="n">
        <v>0</v>
      </c>
      <c r="CX43" s="1098" t="n"/>
      <c r="CY43" s="110" t="n">
        <v>0</v>
      </c>
      <c r="CZ43" s="1098" t="n"/>
      <c r="DA43" s="110" t="n">
        <v>0</v>
      </c>
      <c r="DB43" s="1098" t="n"/>
      <c r="DC43" s="110" t="n">
        <v>0</v>
      </c>
      <c r="DD43" s="1098" t="n"/>
      <c r="DE43" s="110" t="n">
        <v>0</v>
      </c>
      <c r="DF43" s="1098" t="n"/>
      <c r="DG43" s="110" t="n">
        <v>0</v>
      </c>
      <c r="DH43" s="1098" t="n"/>
      <c r="DI43" s="110" t="n">
        <v>0</v>
      </c>
      <c r="DJ43" s="110" t="n">
        <v>22.3279117559174</v>
      </c>
      <c r="DK43" s="110" t="n">
        <v>22.33</v>
      </c>
      <c r="DL43" s="1099" t="n">
        <v>968574</v>
      </c>
      <c r="DM43" s="1100" t="n">
        <v>619887.36</v>
      </c>
      <c r="DN43" s="1101" t="n">
        <v>193714.8</v>
      </c>
      <c r="DO43" s="1101" t="n">
        <v>123977.472</v>
      </c>
      <c r="DP43" s="114" t="n">
        <v>21.0145283492107</v>
      </c>
      <c r="DQ43" s="115" t="n">
        <v>-1.313383406706702</v>
      </c>
      <c r="DR43" s="1004" t="n">
        <v>3.486761971921283</v>
      </c>
      <c r="DS43" s="1004" t="n">
        <v>-1.498611831467201</v>
      </c>
      <c r="DT43" s="117" t="n">
        <v>-1886.208000000013</v>
      </c>
      <c r="DU43" s="117" t="n">
        <v>4177.152000000002</v>
      </c>
      <c r="DV43" s="117" t="n">
        <v>-134.7291428571438</v>
      </c>
      <c r="DW43" s="117" t="n">
        <v>298.3680000000001</v>
      </c>
      <c r="DX43" s="117" t="n">
        <v>1491.840000000001</v>
      </c>
    </row>
    <row r="44" ht="20.4" customFormat="1" customHeight="1" s="125" thickBot="1">
      <c r="A44" s="119" t="n"/>
      <c r="B44" s="120" t="n"/>
      <c r="C44" s="120" t="n"/>
      <c r="D44" s="121" t="n"/>
      <c r="E44" s="121" t="n"/>
      <c r="F44" s="121" t="n"/>
      <c r="G44" s="121" t="n"/>
      <c r="H44" s="1086" t="n"/>
      <c r="I44" s="1087" t="n"/>
      <c r="J44" s="1086" t="n"/>
      <c r="K44" s="1087" t="n"/>
      <c r="L44" s="1086" t="n"/>
      <c r="M44" s="1087" t="n"/>
      <c r="N44" s="1086" t="n"/>
      <c r="O44" s="1087" t="n"/>
      <c r="P44" s="1086" t="n"/>
      <c r="Q44" s="1087" t="n"/>
      <c r="R44" s="1086" t="n"/>
      <c r="S44" s="1087" t="n"/>
      <c r="T44" s="1086" t="n"/>
      <c r="U44" s="1087" t="n"/>
      <c r="V44" s="1086" t="n"/>
      <c r="W44" s="1087" t="n"/>
      <c r="X44" s="1086" t="n"/>
      <c r="Y44" s="1087" t="n"/>
      <c r="Z44" s="1086" t="n"/>
      <c r="AA44" s="1087" t="n"/>
      <c r="AB44" s="1086" t="n"/>
      <c r="AC44" s="1087" t="n"/>
      <c r="AD44" s="1086" t="n"/>
      <c r="AE44" s="1087" t="n"/>
      <c r="AF44" s="1086" t="n"/>
      <c r="AG44" s="1087" t="n"/>
      <c r="AH44" s="1086" t="n"/>
      <c r="AI44" s="1087" t="n"/>
      <c r="AJ44" s="1086" t="n"/>
      <c r="AK44" s="1087" t="n"/>
      <c r="AL44" s="1086" t="n"/>
      <c r="AM44" s="1087" t="n"/>
      <c r="AN44" s="1086" t="n"/>
      <c r="AO44" s="1087" t="n"/>
      <c r="AP44" s="1086" t="n"/>
      <c r="AQ44" s="1087" t="n"/>
      <c r="AR44" s="1086" t="n"/>
      <c r="AS44" s="1087" t="n"/>
      <c r="AT44" s="1086" t="n"/>
      <c r="AU44" s="1087" t="n"/>
      <c r="AV44" s="1086" t="n"/>
      <c r="AW44" s="1087" t="n"/>
      <c r="AX44" s="1086" t="n"/>
      <c r="AY44" s="1087" t="n"/>
      <c r="AZ44" s="1086" t="n"/>
      <c r="BA44" s="1087" t="n"/>
      <c r="BB44" s="1086" t="n"/>
      <c r="BC44" s="1087" t="n"/>
      <c r="BD44" s="1086" t="n"/>
      <c r="BE44" s="1087" t="n"/>
      <c r="BF44" s="1086" t="n"/>
      <c r="BG44" s="1087" t="n"/>
      <c r="BH44" s="1086" t="n"/>
      <c r="BI44" s="1087" t="n"/>
      <c r="BJ44" s="1086" t="n"/>
      <c r="BK44" s="1087" t="n"/>
      <c r="BL44" s="1086" t="n"/>
      <c r="BM44" s="1087" t="n"/>
      <c r="BN44" s="1086" t="n"/>
      <c r="BO44" s="1087" t="n"/>
      <c r="BP44" s="1086" t="n"/>
      <c r="BQ44" s="1087" t="n"/>
      <c r="BR44" s="1088">
        <f>BR43</f>
        <v/>
      </c>
      <c r="BS44" s="1088">
        <f>BS43</f>
        <v/>
      </c>
      <c r="BT44" s="1088">
        <f>BT43</f>
        <v/>
      </c>
      <c r="BU44" s="1088">
        <f>BU43</f>
        <v/>
      </c>
      <c r="BV44" s="1088">
        <f>BV43</f>
        <v/>
      </c>
      <c r="BW44" s="1088">
        <f>BW43</f>
        <v/>
      </c>
      <c r="BX44" s="1088">
        <f>BX43</f>
        <v/>
      </c>
      <c r="BY44" s="1088">
        <f>BY43</f>
        <v/>
      </c>
      <c r="BZ44" s="1088">
        <f>BZ43</f>
        <v/>
      </c>
      <c r="CA44" s="1088">
        <f>CA43</f>
        <v/>
      </c>
      <c r="CB44" s="1088">
        <f>CB43</f>
        <v/>
      </c>
      <c r="CC44" s="1088">
        <f>CC43</f>
        <v/>
      </c>
      <c r="CD44" s="1088">
        <f>CD43</f>
        <v/>
      </c>
      <c r="CE44" s="1088">
        <f>CE43</f>
        <v/>
      </c>
      <c r="CF44" s="1088">
        <f>CF43</f>
        <v/>
      </c>
      <c r="CG44" s="1088">
        <f>CG43</f>
        <v/>
      </c>
      <c r="CH44" s="1088">
        <f>CH43</f>
        <v/>
      </c>
      <c r="CI44" s="1088">
        <f>CI43</f>
        <v/>
      </c>
      <c r="CJ44" s="1088">
        <f>CJ43</f>
        <v/>
      </c>
      <c r="CK44" s="1088">
        <f>CK43</f>
        <v/>
      </c>
      <c r="CL44" s="1088">
        <f>CL43</f>
        <v/>
      </c>
      <c r="CM44" s="1088">
        <f>CM43</f>
        <v/>
      </c>
      <c r="CN44" s="1088">
        <f>CN43</f>
        <v/>
      </c>
      <c r="CO44" s="1088">
        <f>CO43</f>
        <v/>
      </c>
      <c r="CP44" s="1088">
        <f>CP43</f>
        <v/>
      </c>
      <c r="CQ44" s="1088">
        <f>CQ43</f>
        <v/>
      </c>
      <c r="CR44" s="1088">
        <f>CR43</f>
        <v/>
      </c>
      <c r="CS44" s="1088">
        <f>CS43</f>
        <v/>
      </c>
      <c r="CT44" s="1088">
        <f>CT43</f>
        <v/>
      </c>
      <c r="CU44" s="1088">
        <f>CU43</f>
        <v/>
      </c>
      <c r="CV44" s="1088">
        <f>CV43</f>
        <v/>
      </c>
      <c r="CW44" s="1088">
        <f>CW43</f>
        <v/>
      </c>
      <c r="CX44" s="1088">
        <f>CX43</f>
        <v/>
      </c>
      <c r="CY44" s="1088">
        <f>CY43</f>
        <v/>
      </c>
      <c r="CZ44" s="1088">
        <f>CZ43</f>
        <v/>
      </c>
      <c r="DA44" s="1088">
        <f>DA43</f>
        <v/>
      </c>
      <c r="DB44" s="1088">
        <f>DB43</f>
        <v/>
      </c>
      <c r="DC44" s="1088">
        <f>DC43</f>
        <v/>
      </c>
      <c r="DD44" s="1088">
        <f>DD43</f>
        <v/>
      </c>
      <c r="DE44" s="1088">
        <f>DE43</f>
        <v/>
      </c>
      <c r="DF44" s="1088">
        <f>DF43</f>
        <v/>
      </c>
      <c r="DG44" s="1088">
        <f>DG43</f>
        <v/>
      </c>
      <c r="DH44" s="1088">
        <f>DH43</f>
        <v/>
      </c>
      <c r="DI44" s="1088">
        <f>DI43</f>
        <v/>
      </c>
      <c r="DJ44" s="214">
        <f>DJ43</f>
        <v/>
      </c>
      <c r="DK44" s="214">
        <f>DK43</f>
        <v/>
      </c>
      <c r="DL44" s="1088">
        <f>DL43</f>
        <v/>
      </c>
      <c r="DM44" s="1088">
        <f>DM43</f>
        <v/>
      </c>
      <c r="DN44" s="1088">
        <f>DN43</f>
        <v/>
      </c>
      <c r="DO44" s="1088">
        <f>DO43</f>
        <v/>
      </c>
      <c r="DP44" s="214">
        <f>DP43</f>
        <v/>
      </c>
      <c r="DQ44" s="214">
        <f>DQ43</f>
        <v/>
      </c>
      <c r="DR44" s="1088">
        <f>DR43</f>
        <v/>
      </c>
      <c r="DS44" s="1088">
        <f>DS43</f>
        <v/>
      </c>
      <c r="DT44" s="1088">
        <f>DT43</f>
        <v/>
      </c>
      <c r="DU44" s="1088">
        <f>DU43</f>
        <v/>
      </c>
      <c r="DV44" s="1088">
        <f>DV43</f>
        <v/>
      </c>
      <c r="DW44" s="1088">
        <f>DW43</f>
        <v/>
      </c>
      <c r="DX44" s="215">
        <f>DX43</f>
        <v/>
      </c>
    </row>
    <row r="45" ht="20.4" customHeight="1" thickBot="1">
      <c r="A45" s="101" t="n">
        <v>99</v>
      </c>
      <c r="B45" s="102" t="inlineStr">
        <is>
          <t xml:space="preserve">Dagon </t>
        </is>
      </c>
      <c r="C45" s="102" t="inlineStr">
        <is>
          <t>ပုလင်း</t>
        </is>
      </c>
      <c r="D45" s="101" t="n">
        <v>11</v>
      </c>
      <c r="E45" s="101" t="n">
        <v>0.64</v>
      </c>
      <c r="F45" s="101" t="inlineStr">
        <is>
          <t>1 * 14</t>
        </is>
      </c>
      <c r="G45" s="101" t="n">
        <v>1230</v>
      </c>
      <c r="H45" s="1092" t="n">
        <v>20902</v>
      </c>
      <c r="I45" s="1093" t="n">
        <v>13377.28</v>
      </c>
      <c r="J45" s="1092" t="n">
        <v>17052</v>
      </c>
      <c r="K45" s="1093" t="n">
        <v>10913.28</v>
      </c>
      <c r="L45" s="1092" t="n">
        <v>20062</v>
      </c>
      <c r="M45" s="1093" t="n">
        <v>12839.68</v>
      </c>
      <c r="N45" s="1092" t="n">
        <v>15960</v>
      </c>
      <c r="O45" s="1093" t="n">
        <v>10214.4</v>
      </c>
      <c r="P45" s="1092" t="n">
        <v>20048</v>
      </c>
      <c r="Q45" s="1093" t="n">
        <v>12830.72</v>
      </c>
      <c r="R45" s="1092" t="n">
        <v>16450</v>
      </c>
      <c r="S45" s="1093" t="n">
        <v>10528</v>
      </c>
      <c r="T45" s="1092" t="n">
        <v>17010</v>
      </c>
      <c r="U45" s="1093" t="n">
        <v>10886.4</v>
      </c>
      <c r="V45" s="1092" t="n">
        <v>15974</v>
      </c>
      <c r="W45" s="1093" t="n">
        <v>10223.36</v>
      </c>
      <c r="X45" s="1092" t="n">
        <v>13356</v>
      </c>
      <c r="Y45" s="1093" t="n">
        <v>8547.84</v>
      </c>
      <c r="Z45" s="1092" t="n">
        <v>19488</v>
      </c>
      <c r="AA45" s="1093" t="n">
        <v>12472.32</v>
      </c>
      <c r="AB45" s="1092" t="n">
        <v>11046</v>
      </c>
      <c r="AC45" s="1093" t="n">
        <v>7069.440000000001</v>
      </c>
      <c r="AD45" s="1092" t="n">
        <v>23226</v>
      </c>
      <c r="AE45" s="1093" t="n">
        <v>14864.64</v>
      </c>
      <c r="AF45" s="1094" t="n">
        <v>17547.83333333333</v>
      </c>
      <c r="AG45" s="1095" t="n">
        <v>11230.61333333333</v>
      </c>
      <c r="AH45" s="1092" t="n">
        <v>15862</v>
      </c>
      <c r="AI45" s="1093" t="n">
        <v>10151.68</v>
      </c>
      <c r="AJ45" s="1092" t="n">
        <v>16128</v>
      </c>
      <c r="AK45" s="1093" t="n">
        <v>10321.92</v>
      </c>
      <c r="AL45" s="1092" t="n">
        <v>15082</v>
      </c>
      <c r="AM45" s="1093" t="n">
        <v>9652.48</v>
      </c>
      <c r="AN45" s="1092" t="n">
        <v>17766</v>
      </c>
      <c r="AO45" s="1093" t="n">
        <v>11370.24</v>
      </c>
      <c r="AP45" s="1092" t="n">
        <v>11270</v>
      </c>
      <c r="AQ45" s="1093" t="n">
        <v>7212.8</v>
      </c>
      <c r="AR45" s="1092" t="n">
        <v>17654</v>
      </c>
      <c r="AS45" s="1093" t="n">
        <v>11298.56</v>
      </c>
      <c r="AT45" s="1092" t="n">
        <v>16464</v>
      </c>
      <c r="AU45" s="1093" t="n">
        <v>10536.96</v>
      </c>
      <c r="AV45" s="1092" t="n">
        <v>14602</v>
      </c>
      <c r="AW45" s="1093" t="n">
        <v>9345.280000000001</v>
      </c>
      <c r="AX45" s="1092" t="n">
        <v>16268</v>
      </c>
      <c r="AY45" s="1093" t="n">
        <v>10411.52</v>
      </c>
      <c r="AZ45" s="1092" t="n">
        <v>14196</v>
      </c>
      <c r="BA45" s="1093" t="n">
        <v>9085.440000000001</v>
      </c>
      <c r="BB45" s="1092" t="n">
        <v>11200</v>
      </c>
      <c r="BC45" s="1093" t="n">
        <v>7168</v>
      </c>
      <c r="BD45" s="1092" t="n">
        <v>25116</v>
      </c>
      <c r="BE45" s="1093" t="n">
        <v>16074.24</v>
      </c>
      <c r="BF45" s="1094" t="n">
        <v>15967.33333333333</v>
      </c>
      <c r="BG45" s="1095" t="n">
        <v>10219.09333333333</v>
      </c>
      <c r="BH45" s="1092" t="n">
        <v>18844</v>
      </c>
      <c r="BI45" s="1093" t="n">
        <v>12060.16</v>
      </c>
      <c r="BJ45" s="1092" t="n">
        <v>11788</v>
      </c>
      <c r="BK45" s="1093" t="n">
        <v>7544.32</v>
      </c>
      <c r="BL45" s="1092" t="n">
        <v>16646</v>
      </c>
      <c r="BM45" s="1093" t="n">
        <v>10653.44</v>
      </c>
      <c r="BN45" s="1092" t="n">
        <v>15669</v>
      </c>
      <c r="BO45" s="1093" t="n">
        <v>10028.16</v>
      </c>
      <c r="BP45" s="1092" t="n">
        <v>14661</v>
      </c>
      <c r="BQ45" s="1093" t="n">
        <v>9383.040000000001</v>
      </c>
      <c r="BR45" s="1096" t="n">
        <v>15521.6</v>
      </c>
      <c r="BS45" s="1093" t="n">
        <v>9933.824000000001</v>
      </c>
      <c r="BT45" s="1092" t="n">
        <v>16002</v>
      </c>
      <c r="BU45" s="1093" t="n">
        <v>10241.28</v>
      </c>
      <c r="BV45" s="1092" t="n">
        <v>18228</v>
      </c>
      <c r="BW45" s="1093" t="n">
        <v>11665.92</v>
      </c>
      <c r="BX45" s="1092" t="n">
        <v>16450</v>
      </c>
      <c r="BY45" s="1093" t="n">
        <v>10528</v>
      </c>
      <c r="BZ45" s="1092" t="n">
        <v>15610</v>
      </c>
      <c r="CA45" s="1093" t="n">
        <v>9990.4</v>
      </c>
      <c r="CB45" s="1092" t="n">
        <v>16590</v>
      </c>
      <c r="CC45" s="1093" t="n">
        <v>10617.6</v>
      </c>
      <c r="CD45" s="1092" t="n">
        <v>17080</v>
      </c>
      <c r="CE45" s="1093" t="n">
        <v>10931.2</v>
      </c>
      <c r="CF45" s="1092" t="n">
        <v>20748</v>
      </c>
      <c r="CG45" s="1093" t="n">
        <v>13278.72</v>
      </c>
      <c r="CH45" s="1094" t="n">
        <v>16526.33333333333</v>
      </c>
      <c r="CI45" s="1095" t="n">
        <v>10576.85333333333</v>
      </c>
      <c r="CJ45" s="1097" t="n">
        <v>16526</v>
      </c>
      <c r="CK45" s="1093" t="n">
        <v>10576.64</v>
      </c>
      <c r="CL45" s="1098" t="n">
        <v>16170</v>
      </c>
      <c r="CM45" s="1093" t="n">
        <v>10348.8</v>
      </c>
      <c r="CN45" s="1098" t="n">
        <v>16310</v>
      </c>
      <c r="CO45" s="110" t="n">
        <v>10438.4</v>
      </c>
      <c r="CP45" s="1098" t="n">
        <v>17892</v>
      </c>
      <c r="CQ45" s="110" t="n">
        <v>11450.88</v>
      </c>
      <c r="CR45" s="1098" t="n">
        <v>24304</v>
      </c>
      <c r="CS45" s="110" t="n">
        <v>15554.56</v>
      </c>
      <c r="CT45" s="1098" t="n">
        <v>12362</v>
      </c>
      <c r="CU45" s="110" t="n">
        <v>7911.68</v>
      </c>
      <c r="CV45" s="1098" t="n"/>
      <c r="CW45" s="110" t="n">
        <v>0</v>
      </c>
      <c r="CX45" s="1098" t="n"/>
      <c r="CY45" s="110" t="n">
        <v>0</v>
      </c>
      <c r="CZ45" s="1098" t="n"/>
      <c r="DA45" s="110" t="n">
        <v>0</v>
      </c>
      <c r="DB45" s="1098" t="n"/>
      <c r="DC45" s="110" t="n">
        <v>0</v>
      </c>
      <c r="DD45" s="1098" t="n"/>
      <c r="DE45" s="110" t="n">
        <v>0</v>
      </c>
      <c r="DF45" s="1098" t="n"/>
      <c r="DG45" s="110" t="n">
        <v>0</v>
      </c>
      <c r="DH45" s="1098" t="n"/>
      <c r="DI45" s="110" t="n">
        <v>0</v>
      </c>
      <c r="DJ45" s="110" t="n">
        <v>1.876308144509579</v>
      </c>
      <c r="DK45" s="110" t="n">
        <v>1.88</v>
      </c>
      <c r="DL45" s="1099" t="n">
        <v>87038</v>
      </c>
      <c r="DM45" s="1100" t="n">
        <v>55704.32</v>
      </c>
      <c r="DN45" s="1101" t="n">
        <v>17407.6</v>
      </c>
      <c r="DO45" s="1101" t="n">
        <v>11140.864</v>
      </c>
      <c r="DP45" s="114" t="n">
        <v>1.888407616205474</v>
      </c>
      <c r="DQ45" s="115" t="n">
        <v>0.01209947169589487</v>
      </c>
      <c r="DR45" s="1004" t="n">
        <v>12.15080919492834</v>
      </c>
      <c r="DS45" s="1004" t="n">
        <v>5.332499647027973</v>
      </c>
      <c r="DT45" s="117" t="n">
        <v>564.010666666667</v>
      </c>
      <c r="DU45" s="117" t="n">
        <v>1207.039999999999</v>
      </c>
      <c r="DV45" s="117" t="n">
        <v>40.28647619047621</v>
      </c>
      <c r="DW45" s="117" t="n">
        <v>86.21714285714279</v>
      </c>
      <c r="DX45" s="117" t="n">
        <v>431.0857142857139</v>
      </c>
    </row>
    <row r="46" ht="20.4" customFormat="1" customHeight="1" s="125" thickBot="1">
      <c r="A46" s="119" t="n"/>
      <c r="B46" s="120" t="n"/>
      <c r="C46" s="120" t="n"/>
      <c r="D46" s="121" t="n"/>
      <c r="E46" s="121" t="n"/>
      <c r="F46" s="121" t="n"/>
      <c r="G46" s="121" t="n"/>
      <c r="H46" s="1086" t="n"/>
      <c r="I46" s="1087" t="n"/>
      <c r="J46" s="1086" t="n"/>
      <c r="K46" s="1087" t="n"/>
      <c r="L46" s="1086" t="n"/>
      <c r="M46" s="1087" t="n"/>
      <c r="N46" s="1086" t="n"/>
      <c r="O46" s="1087" t="n"/>
      <c r="P46" s="1086" t="n"/>
      <c r="Q46" s="1087" t="n"/>
      <c r="R46" s="1086" t="n"/>
      <c r="S46" s="1087" t="n"/>
      <c r="T46" s="1086" t="n"/>
      <c r="U46" s="1087" t="n"/>
      <c r="V46" s="1086" t="n"/>
      <c r="W46" s="1087" t="n"/>
      <c r="X46" s="1086" t="n"/>
      <c r="Y46" s="1087" t="n"/>
      <c r="Z46" s="1086" t="n"/>
      <c r="AA46" s="1087" t="n"/>
      <c r="AB46" s="1086" t="n"/>
      <c r="AC46" s="1087" t="n"/>
      <c r="AD46" s="1086" t="n"/>
      <c r="AE46" s="1087" t="n"/>
      <c r="AF46" s="1086" t="n"/>
      <c r="AG46" s="1087" t="n"/>
      <c r="AH46" s="1086" t="n"/>
      <c r="AI46" s="1087" t="n"/>
      <c r="AJ46" s="1086" t="n"/>
      <c r="AK46" s="1087" t="n"/>
      <c r="AL46" s="1086" t="n"/>
      <c r="AM46" s="1087" t="n"/>
      <c r="AN46" s="1086" t="n"/>
      <c r="AO46" s="1087" t="n"/>
      <c r="AP46" s="1086" t="n"/>
      <c r="AQ46" s="1087" t="n"/>
      <c r="AR46" s="1086" t="n"/>
      <c r="AS46" s="1087" t="n"/>
      <c r="AT46" s="1086" t="n"/>
      <c r="AU46" s="1087" t="n"/>
      <c r="AV46" s="1086" t="n"/>
      <c r="AW46" s="1087" t="n"/>
      <c r="AX46" s="1086" t="n"/>
      <c r="AY46" s="1087" t="n"/>
      <c r="AZ46" s="1086" t="n"/>
      <c r="BA46" s="1087" t="n"/>
      <c r="BB46" s="1086" t="n"/>
      <c r="BC46" s="1087" t="n"/>
      <c r="BD46" s="1086" t="n"/>
      <c r="BE46" s="1087" t="n"/>
      <c r="BF46" s="1086" t="n"/>
      <c r="BG46" s="1087" t="n"/>
      <c r="BH46" s="1086" t="n"/>
      <c r="BI46" s="1087" t="n"/>
      <c r="BJ46" s="1086" t="n"/>
      <c r="BK46" s="1087" t="n"/>
      <c r="BL46" s="1086" t="n"/>
      <c r="BM46" s="1087" t="n"/>
      <c r="BN46" s="1086" t="n"/>
      <c r="BO46" s="1087" t="n"/>
      <c r="BP46" s="1086" t="n"/>
      <c r="BQ46" s="1087" t="n"/>
      <c r="BR46" s="1088">
        <f>BR45</f>
        <v/>
      </c>
      <c r="BS46" s="1088">
        <f>BS45</f>
        <v/>
      </c>
      <c r="BT46" s="1088">
        <f>BT45</f>
        <v/>
      </c>
      <c r="BU46" s="1088">
        <f>BU45</f>
        <v/>
      </c>
      <c r="BV46" s="1088">
        <f>BV45</f>
        <v/>
      </c>
      <c r="BW46" s="1088">
        <f>BW45</f>
        <v/>
      </c>
      <c r="BX46" s="1088">
        <f>BX45</f>
        <v/>
      </c>
      <c r="BY46" s="1088">
        <f>BY45</f>
        <v/>
      </c>
      <c r="BZ46" s="1088">
        <f>BZ45</f>
        <v/>
      </c>
      <c r="CA46" s="1088">
        <f>CA45</f>
        <v/>
      </c>
      <c r="CB46" s="1088">
        <f>CB45</f>
        <v/>
      </c>
      <c r="CC46" s="1088">
        <f>CC45</f>
        <v/>
      </c>
      <c r="CD46" s="1088">
        <f>CD45</f>
        <v/>
      </c>
      <c r="CE46" s="1088">
        <f>CE45</f>
        <v/>
      </c>
      <c r="CF46" s="1088">
        <f>CF45</f>
        <v/>
      </c>
      <c r="CG46" s="1088">
        <f>CG45</f>
        <v/>
      </c>
      <c r="CH46" s="1088">
        <f>CH45</f>
        <v/>
      </c>
      <c r="CI46" s="1088">
        <f>CI45</f>
        <v/>
      </c>
      <c r="CJ46" s="1088">
        <f>CJ45</f>
        <v/>
      </c>
      <c r="CK46" s="1088">
        <f>CK45</f>
        <v/>
      </c>
      <c r="CL46" s="1088">
        <f>CL45</f>
        <v/>
      </c>
      <c r="CM46" s="1088">
        <f>CM45</f>
        <v/>
      </c>
      <c r="CN46" s="1088">
        <f>CN45</f>
        <v/>
      </c>
      <c r="CO46" s="1088">
        <f>CO45</f>
        <v/>
      </c>
      <c r="CP46" s="1088">
        <f>CP45</f>
        <v/>
      </c>
      <c r="CQ46" s="1088">
        <f>CQ45</f>
        <v/>
      </c>
      <c r="CR46" s="1088">
        <f>CR45</f>
        <v/>
      </c>
      <c r="CS46" s="1088">
        <f>CS45</f>
        <v/>
      </c>
      <c r="CT46" s="1088">
        <f>CT45</f>
        <v/>
      </c>
      <c r="CU46" s="1088">
        <f>CU45</f>
        <v/>
      </c>
      <c r="CV46" s="1088">
        <f>CV45</f>
        <v/>
      </c>
      <c r="CW46" s="1088">
        <f>CW45</f>
        <v/>
      </c>
      <c r="CX46" s="1088">
        <f>CX45</f>
        <v/>
      </c>
      <c r="CY46" s="1088">
        <f>CY45</f>
        <v/>
      </c>
      <c r="CZ46" s="1088">
        <f>CZ45</f>
        <v/>
      </c>
      <c r="DA46" s="1088">
        <f>DA45</f>
        <v/>
      </c>
      <c r="DB46" s="1088">
        <f>DB45</f>
        <v/>
      </c>
      <c r="DC46" s="1088">
        <f>DC45</f>
        <v/>
      </c>
      <c r="DD46" s="1088">
        <f>DD45</f>
        <v/>
      </c>
      <c r="DE46" s="1088">
        <f>DE45</f>
        <v/>
      </c>
      <c r="DF46" s="1088">
        <f>DF45</f>
        <v/>
      </c>
      <c r="DG46" s="1088">
        <f>DG45</f>
        <v/>
      </c>
      <c r="DH46" s="1088">
        <f>DH45</f>
        <v/>
      </c>
      <c r="DI46" s="1088">
        <f>DI45</f>
        <v/>
      </c>
      <c r="DJ46" s="214">
        <f>DJ45</f>
        <v/>
      </c>
      <c r="DK46" s="214">
        <f>DK45</f>
        <v/>
      </c>
      <c r="DL46" s="1088">
        <f>DL45</f>
        <v/>
      </c>
      <c r="DM46" s="1088">
        <f>DM45</f>
        <v/>
      </c>
      <c r="DN46" s="1088">
        <f>DN45</f>
        <v/>
      </c>
      <c r="DO46" s="1088">
        <f>DO45</f>
        <v/>
      </c>
      <c r="DP46" s="214">
        <f>DP45</f>
        <v/>
      </c>
      <c r="DQ46" s="214">
        <f>DQ45</f>
        <v/>
      </c>
      <c r="DR46" s="1088">
        <f>DR45</f>
        <v/>
      </c>
      <c r="DS46" s="1088">
        <f>DS45</f>
        <v/>
      </c>
      <c r="DT46" s="1088">
        <f>DT45</f>
        <v/>
      </c>
      <c r="DU46" s="1088">
        <f>DU45</f>
        <v/>
      </c>
      <c r="DV46" s="1088">
        <f>DV45</f>
        <v/>
      </c>
      <c r="DW46" s="1088">
        <f>DW45</f>
        <v/>
      </c>
      <c r="DX46" s="215">
        <f>DX45</f>
        <v/>
      </c>
    </row>
    <row r="47" ht="20.4" customHeight="1" thickBot="1">
      <c r="A47" s="101" t="n">
        <v>100</v>
      </c>
      <c r="B47" s="102" t="inlineStr">
        <is>
          <t>Black - Cat</t>
        </is>
      </c>
      <c r="C47" s="102" t="inlineStr">
        <is>
          <t>ပုလင်း</t>
        </is>
      </c>
      <c r="D47" s="101" t="n">
        <v>13</v>
      </c>
      <c r="E47" s="101" t="n">
        <v>0.64</v>
      </c>
      <c r="F47" s="101" t="inlineStr">
        <is>
          <t>1 * 24</t>
        </is>
      </c>
      <c r="G47" s="101" t="n">
        <v>1230</v>
      </c>
      <c r="H47" s="1092" t="n">
        <v>8544</v>
      </c>
      <c r="I47" s="1093" t="n">
        <v>5468.16</v>
      </c>
      <c r="J47" s="1092" t="n">
        <v>9480</v>
      </c>
      <c r="K47" s="1093" t="n">
        <v>6067.2</v>
      </c>
      <c r="L47" s="1092" t="n">
        <v>11496</v>
      </c>
      <c r="M47" s="1093" t="n">
        <v>7357.440000000001</v>
      </c>
      <c r="N47" s="1092" t="n">
        <v>7848</v>
      </c>
      <c r="O47" s="1093" t="n">
        <v>5022.72</v>
      </c>
      <c r="P47" s="1092" t="n">
        <v>7464</v>
      </c>
      <c r="Q47" s="1093" t="n">
        <v>4776.96</v>
      </c>
      <c r="R47" s="1092" t="n">
        <v>8832</v>
      </c>
      <c r="S47" s="1093" t="n">
        <v>5652.48</v>
      </c>
      <c r="T47" s="1092" t="n">
        <v>10368</v>
      </c>
      <c r="U47" s="1093" t="n">
        <v>6635.52</v>
      </c>
      <c r="V47" s="1092" t="n">
        <v>10296</v>
      </c>
      <c r="W47" s="1093" t="n">
        <v>6589.440000000001</v>
      </c>
      <c r="X47" s="1092" t="n">
        <v>8378</v>
      </c>
      <c r="Y47" s="1093" t="n">
        <v>5361.92</v>
      </c>
      <c r="Z47" s="1092" t="n">
        <v>10320</v>
      </c>
      <c r="AA47" s="1093" t="n">
        <v>6604.8</v>
      </c>
      <c r="AB47" s="1092" t="n">
        <v>5712</v>
      </c>
      <c r="AC47" s="1093" t="n">
        <v>3655.68</v>
      </c>
      <c r="AD47" s="1092" t="n">
        <v>10464</v>
      </c>
      <c r="AE47" s="1093" t="n">
        <v>6696.96</v>
      </c>
      <c r="AF47" s="1094" t="n">
        <v>9100.166666666666</v>
      </c>
      <c r="AG47" s="1095" t="n">
        <v>5824.106666666667</v>
      </c>
      <c r="AH47" s="1092" t="n">
        <v>13608</v>
      </c>
      <c r="AI47" s="1093" t="n">
        <v>8709.120000000001</v>
      </c>
      <c r="AJ47" s="1092" t="n">
        <v>8376</v>
      </c>
      <c r="AK47" s="1093" t="n">
        <v>5360.64</v>
      </c>
      <c r="AL47" s="1092" t="n">
        <v>5904</v>
      </c>
      <c r="AM47" s="1093" t="n">
        <v>3778.56</v>
      </c>
      <c r="AN47" s="1092" t="n">
        <v>7968</v>
      </c>
      <c r="AO47" s="1093" t="n">
        <v>5099.52</v>
      </c>
      <c r="AP47" s="1092" t="n">
        <v>6480</v>
      </c>
      <c r="AQ47" s="1093" t="n">
        <v>4147.2</v>
      </c>
      <c r="AR47" s="1092" t="n">
        <v>8280</v>
      </c>
      <c r="AS47" s="1093" t="n">
        <v>5299.2</v>
      </c>
      <c r="AT47" s="1092" t="n">
        <v>9480</v>
      </c>
      <c r="AU47" s="1093" t="n">
        <v>6067.2</v>
      </c>
      <c r="AV47" s="1092" t="n">
        <v>7728</v>
      </c>
      <c r="AW47" s="1093" t="n">
        <v>4945.92</v>
      </c>
      <c r="AX47" s="1092" t="n">
        <v>9840</v>
      </c>
      <c r="AY47" s="1093" t="n">
        <v>6297.6</v>
      </c>
      <c r="AZ47" s="1092" t="n">
        <v>5688</v>
      </c>
      <c r="BA47" s="1093" t="n">
        <v>3640.32</v>
      </c>
      <c r="BB47" s="1092" t="n">
        <v>3552</v>
      </c>
      <c r="BC47" s="1093" t="n">
        <v>2273.28</v>
      </c>
      <c r="BD47" s="1092" t="n">
        <v>6360</v>
      </c>
      <c r="BE47" s="1093" t="n">
        <v>4070.4</v>
      </c>
      <c r="BF47" s="1094" t="n">
        <v>7772</v>
      </c>
      <c r="BG47" s="1095" t="n">
        <v>4974.08</v>
      </c>
      <c r="BH47" s="1092" t="n">
        <v>8088</v>
      </c>
      <c r="BI47" s="1093" t="n">
        <v>5176.32</v>
      </c>
      <c r="BJ47" s="1092" t="n">
        <v>4320</v>
      </c>
      <c r="BK47" s="1093" t="n">
        <v>2764.8</v>
      </c>
      <c r="BL47" s="1092" t="n">
        <v>7296</v>
      </c>
      <c r="BM47" s="1093" t="n">
        <v>4669.440000000001</v>
      </c>
      <c r="BN47" s="1092" t="n">
        <v>5184</v>
      </c>
      <c r="BO47" s="1093" t="n">
        <v>3317.76</v>
      </c>
      <c r="BP47" s="1092" t="n">
        <v>6432</v>
      </c>
      <c r="BQ47" s="1093" t="n">
        <v>4116.48</v>
      </c>
      <c r="BR47" s="1096" t="n">
        <v>6264</v>
      </c>
      <c r="BS47" s="1093" t="n">
        <v>4008.96</v>
      </c>
      <c r="BT47" s="1092" t="n">
        <v>6576</v>
      </c>
      <c r="BU47" s="1093" t="n">
        <v>4208.64</v>
      </c>
      <c r="BV47" s="1092" t="n">
        <v>7464</v>
      </c>
      <c r="BW47" s="1093" t="n">
        <v>4776.96</v>
      </c>
      <c r="BX47" s="1092" t="n">
        <v>5064</v>
      </c>
      <c r="BY47" s="1093" t="n">
        <v>3240.96</v>
      </c>
      <c r="BZ47" s="1092" t="n">
        <v>5832</v>
      </c>
      <c r="CA47" s="1093" t="n">
        <v>3732.48</v>
      </c>
      <c r="CB47" s="1092" t="n">
        <v>5952</v>
      </c>
      <c r="CC47" s="1093" t="n">
        <v>3809.28</v>
      </c>
      <c r="CD47" s="1092" t="n">
        <v>6744</v>
      </c>
      <c r="CE47" s="1093" t="n">
        <v>4316.16</v>
      </c>
      <c r="CF47" s="1092" t="n">
        <v>7800</v>
      </c>
      <c r="CG47" s="1093" t="n">
        <v>4992</v>
      </c>
      <c r="CH47" s="1094" t="n">
        <v>6396</v>
      </c>
      <c r="CI47" s="1095" t="n">
        <v>4093.44</v>
      </c>
      <c r="CJ47" s="1097" t="n">
        <v>6396</v>
      </c>
      <c r="CK47" s="1093" t="n">
        <v>4093.44</v>
      </c>
      <c r="CL47" s="1098" t="n">
        <v>6552</v>
      </c>
      <c r="CM47" s="1093" t="n">
        <v>4193.28</v>
      </c>
      <c r="CN47" s="1098" t="n">
        <v>6624</v>
      </c>
      <c r="CO47" s="110" t="n">
        <v>4239.36</v>
      </c>
      <c r="CP47" s="1098" t="n">
        <v>9072</v>
      </c>
      <c r="CQ47" s="110" t="n">
        <v>5806.08</v>
      </c>
      <c r="CR47" s="1098" t="n">
        <v>4824</v>
      </c>
      <c r="CS47" s="110" t="n">
        <v>3087.36</v>
      </c>
      <c r="CT47" s="1098" t="n">
        <v>7032</v>
      </c>
      <c r="CU47" s="110" t="n">
        <v>4500.48</v>
      </c>
      <c r="CV47" s="1098" t="n"/>
      <c r="CW47" s="110" t="n">
        <v>0</v>
      </c>
      <c r="CX47" s="1098" t="n"/>
      <c r="CY47" s="110" t="n">
        <v>0</v>
      </c>
      <c r="CZ47" s="1098" t="n"/>
      <c r="DA47" s="110" t="n">
        <v>0</v>
      </c>
      <c r="DB47" s="1098" t="n"/>
      <c r="DC47" s="110" t="n">
        <v>0</v>
      </c>
      <c r="DD47" s="1098" t="n"/>
      <c r="DE47" s="110" t="n">
        <v>0</v>
      </c>
      <c r="DF47" s="1098" t="n"/>
      <c r="DG47" s="110" t="n">
        <v>0</v>
      </c>
      <c r="DH47" s="1098" t="n"/>
      <c r="DI47" s="110" t="n">
        <v>0</v>
      </c>
      <c r="DJ47" s="110" t="n">
        <v>0.7261663340698644</v>
      </c>
      <c r="DK47" s="110" t="n">
        <v>0.73</v>
      </c>
      <c r="DL47" s="1099" t="n">
        <v>34104</v>
      </c>
      <c r="DM47" s="1100" t="n">
        <v>21826.56</v>
      </c>
      <c r="DN47" s="1101" t="n">
        <v>6820.8</v>
      </c>
      <c r="DO47" s="1101" t="n">
        <v>4365.312</v>
      </c>
      <c r="DP47" s="114" t="n">
        <v>0.7399325966023058</v>
      </c>
      <c r="DQ47" s="115" t="n">
        <v>0.0137662625324414</v>
      </c>
      <c r="DR47" s="1004" t="n">
        <v>8.888888888888886</v>
      </c>
      <c r="DS47" s="1004" t="n">
        <v>6.641651031894938</v>
      </c>
      <c r="DT47" s="117" t="n">
        <v>271.8719999999998</v>
      </c>
      <c r="DU47" s="117" t="n">
        <v>356.3519999999994</v>
      </c>
      <c r="DV47" s="117" t="n">
        <v>19.41942857142856</v>
      </c>
      <c r="DW47" s="117" t="n">
        <v>25.45371428571424</v>
      </c>
      <c r="DX47" s="117" t="n">
        <v>127.2685714285712</v>
      </c>
    </row>
    <row r="48" ht="20.4" customFormat="1" customHeight="1" s="125" thickBot="1">
      <c r="A48" s="119" t="n"/>
      <c r="B48" s="120" t="n"/>
      <c r="C48" s="120" t="n"/>
      <c r="D48" s="121" t="n"/>
      <c r="E48" s="121" t="n"/>
      <c r="F48" s="121" t="n"/>
      <c r="G48" s="121" t="n"/>
      <c r="H48" s="1086" t="n"/>
      <c r="I48" s="1087" t="n"/>
      <c r="J48" s="1086" t="n"/>
      <c r="K48" s="1087" t="n"/>
      <c r="L48" s="1086" t="n"/>
      <c r="M48" s="1087" t="n"/>
      <c r="N48" s="1086" t="n"/>
      <c r="O48" s="1087" t="n"/>
      <c r="P48" s="1086" t="n"/>
      <c r="Q48" s="1087" t="n"/>
      <c r="R48" s="1086" t="n"/>
      <c r="S48" s="1087" t="n"/>
      <c r="T48" s="1086" t="n"/>
      <c r="U48" s="1087" t="n"/>
      <c r="V48" s="1086" t="n"/>
      <c r="W48" s="1087" t="n"/>
      <c r="X48" s="1086" t="n"/>
      <c r="Y48" s="1087" t="n"/>
      <c r="Z48" s="1086" t="n"/>
      <c r="AA48" s="1087" t="n"/>
      <c r="AB48" s="1086" t="n"/>
      <c r="AC48" s="1087" t="n"/>
      <c r="AD48" s="1086" t="n"/>
      <c r="AE48" s="1087" t="n"/>
      <c r="AF48" s="1086" t="n"/>
      <c r="AG48" s="1087" t="n"/>
      <c r="AH48" s="1086" t="n"/>
      <c r="AI48" s="1087" t="n"/>
      <c r="AJ48" s="1086" t="n"/>
      <c r="AK48" s="1087" t="n"/>
      <c r="AL48" s="1086" t="n"/>
      <c r="AM48" s="1087" t="n"/>
      <c r="AN48" s="1086" t="n"/>
      <c r="AO48" s="1087" t="n"/>
      <c r="AP48" s="1086" t="n"/>
      <c r="AQ48" s="1087" t="n"/>
      <c r="AR48" s="1086" t="n"/>
      <c r="AS48" s="1087" t="n"/>
      <c r="AT48" s="1086" t="n"/>
      <c r="AU48" s="1087" t="n"/>
      <c r="AV48" s="1086" t="n"/>
      <c r="AW48" s="1087" t="n"/>
      <c r="AX48" s="1086" t="n"/>
      <c r="AY48" s="1087" t="n"/>
      <c r="AZ48" s="1086" t="n"/>
      <c r="BA48" s="1087" t="n"/>
      <c r="BB48" s="1086" t="n"/>
      <c r="BC48" s="1087" t="n"/>
      <c r="BD48" s="1086" t="n"/>
      <c r="BE48" s="1087" t="n"/>
      <c r="BF48" s="1086" t="n"/>
      <c r="BG48" s="1087" t="n"/>
      <c r="BH48" s="1086" t="n"/>
      <c r="BI48" s="1087" t="n"/>
      <c r="BJ48" s="1086" t="n"/>
      <c r="BK48" s="1087" t="n"/>
      <c r="BL48" s="1086" t="n"/>
      <c r="BM48" s="1087" t="n"/>
      <c r="BN48" s="1086" t="n"/>
      <c r="BO48" s="1087" t="n"/>
      <c r="BP48" s="1086" t="n"/>
      <c r="BQ48" s="1087" t="n"/>
      <c r="BR48" s="1088">
        <f>BR47</f>
        <v/>
      </c>
      <c r="BS48" s="1088">
        <f>BS47</f>
        <v/>
      </c>
      <c r="BT48" s="1088">
        <f>BT47</f>
        <v/>
      </c>
      <c r="BU48" s="1088">
        <f>BU47</f>
        <v/>
      </c>
      <c r="BV48" s="1088">
        <f>BV47</f>
        <v/>
      </c>
      <c r="BW48" s="1088">
        <f>BW47</f>
        <v/>
      </c>
      <c r="BX48" s="1088">
        <f>BX47</f>
        <v/>
      </c>
      <c r="BY48" s="1088">
        <f>BY47</f>
        <v/>
      </c>
      <c r="BZ48" s="1088">
        <f>BZ47</f>
        <v/>
      </c>
      <c r="CA48" s="1088">
        <f>CA47</f>
        <v/>
      </c>
      <c r="CB48" s="1088">
        <f>CB47</f>
        <v/>
      </c>
      <c r="CC48" s="1088">
        <f>CC47</f>
        <v/>
      </c>
      <c r="CD48" s="1088">
        <f>CD47</f>
        <v/>
      </c>
      <c r="CE48" s="1088">
        <f>CE47</f>
        <v/>
      </c>
      <c r="CF48" s="1088">
        <f>CF47</f>
        <v/>
      </c>
      <c r="CG48" s="1088">
        <f>CG47</f>
        <v/>
      </c>
      <c r="CH48" s="1088">
        <f>CH47</f>
        <v/>
      </c>
      <c r="CI48" s="1088">
        <f>CI47</f>
        <v/>
      </c>
      <c r="CJ48" s="1088">
        <f>CJ47</f>
        <v/>
      </c>
      <c r="CK48" s="1088">
        <f>CK47</f>
        <v/>
      </c>
      <c r="CL48" s="1088">
        <f>CL47</f>
        <v/>
      </c>
      <c r="CM48" s="1088">
        <f>CM47</f>
        <v/>
      </c>
      <c r="CN48" s="1088">
        <f>CN47</f>
        <v/>
      </c>
      <c r="CO48" s="1088">
        <f>CO47</f>
        <v/>
      </c>
      <c r="CP48" s="1088">
        <f>CP47</f>
        <v/>
      </c>
      <c r="CQ48" s="1088">
        <f>CQ47</f>
        <v/>
      </c>
      <c r="CR48" s="1088">
        <f>CR47</f>
        <v/>
      </c>
      <c r="CS48" s="1088">
        <f>CS47</f>
        <v/>
      </c>
      <c r="CT48" s="1088">
        <f>CT47</f>
        <v/>
      </c>
      <c r="CU48" s="1088">
        <f>CU47</f>
        <v/>
      </c>
      <c r="CV48" s="1088">
        <f>CV47</f>
        <v/>
      </c>
      <c r="CW48" s="1088">
        <f>CW47</f>
        <v/>
      </c>
      <c r="CX48" s="1088">
        <f>CX47</f>
        <v/>
      </c>
      <c r="CY48" s="1088">
        <f>CY47</f>
        <v/>
      </c>
      <c r="CZ48" s="1088">
        <f>CZ47</f>
        <v/>
      </c>
      <c r="DA48" s="1088">
        <f>DA47</f>
        <v/>
      </c>
      <c r="DB48" s="1088">
        <f>DB47</f>
        <v/>
      </c>
      <c r="DC48" s="1088">
        <f>DC47</f>
        <v/>
      </c>
      <c r="DD48" s="1088">
        <f>DD47</f>
        <v/>
      </c>
      <c r="DE48" s="1088">
        <f>DE47</f>
        <v/>
      </c>
      <c r="DF48" s="1088">
        <f>DF47</f>
        <v/>
      </c>
      <c r="DG48" s="1088">
        <f>DG47</f>
        <v/>
      </c>
      <c r="DH48" s="1088">
        <f>DH47</f>
        <v/>
      </c>
      <c r="DI48" s="1088">
        <f>DI47</f>
        <v/>
      </c>
      <c r="DJ48" s="214">
        <f>DJ47</f>
        <v/>
      </c>
      <c r="DK48" s="214">
        <f>DK47</f>
        <v/>
      </c>
      <c r="DL48" s="1088">
        <f>DL47</f>
        <v/>
      </c>
      <c r="DM48" s="1088">
        <f>DM47</f>
        <v/>
      </c>
      <c r="DN48" s="1088">
        <f>DN47</f>
        <v/>
      </c>
      <c r="DO48" s="1088">
        <f>DO47</f>
        <v/>
      </c>
      <c r="DP48" s="214">
        <f>DP47</f>
        <v/>
      </c>
      <c r="DQ48" s="214">
        <f>DQ47</f>
        <v/>
      </c>
      <c r="DR48" s="1088">
        <f>DR47</f>
        <v/>
      </c>
      <c r="DS48" s="1088">
        <f>DS47</f>
        <v/>
      </c>
      <c r="DT48" s="1088">
        <f>DT47</f>
        <v/>
      </c>
      <c r="DU48" s="1088">
        <f>DU47</f>
        <v/>
      </c>
      <c r="DV48" s="1088">
        <f>DV47</f>
        <v/>
      </c>
      <c r="DW48" s="1088">
        <f>DW47</f>
        <v/>
      </c>
      <c r="DX48" s="215">
        <f>DX47</f>
        <v/>
      </c>
    </row>
    <row r="49">
      <c r="A49" s="92" t="n">
        <v>101</v>
      </c>
      <c r="B49" s="93" t="inlineStr">
        <is>
          <t>ကင်းမြီးကောက်</t>
        </is>
      </c>
      <c r="C49" s="93" t="inlineStr">
        <is>
          <t>ပုလင်း</t>
        </is>
      </c>
      <c r="D49" s="92" t="n">
        <v>17</v>
      </c>
      <c r="E49" s="92" t="n">
        <v>0.64</v>
      </c>
      <c r="F49" s="92" t="inlineStr">
        <is>
          <t>1 * 14</t>
        </is>
      </c>
      <c r="G49" s="92" t="n">
        <v>1230</v>
      </c>
      <c r="H49" s="996" t="n">
        <v>6050</v>
      </c>
      <c r="I49" s="997" t="n">
        <v>3872</v>
      </c>
      <c r="J49" s="996" t="n">
        <v>4746</v>
      </c>
      <c r="K49" s="997" t="n">
        <v>3037.44</v>
      </c>
      <c r="L49" s="996" t="n">
        <v>5572</v>
      </c>
      <c r="M49" s="997" t="n">
        <v>3566.08</v>
      </c>
      <c r="N49" s="996" t="n">
        <v>5418</v>
      </c>
      <c r="O49" s="997" t="n">
        <v>3467.52</v>
      </c>
      <c r="P49" s="996" t="n">
        <v>4564</v>
      </c>
      <c r="Q49" s="997" t="n">
        <v>2920.96</v>
      </c>
      <c r="R49" s="996" t="n">
        <v>5320</v>
      </c>
      <c r="S49" s="997" t="n">
        <v>3404.8</v>
      </c>
      <c r="T49" s="996" t="n">
        <v>5754</v>
      </c>
      <c r="U49" s="997" t="n">
        <v>3682.56</v>
      </c>
      <c r="V49" s="996" t="n">
        <v>6328</v>
      </c>
      <c r="W49" s="997" t="n">
        <v>4049.92</v>
      </c>
      <c r="X49" s="996" t="n">
        <v>3976</v>
      </c>
      <c r="Y49" s="997" t="n">
        <v>2544.64</v>
      </c>
      <c r="Z49" s="996" t="n">
        <v>5222</v>
      </c>
      <c r="AA49" s="997" t="n">
        <v>3342.08</v>
      </c>
      <c r="AB49" s="996" t="n">
        <v>5026</v>
      </c>
      <c r="AC49" s="997" t="n">
        <v>3216.64</v>
      </c>
      <c r="AD49" s="996" t="n">
        <v>5992</v>
      </c>
      <c r="AE49" s="997" t="n">
        <v>3834.88</v>
      </c>
      <c r="AF49" s="998" t="n">
        <v>5330.666666666667</v>
      </c>
      <c r="AG49" s="999" t="n">
        <v>3411.626666666667</v>
      </c>
      <c r="AH49" s="996" t="n">
        <v>5348</v>
      </c>
      <c r="AI49" s="997" t="n">
        <v>3422.72</v>
      </c>
      <c r="AJ49" s="996" t="n">
        <v>4774</v>
      </c>
      <c r="AK49" s="997" t="n">
        <v>3055.36</v>
      </c>
      <c r="AL49" s="996" t="n">
        <v>4704</v>
      </c>
      <c r="AM49" s="997" t="n">
        <v>3010.56</v>
      </c>
      <c r="AN49" s="996" t="n">
        <v>3710</v>
      </c>
      <c r="AO49" s="997" t="n">
        <v>2374.4</v>
      </c>
      <c r="AP49" s="996" t="n">
        <v>3836</v>
      </c>
      <c r="AQ49" s="997" t="n">
        <v>2455.04</v>
      </c>
      <c r="AR49" s="996" t="n">
        <v>3766</v>
      </c>
      <c r="AS49" s="997" t="n">
        <v>2410.24</v>
      </c>
      <c r="AT49" s="996" t="n">
        <v>3766</v>
      </c>
      <c r="AU49" s="997" t="n">
        <v>2410.24</v>
      </c>
      <c r="AV49" s="996" t="n">
        <v>4438</v>
      </c>
      <c r="AW49" s="997" t="n">
        <v>2840.32</v>
      </c>
      <c r="AX49" s="996" t="n">
        <v>4200</v>
      </c>
      <c r="AY49" s="997" t="n">
        <v>2688</v>
      </c>
      <c r="AZ49" s="996" t="n">
        <v>4291</v>
      </c>
      <c r="BA49" s="997" t="n">
        <v>2746.24</v>
      </c>
      <c r="BB49" s="996" t="n">
        <v>2030</v>
      </c>
      <c r="BC49" s="997" t="n">
        <v>1299.2</v>
      </c>
      <c r="BD49" s="996" t="n">
        <v>5082</v>
      </c>
      <c r="BE49" s="997" t="n">
        <v>3252.48</v>
      </c>
      <c r="BF49" s="998" t="n">
        <v>4162.083333333333</v>
      </c>
      <c r="BG49" s="999" t="n">
        <v>2663.733333333333</v>
      </c>
      <c r="BH49" s="996" t="n">
        <v>5096</v>
      </c>
      <c r="BI49" s="997" t="n">
        <v>3261.44</v>
      </c>
      <c r="BJ49" s="996" t="n">
        <v>3948</v>
      </c>
      <c r="BK49" s="997" t="n">
        <v>2526.72</v>
      </c>
      <c r="BL49" s="996" t="n">
        <v>4368</v>
      </c>
      <c r="BM49" s="997" t="n">
        <v>2795.52</v>
      </c>
      <c r="BN49" s="996" t="n">
        <v>3262</v>
      </c>
      <c r="BO49" s="997" t="n">
        <v>2087.68</v>
      </c>
      <c r="BP49" s="996" t="n">
        <v>5068</v>
      </c>
      <c r="BQ49" s="997" t="n">
        <v>3243.52</v>
      </c>
      <c r="BR49" s="1000" t="n">
        <v>4348.4</v>
      </c>
      <c r="BS49" s="997" t="n">
        <v>2782.976</v>
      </c>
      <c r="BT49" s="996" t="n">
        <v>3430</v>
      </c>
      <c r="BU49" s="997" t="n">
        <v>2195.2</v>
      </c>
      <c r="BV49" s="996" t="n">
        <v>4102</v>
      </c>
      <c r="BW49" s="997" t="n">
        <v>2625.28</v>
      </c>
      <c r="BX49" s="996" t="n">
        <v>2912</v>
      </c>
      <c r="BY49" s="997" t="n">
        <v>1863.68</v>
      </c>
      <c r="BZ49" s="996" t="n">
        <v>3024</v>
      </c>
      <c r="CA49" s="997" t="n">
        <v>1935.36</v>
      </c>
      <c r="CB49" s="996" t="n">
        <v>3850</v>
      </c>
      <c r="CC49" s="997" t="n">
        <v>2464</v>
      </c>
      <c r="CD49" s="996" t="n">
        <v>3150</v>
      </c>
      <c r="CE49" s="997" t="n">
        <v>2016</v>
      </c>
      <c r="CF49" s="996" t="n">
        <v>5110</v>
      </c>
      <c r="CG49" s="997" t="n">
        <v>3270.4</v>
      </c>
      <c r="CH49" s="998" t="n">
        <v>3943.333333333333</v>
      </c>
      <c r="CI49" s="999" t="n">
        <v>2523.733333333334</v>
      </c>
      <c r="CJ49" s="1089" t="n">
        <v>3943</v>
      </c>
      <c r="CK49" s="997" t="n">
        <v>2523.52</v>
      </c>
      <c r="CL49" s="1002" t="n">
        <v>4690</v>
      </c>
      <c r="CM49" s="997" t="n">
        <v>3001.6</v>
      </c>
      <c r="CN49" s="1002" t="n">
        <v>5292</v>
      </c>
      <c r="CO49" s="95" t="n">
        <v>3386.88</v>
      </c>
      <c r="CP49" s="1002" t="n">
        <v>2982</v>
      </c>
      <c r="CQ49" s="95" t="n">
        <v>1908.48</v>
      </c>
      <c r="CR49" s="1002" t="n">
        <v>4060</v>
      </c>
      <c r="CS49" s="95" t="n">
        <v>2598.4</v>
      </c>
      <c r="CT49" s="1002" t="n">
        <v>2884</v>
      </c>
      <c r="CU49" s="95" t="n">
        <v>1845.76</v>
      </c>
      <c r="CV49" s="1002" t="n"/>
      <c r="CW49" s="95" t="n">
        <v>0</v>
      </c>
      <c r="CX49" s="1002" t="n"/>
      <c r="CY49" s="95" t="n">
        <v>0</v>
      </c>
      <c r="CZ49" s="1002" t="n"/>
      <c r="DA49" s="95" t="n">
        <v>0</v>
      </c>
      <c r="DB49" s="1002" t="n"/>
      <c r="DC49" s="95" t="n">
        <v>0</v>
      </c>
      <c r="DD49" s="1002" t="n"/>
      <c r="DE49" s="95" t="n">
        <v>0</v>
      </c>
      <c r="DF49" s="1002" t="n"/>
      <c r="DG49" s="95" t="n">
        <v>0</v>
      </c>
      <c r="DH49" s="1002" t="n"/>
      <c r="DI49" s="95" t="n">
        <v>0</v>
      </c>
      <c r="DJ49" s="95" t="n">
        <v>0.4477041761541848</v>
      </c>
      <c r="DK49" s="95" t="n">
        <v>0.45</v>
      </c>
      <c r="DL49" s="1003" t="n">
        <v>19908</v>
      </c>
      <c r="DM49" s="1001" t="n">
        <v>12741.12</v>
      </c>
      <c r="DN49" s="1090" t="n">
        <v>3981.6</v>
      </c>
      <c r="DO49" s="1090" t="n">
        <v>2548.224</v>
      </c>
      <c r="DP49" s="97" t="n">
        <v>0.4319310970313952</v>
      </c>
      <c r="DQ49" s="98" t="n">
        <v>-0.01577307912278958</v>
      </c>
      <c r="DR49" s="1091" t="n">
        <v>-8.435286542176442</v>
      </c>
      <c r="DS49" s="1091" t="n">
        <v>0.9704142011834023</v>
      </c>
      <c r="DT49" s="100" t="n">
        <v>24.49066666666613</v>
      </c>
      <c r="DU49" s="100" t="n">
        <v>-234.7520000000004</v>
      </c>
      <c r="DV49" s="100" t="n">
        <v>1.749333333333295</v>
      </c>
      <c r="DW49" s="100" t="n">
        <v>-16.76800000000003</v>
      </c>
      <c r="DX49" s="100" t="n">
        <v>-83.84000000000015</v>
      </c>
    </row>
    <row r="50" ht="22.5" customFormat="1" customHeight="1" s="213">
      <c r="A50" s="1104" t="n"/>
      <c r="B50" s="198" t="inlineStr">
        <is>
          <t>BE စုစုပေါင်း</t>
        </is>
      </c>
      <c r="C50" s="198" t="n"/>
      <c r="D50" s="198" t="n"/>
      <c r="E50" s="199" t="n"/>
      <c r="F50" s="200" t="n"/>
      <c r="G50" s="200" t="n"/>
      <c r="H50" s="1105" t="n">
        <v>654091</v>
      </c>
      <c r="I50" s="1106" t="n">
        <v>425017.06</v>
      </c>
      <c r="J50" s="1105" t="n">
        <v>628544</v>
      </c>
      <c r="K50" s="1106" t="n">
        <v>407037.6800000001</v>
      </c>
      <c r="L50" s="1105" t="n">
        <v>715306</v>
      </c>
      <c r="M50" s="1106" t="n">
        <v>466108.84</v>
      </c>
      <c r="N50" s="1105" t="n">
        <v>532583</v>
      </c>
      <c r="O50" s="1106" t="n">
        <v>346599.38</v>
      </c>
      <c r="P50" s="1105" t="n">
        <v>559169</v>
      </c>
      <c r="Q50" s="1106" t="n">
        <v>361819.5800000001</v>
      </c>
      <c r="R50" s="1105" t="n">
        <v>646860</v>
      </c>
      <c r="S50" s="1106" t="n">
        <v>417841.6799999999</v>
      </c>
      <c r="T50" s="1105" t="n">
        <v>641078</v>
      </c>
      <c r="U50" s="1106" t="n">
        <v>415252.0400000001</v>
      </c>
      <c r="V50" s="1105" t="n">
        <v>715219</v>
      </c>
      <c r="W50" s="1106" t="n">
        <v>464703.5800000001</v>
      </c>
      <c r="X50" s="1105" t="n">
        <v>631014</v>
      </c>
      <c r="Y50" s="1106" t="n">
        <v>407854.0800000001</v>
      </c>
      <c r="Z50" s="1105" t="n">
        <v>596554</v>
      </c>
      <c r="AA50" s="1106" t="n">
        <v>385517.91</v>
      </c>
      <c r="AB50" s="1105" t="n">
        <v>664614</v>
      </c>
      <c r="AC50" s="1106" t="n">
        <v>431000.24</v>
      </c>
      <c r="AD50" s="1105" t="n">
        <v>722091</v>
      </c>
      <c r="AE50" s="1106" t="n">
        <v>466735.39</v>
      </c>
      <c r="AF50" s="1107" t="n">
        <v>642260.25</v>
      </c>
      <c r="AG50" s="1108" t="n">
        <v>416290.6216666666</v>
      </c>
      <c r="AH50" s="1105" t="n">
        <v>696158</v>
      </c>
      <c r="AI50" s="1106" t="n">
        <v>450975.41</v>
      </c>
      <c r="AJ50" s="1105" t="n">
        <v>582989</v>
      </c>
      <c r="AK50" s="1106" t="n">
        <v>376228.6</v>
      </c>
      <c r="AL50" s="1105" t="n">
        <v>561925</v>
      </c>
      <c r="AM50" s="1106" t="n">
        <v>364919.43</v>
      </c>
      <c r="AN50" s="1105" t="n">
        <v>564875</v>
      </c>
      <c r="AO50" s="1106" t="n">
        <v>366415.5700000001</v>
      </c>
      <c r="AP50" s="1105" t="n">
        <v>476057</v>
      </c>
      <c r="AQ50" s="1106" t="n">
        <v>309869.97</v>
      </c>
      <c r="AR50" s="1105" t="n">
        <v>600345</v>
      </c>
      <c r="AS50" s="1106" t="n">
        <v>389566.54</v>
      </c>
      <c r="AT50" s="1105" t="n">
        <v>654612</v>
      </c>
      <c r="AU50" s="1106" t="n">
        <v>424884.15</v>
      </c>
      <c r="AV50" s="1105" t="n">
        <v>627336</v>
      </c>
      <c r="AW50" s="1106" t="n">
        <v>405648.1200000001</v>
      </c>
      <c r="AX50" s="1105" t="n">
        <v>614399</v>
      </c>
      <c r="AY50" s="1106" t="n">
        <v>398322.05</v>
      </c>
      <c r="AZ50" s="1105" t="n">
        <v>662882</v>
      </c>
      <c r="BA50" s="1106" t="n">
        <v>428693.14</v>
      </c>
      <c r="BB50" s="1105" t="n">
        <v>678253</v>
      </c>
      <c r="BC50" s="1106" t="n">
        <v>440888.1400000001</v>
      </c>
      <c r="BD50" s="1105" t="n">
        <v>846698</v>
      </c>
      <c r="BE50" s="1106" t="n">
        <v>548664.9800000001</v>
      </c>
      <c r="BF50" s="1107" t="n">
        <v>630544.0833333335</v>
      </c>
      <c r="BG50" s="1108" t="n">
        <v>408756.3416666666</v>
      </c>
      <c r="BH50" s="1105" t="n">
        <v>949178</v>
      </c>
      <c r="BI50" s="1106" t="n">
        <v>613512.2</v>
      </c>
      <c r="BJ50" s="1105" t="n">
        <v>773779</v>
      </c>
      <c r="BK50" s="1106" t="n">
        <v>500548.6799999999</v>
      </c>
      <c r="BL50" s="1105" t="n">
        <v>794108</v>
      </c>
      <c r="BM50" s="1106" t="n">
        <v>512919.14</v>
      </c>
      <c r="BN50" s="1105" t="n">
        <v>749078</v>
      </c>
      <c r="BO50" s="1106" t="n">
        <v>486537</v>
      </c>
      <c r="BP50" s="1105" t="n">
        <v>840592</v>
      </c>
      <c r="BQ50" s="1106" t="n">
        <v>541215.0600000001</v>
      </c>
      <c r="BR50" s="1109" t="n">
        <v>821347</v>
      </c>
      <c r="BS50" s="1110" t="n">
        <v>530946.416</v>
      </c>
      <c r="BT50" s="1105" t="n">
        <v>820396</v>
      </c>
      <c r="BU50" s="1106" t="n">
        <v>529836.9700000001</v>
      </c>
      <c r="BV50" s="1105" t="n">
        <v>868137</v>
      </c>
      <c r="BW50" s="1106" t="n">
        <v>561678.62</v>
      </c>
      <c r="BX50" s="1105" t="n">
        <v>864657</v>
      </c>
      <c r="BY50" s="1106" t="n">
        <v>560913.6800000001</v>
      </c>
      <c r="BZ50" s="1105" t="n">
        <v>901641</v>
      </c>
      <c r="CA50" s="1106" t="n">
        <v>583965.26</v>
      </c>
      <c r="CB50" s="1105" t="n">
        <v>946416</v>
      </c>
      <c r="CC50" s="1106" t="n">
        <v>615351.65</v>
      </c>
      <c r="CD50" s="1105" t="n">
        <v>917030</v>
      </c>
      <c r="CE50" s="1106" t="n">
        <v>595835.02</v>
      </c>
      <c r="CF50" s="1105" t="n">
        <v>1013431</v>
      </c>
      <c r="CG50" s="1106" t="n">
        <v>662153.4400000001</v>
      </c>
      <c r="CH50" s="1107" t="n">
        <v>869870.25</v>
      </c>
      <c r="CI50" s="1108" t="n">
        <v>563705.5599999999</v>
      </c>
      <c r="CJ50" s="1105" t="n">
        <v>876799</v>
      </c>
      <c r="CK50" s="1106" t="n">
        <v>567862.76</v>
      </c>
      <c r="CL50" s="1105" t="n">
        <v>965752</v>
      </c>
      <c r="CM50" s="1106" t="n">
        <v>631832.88</v>
      </c>
      <c r="CN50" s="1105" t="n">
        <v>818851</v>
      </c>
      <c r="CO50" s="1106" t="n">
        <v>532828.48</v>
      </c>
      <c r="CP50" s="1105" t="n">
        <v>1020554</v>
      </c>
      <c r="CQ50" s="1106" t="n">
        <v>677348.72</v>
      </c>
      <c r="CR50" s="1105" t="n">
        <v>803099</v>
      </c>
      <c r="CS50" s="1106" t="n">
        <v>524612.25</v>
      </c>
      <c r="CT50" s="1105" t="n">
        <v>888740</v>
      </c>
      <c r="CU50" s="1106" t="n">
        <v>583181.4900000001</v>
      </c>
      <c r="CV50" s="1105" t="n">
        <v>0</v>
      </c>
      <c r="CW50" s="1106" t="n">
        <v>0</v>
      </c>
      <c r="CX50" s="1105" t="n">
        <v>0</v>
      </c>
      <c r="CY50" s="1106" t="n">
        <v>0</v>
      </c>
      <c r="CZ50" s="1105" t="n">
        <v>0</v>
      </c>
      <c r="DA50" s="1106" t="n">
        <v>0</v>
      </c>
      <c r="DB50" s="1105" t="n">
        <v>0</v>
      </c>
      <c r="DC50" s="1106" t="n">
        <v>0</v>
      </c>
      <c r="DD50" s="1105" t="n">
        <v>0</v>
      </c>
      <c r="DE50" s="1106" t="n">
        <v>0</v>
      </c>
      <c r="DF50" s="1105" t="n">
        <v>0</v>
      </c>
      <c r="DG50" s="1106" t="n">
        <v>0</v>
      </c>
      <c r="DH50" s="1105" t="n">
        <v>0</v>
      </c>
      <c r="DI50" s="1106" t="n">
        <v>0</v>
      </c>
      <c r="DJ50" s="207" t="n">
        <v>100</v>
      </c>
      <c r="DK50" s="1106" t="n"/>
      <c r="DL50" s="1105" t="n">
        <v>4496996</v>
      </c>
      <c r="DM50" s="1106" t="n">
        <v>2949803.819999999</v>
      </c>
      <c r="DN50" s="1111" t="n">
        <v>899399.2</v>
      </c>
      <c r="DO50" s="1111" t="n">
        <v>589960.7639999999</v>
      </c>
      <c r="DP50" s="209" t="n">
        <v>100</v>
      </c>
      <c r="DQ50" s="210" t="n">
        <v>0</v>
      </c>
      <c r="DR50" s="1112" t="n">
        <v>11.11493480728191</v>
      </c>
      <c r="DS50" s="1112" t="n">
        <v>4.657609550631349</v>
      </c>
      <c r="DT50" s="212" t="n">
        <v>26255.20399999991</v>
      </c>
      <c r="DU50" s="212" t="n">
        <v>59014.34799999988</v>
      </c>
      <c r="DV50" s="212" t="n">
        <v>1875.371714285708</v>
      </c>
      <c r="DW50" s="212" t="n">
        <v>4215.310571428563</v>
      </c>
      <c r="DX50" s="216" t="n">
        <v>21076.55285714281</v>
      </c>
    </row>
    <row r="51" hidden="1">
      <c r="A51" s="995" t="n"/>
      <c r="B51" s="54" t="n"/>
      <c r="C51" s="54" t="n"/>
      <c r="D51" s="54" t="n"/>
      <c r="E51" s="54" t="n"/>
      <c r="F51" s="55" t="n"/>
      <c r="G51" s="55" t="n"/>
      <c r="H51" s="996" t="n"/>
      <c r="I51" s="997" t="n"/>
      <c r="J51" s="996" t="n"/>
      <c r="K51" s="997" t="n"/>
      <c r="L51" s="996" t="n"/>
      <c r="M51" s="997" t="n"/>
      <c r="N51" s="996" t="n"/>
      <c r="O51" s="997" t="n"/>
      <c r="P51" s="996" t="n"/>
      <c r="Q51" s="997" t="n"/>
      <c r="R51" s="996" t="n"/>
      <c r="S51" s="997" t="n"/>
      <c r="T51" s="996" t="n"/>
      <c r="U51" s="997" t="n"/>
      <c r="V51" s="996" t="n"/>
      <c r="W51" s="997" t="n"/>
      <c r="X51" s="996" t="n"/>
      <c r="Y51" s="997" t="n"/>
      <c r="Z51" s="996" t="n"/>
      <c r="AA51" s="997" t="n"/>
      <c r="AB51" s="996" t="n"/>
      <c r="AC51" s="997" t="n"/>
      <c r="AD51" s="996" t="n"/>
      <c r="AE51" s="997" t="n"/>
      <c r="AF51" s="998" t="n"/>
      <c r="AG51" s="999" t="n"/>
      <c r="AH51" s="996" t="n"/>
      <c r="AI51" s="997" t="n"/>
      <c r="AJ51" s="996" t="n"/>
      <c r="AK51" s="997" t="n"/>
      <c r="AL51" s="996" t="n"/>
      <c r="AM51" s="997" t="n"/>
      <c r="AN51" s="996" t="n"/>
      <c r="AO51" s="997" t="n"/>
      <c r="AP51" s="996" t="n"/>
      <c r="AQ51" s="997" t="n"/>
      <c r="AR51" s="996" t="n"/>
      <c r="AS51" s="997" t="n"/>
      <c r="AT51" s="996" t="n"/>
      <c r="AU51" s="997" t="n"/>
      <c r="AV51" s="996" t="n"/>
      <c r="AW51" s="997" t="n"/>
      <c r="AX51" s="996" t="n"/>
      <c r="AY51" s="997" t="n"/>
      <c r="AZ51" s="996" t="n"/>
      <c r="BA51" s="997" t="n"/>
      <c r="BB51" s="996" t="n"/>
      <c r="BC51" s="997" t="n"/>
      <c r="BD51" s="996" t="n"/>
      <c r="BE51" s="997" t="n"/>
      <c r="BF51" s="998" t="n"/>
      <c r="BG51" s="999" t="n"/>
      <c r="BH51" s="996" t="n"/>
      <c r="BI51" s="997" t="n"/>
      <c r="BJ51" s="996" t="n"/>
      <c r="BK51" s="997" t="n"/>
      <c r="BL51" s="996" t="n"/>
      <c r="BM51" s="997" t="n"/>
      <c r="BN51" s="996" t="n"/>
      <c r="BO51" s="997" t="n"/>
      <c r="BP51" s="996" t="n"/>
      <c r="BQ51" s="997" t="n"/>
      <c r="BR51" s="1000" t="n">
        <v>0</v>
      </c>
      <c r="BS51" s="997" t="n">
        <v>0</v>
      </c>
      <c r="BT51" s="996" t="n"/>
      <c r="BU51" s="997" t="n"/>
      <c r="BV51" s="996" t="n"/>
      <c r="BW51" s="997" t="n"/>
      <c r="BX51" s="996" t="n"/>
      <c r="BY51" s="997" t="n"/>
      <c r="BZ51" s="996" t="n"/>
      <c r="CA51" s="997" t="n"/>
      <c r="CB51" s="996" t="n"/>
      <c r="CC51" s="997" t="n"/>
      <c r="CD51" s="996" t="n"/>
      <c r="CE51" s="997" t="n"/>
      <c r="CF51" s="996" t="n"/>
      <c r="CG51" s="997" t="n"/>
      <c r="CH51" s="998" t="n"/>
      <c r="CI51" s="999" t="n"/>
      <c r="CJ51" s="55" t="n"/>
      <c r="CK51" s="997" t="n"/>
      <c r="CL51" s="1002" t="n"/>
      <c r="CM51" s="997" t="n"/>
      <c r="CN51" s="1002" t="n"/>
      <c r="CO51" s="1001" t="n"/>
      <c r="CP51" s="1002" t="n"/>
      <c r="CQ51" s="1001" t="n"/>
      <c r="CR51" s="1002" t="n"/>
      <c r="CS51" s="1001" t="n"/>
      <c r="CT51" s="1002" t="n"/>
      <c r="CU51" s="1001" t="n"/>
      <c r="CV51" s="1002" t="n"/>
      <c r="CW51" s="1001" t="n"/>
      <c r="CX51" s="1002" t="n"/>
      <c r="CY51" s="1001" t="n"/>
      <c r="CZ51" s="1002" t="n"/>
      <c r="DA51" s="1001" t="n"/>
      <c r="DB51" s="1002" t="n"/>
      <c r="DC51" s="1001" t="n"/>
      <c r="DD51" s="1002" t="n"/>
      <c r="DE51" s="1001" t="n"/>
      <c r="DF51" s="1002" t="n"/>
      <c r="DG51" s="1001" t="n"/>
      <c r="DH51" s="1002" t="n"/>
      <c r="DI51" s="1001" t="n"/>
      <c r="DJ51" s="1001" t="n"/>
      <c r="DK51" s="1001" t="n"/>
      <c r="DL51" s="1003" t="n"/>
      <c r="DM51" s="1001" t="n"/>
      <c r="DX51" s="52" t="n">
        <v>0</v>
      </c>
    </row>
    <row r="52" hidden="1">
      <c r="A52" s="7" t="n">
        <v>109</v>
      </c>
      <c r="B52" s="8" t="inlineStr">
        <is>
          <t>Columbus 700ml</t>
        </is>
      </c>
      <c r="C52" s="8" t="inlineStr">
        <is>
          <t>ပုလင်း</t>
        </is>
      </c>
      <c r="D52" s="7" t="n">
        <v>4</v>
      </c>
      <c r="E52" s="7" t="n">
        <v>0.7</v>
      </c>
      <c r="F52" s="7" t="inlineStr">
        <is>
          <t>1 * 12</t>
        </is>
      </c>
      <c r="G52" s="7" t="n">
        <v>4500</v>
      </c>
      <c r="H52" s="975" t="n">
        <v>360</v>
      </c>
      <c r="I52" s="976" t="n">
        <v>252</v>
      </c>
      <c r="J52" s="975" t="n">
        <v>221</v>
      </c>
      <c r="K52" s="976" t="n">
        <v>154.7</v>
      </c>
      <c r="L52" s="975" t="n">
        <v>718</v>
      </c>
      <c r="M52" s="976" t="n">
        <v>502.6</v>
      </c>
      <c r="N52" s="975" t="n">
        <v>566</v>
      </c>
      <c r="O52" s="976" t="n">
        <v>396.2</v>
      </c>
      <c r="P52" s="975" t="n">
        <v>240</v>
      </c>
      <c r="Q52" s="976" t="n">
        <v>168</v>
      </c>
      <c r="R52" s="975" t="n">
        <v>69</v>
      </c>
      <c r="S52" s="976" t="n">
        <v>48.3</v>
      </c>
      <c r="T52" s="975" t="n">
        <v>195</v>
      </c>
      <c r="U52" s="976" t="n">
        <v>136.5</v>
      </c>
      <c r="V52" s="975" t="n">
        <v>131</v>
      </c>
      <c r="W52" s="976" t="n">
        <v>91.69999999999999</v>
      </c>
      <c r="X52" s="975" t="n">
        <v>84</v>
      </c>
      <c r="Y52" s="976" t="n">
        <v>58.8</v>
      </c>
      <c r="Z52" s="975" t="n">
        <v>81</v>
      </c>
      <c r="AA52" s="976" t="n">
        <v>56.7</v>
      </c>
      <c r="AB52" s="975" t="n">
        <v>95</v>
      </c>
      <c r="AC52" s="976" t="n">
        <v>66.5</v>
      </c>
      <c r="AD52" s="975" t="n">
        <v>432</v>
      </c>
      <c r="AE52" s="976" t="n">
        <v>302.4</v>
      </c>
      <c r="AF52" s="977" t="n">
        <v>266</v>
      </c>
      <c r="AG52" s="978" t="n">
        <v>186.2</v>
      </c>
      <c r="AH52" s="975" t="n">
        <v>209</v>
      </c>
      <c r="AI52" s="976" t="n">
        <v>146.3</v>
      </c>
      <c r="AJ52" s="975" t="n">
        <v>392</v>
      </c>
      <c r="AK52" s="976" t="n">
        <v>274.4</v>
      </c>
      <c r="AL52" s="975" t="n">
        <v>72</v>
      </c>
      <c r="AM52" s="976" t="n">
        <v>50.4</v>
      </c>
      <c r="AN52" s="975" t="n">
        <v>128</v>
      </c>
      <c r="AO52" s="976" t="n">
        <v>89.59999999999999</v>
      </c>
      <c r="AP52" s="975" t="n">
        <v>49</v>
      </c>
      <c r="AQ52" s="976" t="n">
        <v>34.3</v>
      </c>
      <c r="AR52" s="975" t="n">
        <v>311</v>
      </c>
      <c r="AS52" s="976" t="n">
        <v>217.7</v>
      </c>
      <c r="AT52" s="975" t="n">
        <v>71</v>
      </c>
      <c r="AU52" s="976" t="n">
        <v>49.7</v>
      </c>
      <c r="AV52" s="975" t="n">
        <v>60</v>
      </c>
      <c r="AW52" s="976" t="n">
        <v>42</v>
      </c>
      <c r="AX52" s="975" t="n">
        <v>33</v>
      </c>
      <c r="AY52" s="976" t="n">
        <v>23.1</v>
      </c>
      <c r="AZ52" s="975" t="n">
        <v>75</v>
      </c>
      <c r="BA52" s="976" t="n">
        <v>52.5</v>
      </c>
      <c r="BB52" s="975" t="n">
        <v>18</v>
      </c>
      <c r="BC52" s="976" t="n">
        <v>12.6</v>
      </c>
      <c r="BD52" s="975" t="n">
        <v>54</v>
      </c>
      <c r="BE52" s="976" t="n">
        <v>37.8</v>
      </c>
      <c r="BF52" s="977" t="n">
        <v>122.6666666666667</v>
      </c>
      <c r="BG52" s="978" t="n">
        <v>85.86666666666666</v>
      </c>
      <c r="BH52" s="975" t="n">
        <v>36</v>
      </c>
      <c r="BI52" s="976" t="n">
        <v>25.2</v>
      </c>
      <c r="BJ52" s="975" t="n">
        <v>24</v>
      </c>
      <c r="BK52" s="976" t="n">
        <v>16.8</v>
      </c>
      <c r="BL52" s="975" t="n">
        <v>48</v>
      </c>
      <c r="BM52" s="976" t="n">
        <v>33.59999999999999</v>
      </c>
      <c r="BN52" s="975" t="n"/>
      <c r="BO52" s="976" t="n">
        <v>0</v>
      </c>
      <c r="BP52" s="975" t="n"/>
      <c r="BQ52" s="976" t="n">
        <v>0</v>
      </c>
      <c r="BR52" s="979" t="n">
        <v>21.6</v>
      </c>
      <c r="BS52" s="976" t="n">
        <v>15.12</v>
      </c>
      <c r="BT52" s="975" t="n"/>
      <c r="BU52" s="976" t="n">
        <v>0</v>
      </c>
      <c r="BV52" s="975" t="n">
        <v>1</v>
      </c>
      <c r="BW52" s="976" t="n">
        <v>0.7</v>
      </c>
      <c r="BX52" s="975" t="n">
        <v>27</v>
      </c>
      <c r="BY52" s="976" t="n">
        <v>18.9</v>
      </c>
      <c r="BZ52" s="975" t="n">
        <v>1</v>
      </c>
      <c r="CA52" s="976" t="n">
        <v>0.7</v>
      </c>
      <c r="CB52" s="975" t="n">
        <v>1</v>
      </c>
      <c r="CC52" s="976" t="n">
        <v>0.7</v>
      </c>
      <c r="CD52" s="975" t="n">
        <v>4</v>
      </c>
      <c r="CE52" s="976" t="n">
        <v>2.8</v>
      </c>
      <c r="CF52" s="975" t="n">
        <v>1</v>
      </c>
      <c r="CG52" s="976" t="n">
        <v>0.7</v>
      </c>
      <c r="CH52" s="977" t="n">
        <v>11.91666666666667</v>
      </c>
      <c r="CI52" s="978" t="n">
        <v>8.341666666666665</v>
      </c>
      <c r="CJ52" s="980" t="n">
        <v>11</v>
      </c>
      <c r="CK52" s="976" t="n">
        <v>7.699999999999999</v>
      </c>
      <c r="CL52" s="982" t="n"/>
      <c r="CM52" s="976" t="n">
        <v>0</v>
      </c>
      <c r="CN52" s="982" t="n"/>
      <c r="CO52" s="15" t="n">
        <v>0</v>
      </c>
      <c r="CP52" s="982" t="n"/>
      <c r="CQ52" s="15" t="n">
        <v>0</v>
      </c>
      <c r="CR52" s="982" t="n"/>
      <c r="CS52" s="15" t="n">
        <v>0</v>
      </c>
      <c r="CT52" s="982" t="n"/>
      <c r="CU52" s="15" t="n">
        <v>0</v>
      </c>
      <c r="CV52" s="982" t="n"/>
      <c r="CW52" s="15" t="n">
        <v>0</v>
      </c>
      <c r="CX52" s="982" t="n"/>
      <c r="CY52" s="15" t="n">
        <v>0</v>
      </c>
      <c r="CZ52" s="982" t="n"/>
      <c r="DA52" s="15" t="n">
        <v>0</v>
      </c>
      <c r="DB52" s="982" t="n"/>
      <c r="DC52" s="15" t="n">
        <v>0</v>
      </c>
      <c r="DD52" s="982" t="n"/>
      <c r="DE52" s="15" t="n">
        <v>0</v>
      </c>
      <c r="DF52" s="982" t="n"/>
      <c r="DG52" s="15" t="n">
        <v>0</v>
      </c>
      <c r="DH52" s="982" t="n"/>
      <c r="DI52" s="15" t="n">
        <v>0</v>
      </c>
      <c r="DJ52" s="15" t="n"/>
      <c r="DK52" s="15" t="n"/>
      <c r="DL52" s="983" t="n">
        <v>0</v>
      </c>
      <c r="DM52" s="984" t="n">
        <v>0</v>
      </c>
      <c r="DX52" s="52" t="n">
        <v>0</v>
      </c>
    </row>
    <row r="53" hidden="1">
      <c r="A53" s="7" t="n">
        <v>110</v>
      </c>
      <c r="B53" s="8" t="inlineStr">
        <is>
          <t>Columbus 350ml</t>
        </is>
      </c>
      <c r="C53" s="8" t="inlineStr">
        <is>
          <t>ပုလင်း</t>
        </is>
      </c>
      <c r="D53" s="7" t="n">
        <v>4</v>
      </c>
      <c r="E53" s="7" t="n">
        <v>0.35</v>
      </c>
      <c r="F53" s="7" t="inlineStr">
        <is>
          <t>1 * 24</t>
        </is>
      </c>
      <c r="G53" s="7" t="n">
        <v>2300</v>
      </c>
      <c r="H53" s="975" t="n">
        <v>72</v>
      </c>
      <c r="I53" s="976" t="n">
        <v>25.2</v>
      </c>
      <c r="J53" s="975" t="n">
        <v>6</v>
      </c>
      <c r="K53" s="976" t="n">
        <v>2.1</v>
      </c>
      <c r="L53" s="975" t="n"/>
      <c r="M53" s="976" t="n">
        <v>0</v>
      </c>
      <c r="N53" s="975" t="n">
        <v>144</v>
      </c>
      <c r="O53" s="976" t="n">
        <v>50.4</v>
      </c>
      <c r="P53" s="975" t="n">
        <v>34</v>
      </c>
      <c r="Q53" s="976" t="n">
        <v>11.9</v>
      </c>
      <c r="R53" s="975" t="n">
        <v>6</v>
      </c>
      <c r="S53" s="976" t="n">
        <v>2.1</v>
      </c>
      <c r="T53" s="975" t="n">
        <v>24</v>
      </c>
      <c r="U53" s="976" t="n">
        <v>8.399999999999999</v>
      </c>
      <c r="V53" s="975" t="n">
        <v>48</v>
      </c>
      <c r="W53" s="976" t="n">
        <v>16.8</v>
      </c>
      <c r="X53" s="975" t="n">
        <v>24</v>
      </c>
      <c r="Y53" s="976" t="n">
        <v>8.399999999999999</v>
      </c>
      <c r="Z53" s="975" t="n"/>
      <c r="AA53" s="976" t="n">
        <v>0</v>
      </c>
      <c r="AB53" s="975" t="n"/>
      <c r="AC53" s="976" t="n">
        <v>0</v>
      </c>
      <c r="AD53" s="975" t="n"/>
      <c r="AE53" s="976" t="n">
        <v>0</v>
      </c>
      <c r="AF53" s="977" t="n">
        <v>29.83333333333333</v>
      </c>
      <c r="AG53" s="978" t="n">
        <v>10.44166666666667</v>
      </c>
      <c r="AH53" s="975" t="n">
        <v>102</v>
      </c>
      <c r="AI53" s="976" t="n">
        <v>35.7</v>
      </c>
      <c r="AJ53" s="975" t="n">
        <v>6</v>
      </c>
      <c r="AK53" s="976" t="n">
        <v>2.1</v>
      </c>
      <c r="AL53" s="975" t="n"/>
      <c r="AM53" s="976" t="n">
        <v>0</v>
      </c>
      <c r="AN53" s="975" t="n">
        <v>1</v>
      </c>
      <c r="AO53" s="976" t="n">
        <v>0.35</v>
      </c>
      <c r="AP53" s="975" t="n"/>
      <c r="AQ53" s="976" t="n">
        <v>0</v>
      </c>
      <c r="AR53" s="975" t="n"/>
      <c r="AS53" s="976" t="n">
        <v>0</v>
      </c>
      <c r="AT53" s="975" t="n"/>
      <c r="AU53" s="976" t="n">
        <v>0</v>
      </c>
      <c r="AV53" s="975" t="n"/>
      <c r="AW53" s="976" t="n">
        <v>0</v>
      </c>
      <c r="AX53" s="975" t="n"/>
      <c r="AY53" s="976" t="n">
        <v>0</v>
      </c>
      <c r="AZ53" s="975" t="n">
        <v>12</v>
      </c>
      <c r="BA53" s="976" t="n">
        <v>4.199999999999999</v>
      </c>
      <c r="BB53" s="975" t="n">
        <v>12</v>
      </c>
      <c r="BC53" s="976" t="n">
        <v>4.199999999999999</v>
      </c>
      <c r="BD53" s="975" t="n">
        <v>48</v>
      </c>
      <c r="BE53" s="976" t="n">
        <v>16.8</v>
      </c>
      <c r="BF53" s="977" t="n">
        <v>15.08333333333333</v>
      </c>
      <c r="BG53" s="978" t="n">
        <v>5.279166666666667</v>
      </c>
      <c r="BH53" s="975" t="n">
        <v>48</v>
      </c>
      <c r="BI53" s="976" t="n">
        <v>16.8</v>
      </c>
      <c r="BJ53" s="975" t="n">
        <v>28</v>
      </c>
      <c r="BK53" s="976" t="n">
        <v>9.799999999999999</v>
      </c>
      <c r="BL53" s="975" t="n">
        <v>112</v>
      </c>
      <c r="BM53" s="976" t="n">
        <v>39.2</v>
      </c>
      <c r="BN53" s="975" t="n"/>
      <c r="BO53" s="976" t="n">
        <v>0</v>
      </c>
      <c r="BP53" s="975" t="n"/>
      <c r="BQ53" s="976" t="n">
        <v>0</v>
      </c>
      <c r="BR53" s="979" t="n">
        <v>37.6</v>
      </c>
      <c r="BS53" s="976" t="n">
        <v>13.16</v>
      </c>
      <c r="BT53" s="975" t="n"/>
      <c r="BU53" s="976" t="n">
        <v>0</v>
      </c>
      <c r="BV53" s="975" t="n"/>
      <c r="BW53" s="976" t="n">
        <v>0</v>
      </c>
      <c r="BX53" s="975" t="n">
        <v>48</v>
      </c>
      <c r="BY53" s="976" t="n">
        <v>16.8</v>
      </c>
      <c r="BZ53" s="975" t="n"/>
      <c r="CA53" s="976" t="n">
        <v>0</v>
      </c>
      <c r="CB53" s="975" t="n"/>
      <c r="CC53" s="976" t="n">
        <v>0</v>
      </c>
      <c r="CD53" s="975" t="n">
        <v>1</v>
      </c>
      <c r="CE53" s="976" t="n">
        <v>0.35</v>
      </c>
      <c r="CF53" s="975" t="n">
        <v>10</v>
      </c>
      <c r="CG53" s="976" t="n">
        <v>3.5</v>
      </c>
      <c r="CH53" s="977" t="n">
        <v>20.58333333333333</v>
      </c>
      <c r="CI53" s="978" t="n">
        <v>7.204166666666666</v>
      </c>
      <c r="CJ53" s="980" t="n">
        <v>21</v>
      </c>
      <c r="CK53" s="976" t="n">
        <v>7.35</v>
      </c>
      <c r="CL53" s="982" t="n"/>
      <c r="CM53" s="976" t="n">
        <v>0</v>
      </c>
      <c r="CN53" s="982" t="n"/>
      <c r="CO53" s="15" t="n">
        <v>0</v>
      </c>
      <c r="CP53" s="982" t="n"/>
      <c r="CQ53" s="15" t="n">
        <v>0</v>
      </c>
      <c r="CR53" s="982" t="n"/>
      <c r="CS53" s="15" t="n">
        <v>0</v>
      </c>
      <c r="CT53" s="982" t="n"/>
      <c r="CU53" s="15" t="n">
        <v>0</v>
      </c>
      <c r="CV53" s="982" t="n"/>
      <c r="CW53" s="15" t="n">
        <v>0</v>
      </c>
      <c r="CX53" s="982" t="n"/>
      <c r="CY53" s="15" t="n">
        <v>0</v>
      </c>
      <c r="CZ53" s="982" t="n"/>
      <c r="DA53" s="15" t="n">
        <v>0</v>
      </c>
      <c r="DB53" s="982" t="n"/>
      <c r="DC53" s="15" t="n">
        <v>0</v>
      </c>
      <c r="DD53" s="982" t="n"/>
      <c r="DE53" s="15" t="n">
        <v>0</v>
      </c>
      <c r="DF53" s="982" t="n"/>
      <c r="DG53" s="15" t="n">
        <v>0</v>
      </c>
      <c r="DH53" s="982" t="n"/>
      <c r="DI53" s="15" t="n">
        <v>0</v>
      </c>
      <c r="DJ53" s="15" t="n"/>
      <c r="DK53" s="15" t="n"/>
      <c r="DL53" s="983" t="n">
        <v>0</v>
      </c>
      <c r="DM53" s="984" t="n">
        <v>0</v>
      </c>
      <c r="DX53" s="52" t="n">
        <v>0</v>
      </c>
    </row>
    <row r="54" hidden="1">
      <c r="A54" s="7" t="n">
        <v>111</v>
      </c>
      <c r="B54" s="8" t="inlineStr">
        <is>
          <t>Columbus 175ml</t>
        </is>
      </c>
      <c r="C54" s="8" t="inlineStr">
        <is>
          <t>ပုလင်း</t>
        </is>
      </c>
      <c r="D54" s="7" t="n">
        <v>4</v>
      </c>
      <c r="E54" s="7" t="n">
        <v>0.175</v>
      </c>
      <c r="F54" s="7" t="inlineStr">
        <is>
          <t>1 * 48</t>
        </is>
      </c>
      <c r="G54" s="7" t="n">
        <v>1300</v>
      </c>
      <c r="H54" s="975" t="n"/>
      <c r="I54" s="976" t="n">
        <v>0</v>
      </c>
      <c r="J54" s="975" t="n"/>
      <c r="K54" s="976" t="n">
        <v>0</v>
      </c>
      <c r="L54" s="975" t="n"/>
      <c r="M54" s="976" t="n">
        <v>0</v>
      </c>
      <c r="N54" s="975" t="n"/>
      <c r="O54" s="976" t="n">
        <v>0</v>
      </c>
      <c r="P54" s="975" t="n"/>
      <c r="Q54" s="976" t="n">
        <v>0</v>
      </c>
      <c r="R54" s="975" t="n"/>
      <c r="S54" s="976" t="n">
        <v>0</v>
      </c>
      <c r="T54" s="975" t="n"/>
      <c r="U54" s="976" t="n">
        <v>0</v>
      </c>
      <c r="V54" s="975" t="n"/>
      <c r="W54" s="976" t="n">
        <v>0</v>
      </c>
      <c r="X54" s="975" t="n"/>
      <c r="Y54" s="976" t="n">
        <v>0</v>
      </c>
      <c r="Z54" s="975" t="n"/>
      <c r="AA54" s="976" t="n">
        <v>0</v>
      </c>
      <c r="AB54" s="975" t="n"/>
      <c r="AC54" s="976" t="n">
        <v>0</v>
      </c>
      <c r="AD54" s="975" t="n"/>
      <c r="AE54" s="976" t="n">
        <v>0</v>
      </c>
      <c r="AF54" s="977" t="n">
        <v>0</v>
      </c>
      <c r="AG54" s="978" t="n">
        <v>0</v>
      </c>
      <c r="AH54" s="975" t="n"/>
      <c r="AI54" s="976" t="n">
        <v>0</v>
      </c>
      <c r="AJ54" s="975" t="n"/>
      <c r="AK54" s="976" t="n">
        <v>0</v>
      </c>
      <c r="AL54" s="975" t="n"/>
      <c r="AM54" s="976" t="n">
        <v>0</v>
      </c>
      <c r="AN54" s="975" t="n"/>
      <c r="AO54" s="976" t="n">
        <v>0</v>
      </c>
      <c r="AP54" s="975" t="n"/>
      <c r="AQ54" s="976" t="n">
        <v>0</v>
      </c>
      <c r="AR54" s="975" t="n"/>
      <c r="AS54" s="976" t="n">
        <v>0</v>
      </c>
      <c r="AT54" s="975" t="n"/>
      <c r="AU54" s="976" t="n">
        <v>0</v>
      </c>
      <c r="AV54" s="975" t="n"/>
      <c r="AW54" s="976" t="n">
        <v>0</v>
      </c>
      <c r="AX54" s="975" t="n"/>
      <c r="AY54" s="976" t="n">
        <v>0</v>
      </c>
      <c r="AZ54" s="975" t="n"/>
      <c r="BA54" s="976" t="n">
        <v>0</v>
      </c>
      <c r="BB54" s="975" t="n"/>
      <c r="BC54" s="976" t="n">
        <v>0</v>
      </c>
      <c r="BD54" s="975" t="n"/>
      <c r="BE54" s="976" t="n">
        <v>0</v>
      </c>
      <c r="BF54" s="977" t="n">
        <v>0</v>
      </c>
      <c r="BG54" s="978" t="n">
        <v>0</v>
      </c>
      <c r="BH54" s="975" t="n"/>
      <c r="BI54" s="976" t="n">
        <v>0</v>
      </c>
      <c r="BJ54" s="975" t="n">
        <v>55</v>
      </c>
      <c r="BK54" s="976" t="n">
        <v>9.625</v>
      </c>
      <c r="BL54" s="975" t="n">
        <v>270</v>
      </c>
      <c r="BM54" s="976" t="n">
        <v>47.25</v>
      </c>
      <c r="BN54" s="975" t="n"/>
      <c r="BO54" s="976" t="n">
        <v>0</v>
      </c>
      <c r="BP54" s="975" t="n"/>
      <c r="BQ54" s="976" t="n">
        <v>0</v>
      </c>
      <c r="BR54" s="979" t="n">
        <v>65</v>
      </c>
      <c r="BS54" s="976" t="n">
        <v>11.375</v>
      </c>
      <c r="BT54" s="975" t="n"/>
      <c r="BU54" s="976" t="n">
        <v>0</v>
      </c>
      <c r="BV54" s="975" t="n"/>
      <c r="BW54" s="976" t="n">
        <v>0</v>
      </c>
      <c r="BX54" s="975" t="n"/>
      <c r="BY54" s="976" t="n">
        <v>0</v>
      </c>
      <c r="BZ54" s="975" t="n"/>
      <c r="CA54" s="976" t="n">
        <v>0</v>
      </c>
      <c r="CB54" s="975" t="n"/>
      <c r="CC54" s="976" t="n">
        <v>0</v>
      </c>
      <c r="CD54" s="975" t="n"/>
      <c r="CE54" s="976" t="n">
        <v>0</v>
      </c>
      <c r="CF54" s="975" t="n"/>
      <c r="CG54" s="976" t="n">
        <v>0</v>
      </c>
      <c r="CH54" s="977" t="n">
        <v>27.08333333333333</v>
      </c>
      <c r="CI54" s="978" t="n">
        <v>4.739583333333333</v>
      </c>
      <c r="CJ54" s="980" t="n">
        <v>27</v>
      </c>
      <c r="CK54" s="976" t="n">
        <v>4.725</v>
      </c>
      <c r="CL54" s="982" t="n"/>
      <c r="CM54" s="976" t="n">
        <v>0</v>
      </c>
      <c r="CN54" s="982" t="n"/>
      <c r="CO54" s="15" t="n">
        <v>0</v>
      </c>
      <c r="CP54" s="982" t="n"/>
      <c r="CQ54" s="15" t="n">
        <v>0</v>
      </c>
      <c r="CR54" s="982" t="n"/>
      <c r="CS54" s="15" t="n">
        <v>0</v>
      </c>
      <c r="CT54" s="982" t="n"/>
      <c r="CU54" s="15" t="n">
        <v>0</v>
      </c>
      <c r="CV54" s="982" t="n"/>
      <c r="CW54" s="15" t="n">
        <v>0</v>
      </c>
      <c r="CX54" s="982" t="n"/>
      <c r="CY54" s="15" t="n">
        <v>0</v>
      </c>
      <c r="CZ54" s="982" t="n"/>
      <c r="DA54" s="15" t="n">
        <v>0</v>
      </c>
      <c r="DB54" s="982" t="n"/>
      <c r="DC54" s="15" t="n">
        <v>0</v>
      </c>
      <c r="DD54" s="982" t="n"/>
      <c r="DE54" s="15" t="n">
        <v>0</v>
      </c>
      <c r="DF54" s="982" t="n"/>
      <c r="DG54" s="15" t="n">
        <v>0</v>
      </c>
      <c r="DH54" s="982" t="n"/>
      <c r="DI54" s="15" t="n">
        <v>0</v>
      </c>
      <c r="DJ54" s="15" t="n"/>
      <c r="DK54" s="15" t="n"/>
      <c r="DL54" s="983" t="n">
        <v>0</v>
      </c>
      <c r="DM54" s="984" t="n">
        <v>0</v>
      </c>
      <c r="DX54" s="52" t="n">
        <v>0</v>
      </c>
    </row>
    <row r="55" hidden="1">
      <c r="A55" s="7" t="n">
        <v>112</v>
      </c>
      <c r="B55" s="8" t="inlineStr">
        <is>
          <t xml:space="preserve">SRS - Columbus 700ml </t>
        </is>
      </c>
      <c r="C55" s="8" t="inlineStr">
        <is>
          <t>ပုလင်း</t>
        </is>
      </c>
      <c r="D55" s="7" t="n">
        <v>3</v>
      </c>
      <c r="E55" s="7" t="n">
        <v>0.7</v>
      </c>
      <c r="F55" s="7" t="inlineStr">
        <is>
          <t>1 * 12</t>
        </is>
      </c>
      <c r="G55" s="7" t="n">
        <v>5200</v>
      </c>
      <c r="H55" s="975" t="n">
        <v>8306</v>
      </c>
      <c r="I55" s="976" t="n">
        <v>5814.2</v>
      </c>
      <c r="J55" s="975" t="n">
        <v>1847</v>
      </c>
      <c r="K55" s="976" t="n">
        <v>1292.9</v>
      </c>
      <c r="L55" s="975" t="n">
        <v>2348</v>
      </c>
      <c r="M55" s="976" t="n">
        <v>1643.6</v>
      </c>
      <c r="N55" s="975" t="n">
        <v>5341</v>
      </c>
      <c r="O55" s="976" t="n">
        <v>3738.7</v>
      </c>
      <c r="P55" s="975" t="n">
        <v>1829</v>
      </c>
      <c r="Q55" s="976" t="n">
        <v>1280.3</v>
      </c>
      <c r="R55" s="975" t="n">
        <v>1932</v>
      </c>
      <c r="S55" s="976" t="n">
        <v>1352.4</v>
      </c>
      <c r="T55" s="975" t="n">
        <v>2389</v>
      </c>
      <c r="U55" s="976" t="n">
        <v>1672.3</v>
      </c>
      <c r="V55" s="975" t="n">
        <v>1652</v>
      </c>
      <c r="W55" s="976" t="n">
        <v>1156.4</v>
      </c>
      <c r="X55" s="975" t="n">
        <v>906</v>
      </c>
      <c r="Y55" s="976" t="n">
        <v>634.1999999999999</v>
      </c>
      <c r="Z55" s="975" t="n">
        <v>977</v>
      </c>
      <c r="AA55" s="976" t="n">
        <v>683.9</v>
      </c>
      <c r="AB55" s="975" t="n">
        <v>1059</v>
      </c>
      <c r="AC55" s="976" t="n">
        <v>741.3</v>
      </c>
      <c r="AD55" s="975" t="n">
        <v>1318</v>
      </c>
      <c r="AE55" s="976" t="n">
        <v>922.5999999999999</v>
      </c>
      <c r="AF55" s="977" t="n">
        <v>2492</v>
      </c>
      <c r="AG55" s="978" t="n">
        <v>1744.4</v>
      </c>
      <c r="AH55" s="975" t="n">
        <v>1243</v>
      </c>
      <c r="AI55" s="976" t="n">
        <v>870.0999999999999</v>
      </c>
      <c r="AJ55" s="975" t="n">
        <v>972</v>
      </c>
      <c r="AK55" s="976" t="n">
        <v>680.4</v>
      </c>
      <c r="AL55" s="975" t="n">
        <v>910</v>
      </c>
      <c r="AM55" s="976" t="n">
        <v>637</v>
      </c>
      <c r="AN55" s="975" t="n">
        <v>759</v>
      </c>
      <c r="AO55" s="976" t="n">
        <v>531.3</v>
      </c>
      <c r="AP55" s="975" t="n">
        <v>837</v>
      </c>
      <c r="AQ55" s="976" t="n">
        <v>585.9</v>
      </c>
      <c r="AR55" s="975" t="n">
        <v>559</v>
      </c>
      <c r="AS55" s="976" t="n">
        <v>391.3</v>
      </c>
      <c r="AT55" s="975" t="n">
        <v>616</v>
      </c>
      <c r="AU55" s="976" t="n">
        <v>431.2</v>
      </c>
      <c r="AV55" s="975" t="n">
        <v>671</v>
      </c>
      <c r="AW55" s="976" t="n">
        <v>469.7</v>
      </c>
      <c r="AX55" s="975" t="n">
        <v>625</v>
      </c>
      <c r="AY55" s="976" t="n">
        <v>437.5</v>
      </c>
      <c r="AZ55" s="975" t="n">
        <v>439</v>
      </c>
      <c r="BA55" s="976" t="n">
        <v>307.3</v>
      </c>
      <c r="BB55" s="975" t="n">
        <v>471</v>
      </c>
      <c r="BC55" s="976" t="n">
        <v>329.7</v>
      </c>
      <c r="BD55" s="975" t="n">
        <v>1158</v>
      </c>
      <c r="BE55" s="976" t="n">
        <v>810.5999999999999</v>
      </c>
      <c r="BF55" s="977" t="n">
        <v>771.6666666666666</v>
      </c>
      <c r="BG55" s="978" t="n">
        <v>540.1666666666666</v>
      </c>
      <c r="BH55" s="975" t="n">
        <v>588</v>
      </c>
      <c r="BI55" s="976" t="n">
        <v>411.6</v>
      </c>
      <c r="BJ55" s="975" t="n">
        <v>956</v>
      </c>
      <c r="BK55" s="976" t="n">
        <v>669.1999999999999</v>
      </c>
      <c r="BL55" s="975" t="n">
        <v>967</v>
      </c>
      <c r="BM55" s="976" t="n">
        <v>676.9</v>
      </c>
      <c r="BN55" s="975" t="n">
        <v>516</v>
      </c>
      <c r="BO55" s="976" t="n">
        <v>361.2</v>
      </c>
      <c r="BP55" s="975" t="n">
        <v>220</v>
      </c>
      <c r="BQ55" s="976" t="n">
        <v>154</v>
      </c>
      <c r="BR55" s="979" t="n">
        <v>649.4</v>
      </c>
      <c r="BS55" s="976" t="n">
        <v>454.5799999999999</v>
      </c>
      <c r="BT55" s="975" t="n">
        <v>623</v>
      </c>
      <c r="BU55" s="976" t="n">
        <v>436.1</v>
      </c>
      <c r="BV55" s="975" t="n">
        <v>657</v>
      </c>
      <c r="BW55" s="976" t="n">
        <v>459.9</v>
      </c>
      <c r="BX55" s="975" t="n">
        <v>291</v>
      </c>
      <c r="BY55" s="976" t="n">
        <v>203.7</v>
      </c>
      <c r="BZ55" s="975" t="n">
        <v>228</v>
      </c>
      <c r="CA55" s="976" t="n">
        <v>159.6</v>
      </c>
      <c r="CB55" s="975" t="n">
        <v>450</v>
      </c>
      <c r="CC55" s="976" t="n">
        <v>315</v>
      </c>
      <c r="CD55" s="975" t="n">
        <v>234</v>
      </c>
      <c r="CE55" s="976" t="n">
        <v>163.8</v>
      </c>
      <c r="CF55" s="975" t="n">
        <v>90</v>
      </c>
      <c r="CG55" s="976" t="n">
        <v>62.99999999999999</v>
      </c>
      <c r="CH55" s="977" t="n">
        <v>485</v>
      </c>
      <c r="CI55" s="978" t="n">
        <v>339.5</v>
      </c>
      <c r="CJ55" s="980" t="n">
        <v>485</v>
      </c>
      <c r="CK55" s="976" t="n">
        <v>339.5</v>
      </c>
      <c r="CL55" s="982" t="n">
        <v>61</v>
      </c>
      <c r="CM55" s="976" t="n">
        <v>42.7</v>
      </c>
      <c r="CN55" s="982" t="n">
        <v>78</v>
      </c>
      <c r="CO55" s="15" t="n">
        <v>54.59999999999999</v>
      </c>
      <c r="CP55" s="982" t="n">
        <v>12</v>
      </c>
      <c r="CQ55" s="15" t="n">
        <v>8.399999999999999</v>
      </c>
      <c r="CR55" s="982" t="n">
        <v>54</v>
      </c>
      <c r="CS55" s="15" t="n">
        <v>37.8</v>
      </c>
      <c r="CT55" s="982" t="n">
        <v>42</v>
      </c>
      <c r="CU55" s="15" t="n">
        <v>29.4</v>
      </c>
      <c r="CV55" s="982" t="n"/>
      <c r="CW55" s="15" t="n">
        <v>0</v>
      </c>
      <c r="CX55" s="982" t="n"/>
      <c r="CY55" s="15" t="n">
        <v>0</v>
      </c>
      <c r="CZ55" s="982" t="n"/>
      <c r="DA55" s="15" t="n">
        <v>0</v>
      </c>
      <c r="DB55" s="982" t="n"/>
      <c r="DC55" s="15" t="n">
        <v>0</v>
      </c>
      <c r="DD55" s="982" t="n"/>
      <c r="DE55" s="15" t="n">
        <v>0</v>
      </c>
      <c r="DF55" s="982" t="n"/>
      <c r="DG55" s="15" t="n">
        <v>0</v>
      </c>
      <c r="DH55" s="982" t="n"/>
      <c r="DI55" s="15" t="n">
        <v>0</v>
      </c>
      <c r="DJ55" s="15" t="n"/>
      <c r="DK55" s="15" t="n"/>
      <c r="DL55" s="983" t="n">
        <v>247</v>
      </c>
      <c r="DM55" s="984" t="n">
        <v>172.9</v>
      </c>
      <c r="DX55" s="52" t="n">
        <v>0</v>
      </c>
    </row>
    <row r="56" hidden="1">
      <c r="A56" s="7" t="n">
        <v>113</v>
      </c>
      <c r="B56" s="8" t="inlineStr">
        <is>
          <t xml:space="preserve">SRS - Columbus 350ml </t>
        </is>
      </c>
      <c r="C56" s="8" t="inlineStr">
        <is>
          <t>ပုလင်း</t>
        </is>
      </c>
      <c r="D56" s="7" t="n">
        <v>1</v>
      </c>
      <c r="E56" s="7" t="n">
        <v>0.35</v>
      </c>
      <c r="F56" s="7" t="inlineStr">
        <is>
          <t>1 * 24</t>
        </is>
      </c>
      <c r="G56" s="7" t="n">
        <v>2600</v>
      </c>
      <c r="H56" s="975" t="n">
        <v>8074</v>
      </c>
      <c r="I56" s="976" t="n">
        <v>2825.9</v>
      </c>
      <c r="J56" s="975" t="n">
        <v>3737</v>
      </c>
      <c r="K56" s="976" t="n">
        <v>1307.95</v>
      </c>
      <c r="L56" s="975" t="n">
        <v>3229</v>
      </c>
      <c r="M56" s="976" t="n">
        <v>1130.15</v>
      </c>
      <c r="N56" s="975" t="n">
        <v>15733</v>
      </c>
      <c r="O56" s="976" t="n">
        <v>5506.549999999999</v>
      </c>
      <c r="P56" s="975" t="n">
        <v>2024</v>
      </c>
      <c r="Q56" s="976" t="n">
        <v>708.4</v>
      </c>
      <c r="R56" s="975" t="n">
        <v>2233</v>
      </c>
      <c r="S56" s="976" t="n">
        <v>781.55</v>
      </c>
      <c r="T56" s="975" t="n">
        <v>3481</v>
      </c>
      <c r="U56" s="976" t="n">
        <v>1218.35</v>
      </c>
      <c r="V56" s="975" t="n">
        <v>1781</v>
      </c>
      <c r="W56" s="976" t="n">
        <v>623.3499999999999</v>
      </c>
      <c r="X56" s="975" t="n">
        <v>1002</v>
      </c>
      <c r="Y56" s="976" t="n">
        <v>350.7</v>
      </c>
      <c r="Z56" s="975" t="n">
        <v>1282</v>
      </c>
      <c r="AA56" s="976" t="n">
        <v>448.7</v>
      </c>
      <c r="AB56" s="975" t="n">
        <v>1233</v>
      </c>
      <c r="AC56" s="976" t="n">
        <v>431.55</v>
      </c>
      <c r="AD56" s="975" t="n">
        <v>2318</v>
      </c>
      <c r="AE56" s="976" t="n">
        <v>811.3</v>
      </c>
      <c r="AF56" s="977" t="n">
        <v>3843.916666666667</v>
      </c>
      <c r="AG56" s="978" t="n">
        <v>1345.370833333333</v>
      </c>
      <c r="AH56" s="975" t="n">
        <v>2052</v>
      </c>
      <c r="AI56" s="976" t="n">
        <v>718.1999999999999</v>
      </c>
      <c r="AJ56" s="975" t="n">
        <v>1638</v>
      </c>
      <c r="AK56" s="976" t="n">
        <v>573.3</v>
      </c>
      <c r="AL56" s="975" t="n">
        <v>925</v>
      </c>
      <c r="AM56" s="976" t="n">
        <v>323.75</v>
      </c>
      <c r="AN56" s="975" t="n">
        <v>1689</v>
      </c>
      <c r="AO56" s="976" t="n">
        <v>591.15</v>
      </c>
      <c r="AP56" s="975" t="n">
        <v>873</v>
      </c>
      <c r="AQ56" s="976" t="n">
        <v>305.55</v>
      </c>
      <c r="AR56" s="975" t="n">
        <v>858</v>
      </c>
      <c r="AS56" s="976" t="n">
        <v>300.3</v>
      </c>
      <c r="AT56" s="975" t="n">
        <v>644</v>
      </c>
      <c r="AU56" s="976" t="n">
        <v>225.4</v>
      </c>
      <c r="AV56" s="975" t="n">
        <v>1074</v>
      </c>
      <c r="AW56" s="976" t="n">
        <v>375.9</v>
      </c>
      <c r="AX56" s="975" t="n">
        <v>944</v>
      </c>
      <c r="AY56" s="976" t="n">
        <v>330.4</v>
      </c>
      <c r="AZ56" s="975" t="n">
        <v>821</v>
      </c>
      <c r="BA56" s="976" t="n">
        <v>287.35</v>
      </c>
      <c r="BB56" s="975" t="n">
        <v>688</v>
      </c>
      <c r="BC56" s="976" t="n">
        <v>240.8</v>
      </c>
      <c r="BD56" s="975" t="n">
        <v>1560</v>
      </c>
      <c r="BE56" s="976" t="n">
        <v>546</v>
      </c>
      <c r="BF56" s="977" t="n">
        <v>1147.166666666667</v>
      </c>
      <c r="BG56" s="978" t="n">
        <v>401.5083333333333</v>
      </c>
      <c r="BH56" s="975" t="n">
        <v>792</v>
      </c>
      <c r="BI56" s="976" t="n">
        <v>277.2</v>
      </c>
      <c r="BJ56" s="975" t="n">
        <v>647</v>
      </c>
      <c r="BK56" s="976" t="n">
        <v>226.45</v>
      </c>
      <c r="BL56" s="975" t="n">
        <v>1040</v>
      </c>
      <c r="BM56" s="976" t="n">
        <v>364</v>
      </c>
      <c r="BN56" s="975" t="n">
        <v>691</v>
      </c>
      <c r="BO56" s="976" t="n">
        <v>241.85</v>
      </c>
      <c r="BP56" s="975" t="n">
        <v>386</v>
      </c>
      <c r="BQ56" s="976" t="n">
        <v>135.1</v>
      </c>
      <c r="BR56" s="979" t="n">
        <v>711.2</v>
      </c>
      <c r="BS56" s="976" t="n">
        <v>248.92</v>
      </c>
      <c r="BT56" s="975" t="n">
        <v>428</v>
      </c>
      <c r="BU56" s="976" t="n">
        <v>149.8</v>
      </c>
      <c r="BV56" s="975" t="n">
        <v>749</v>
      </c>
      <c r="BW56" s="976" t="n">
        <v>262.15</v>
      </c>
      <c r="BX56" s="975" t="n">
        <v>888</v>
      </c>
      <c r="BY56" s="976" t="n">
        <v>310.8</v>
      </c>
      <c r="BZ56" s="975" t="n">
        <v>684</v>
      </c>
      <c r="CA56" s="976" t="n">
        <v>239.4</v>
      </c>
      <c r="CB56" s="975" t="n">
        <v>1092</v>
      </c>
      <c r="CC56" s="976" t="n">
        <v>382.2</v>
      </c>
      <c r="CD56" s="975" t="n">
        <v>936</v>
      </c>
      <c r="CE56" s="976" t="n">
        <v>327.6</v>
      </c>
      <c r="CF56" s="975" t="n">
        <v>288</v>
      </c>
      <c r="CG56" s="976" t="n">
        <v>100.8</v>
      </c>
      <c r="CH56" s="977" t="n">
        <v>718.4166666666666</v>
      </c>
      <c r="CI56" s="978" t="n">
        <v>251.4458333333333</v>
      </c>
      <c r="CJ56" s="980" t="n">
        <v>718</v>
      </c>
      <c r="CK56" s="976" t="n">
        <v>251.3</v>
      </c>
      <c r="CL56" s="982" t="n">
        <v>96</v>
      </c>
      <c r="CM56" s="976" t="n">
        <v>33.59999999999999</v>
      </c>
      <c r="CN56" s="982" t="n">
        <v>432</v>
      </c>
      <c r="CO56" s="15" t="n">
        <v>151.2</v>
      </c>
      <c r="CP56" s="982" t="n">
        <v>168</v>
      </c>
      <c r="CQ56" s="15" t="n">
        <v>58.8</v>
      </c>
      <c r="CR56" s="982" t="n">
        <v>244</v>
      </c>
      <c r="CS56" s="15" t="n">
        <v>85.39999999999999</v>
      </c>
      <c r="CT56" s="982" t="n">
        <v>246</v>
      </c>
      <c r="CU56" s="15" t="n">
        <v>86.09999999999999</v>
      </c>
      <c r="CV56" s="982" t="n"/>
      <c r="CW56" s="15" t="n">
        <v>0</v>
      </c>
      <c r="CX56" s="982" t="n"/>
      <c r="CY56" s="15" t="n">
        <v>0</v>
      </c>
      <c r="CZ56" s="982" t="n"/>
      <c r="DA56" s="15" t="n">
        <v>0</v>
      </c>
      <c r="DB56" s="982" t="n"/>
      <c r="DC56" s="15" t="n">
        <v>0</v>
      </c>
      <c r="DD56" s="982" t="n"/>
      <c r="DE56" s="15" t="n">
        <v>0</v>
      </c>
      <c r="DF56" s="982" t="n"/>
      <c r="DG56" s="15" t="n">
        <v>0</v>
      </c>
      <c r="DH56" s="982" t="n"/>
      <c r="DI56" s="15" t="n">
        <v>0</v>
      </c>
      <c r="DJ56" s="15" t="n"/>
      <c r="DK56" s="15" t="n"/>
      <c r="DL56" s="983" t="n">
        <v>1186</v>
      </c>
      <c r="DM56" s="984" t="n">
        <v>415.0999999999999</v>
      </c>
      <c r="DX56" s="52" t="n">
        <v>0</v>
      </c>
    </row>
    <row r="57" hidden="1">
      <c r="A57" s="7" t="n">
        <v>114</v>
      </c>
      <c r="B57" s="8" t="inlineStr">
        <is>
          <t xml:space="preserve">SRS - Columbus 175ml </t>
        </is>
      </c>
      <c r="C57" s="8" t="inlineStr">
        <is>
          <t>ပုလင်း</t>
        </is>
      </c>
      <c r="D57" s="7" t="n">
        <v>2</v>
      </c>
      <c r="E57" s="7" t="n">
        <v>0.175</v>
      </c>
      <c r="F57" s="7" t="inlineStr">
        <is>
          <t>1 * 48</t>
        </is>
      </c>
      <c r="G57" s="7" t="n">
        <v>1450</v>
      </c>
      <c r="H57" s="975" t="n">
        <v>2394</v>
      </c>
      <c r="I57" s="976" t="n">
        <v>418.95</v>
      </c>
      <c r="J57" s="975" t="n">
        <v>970</v>
      </c>
      <c r="K57" s="976" t="n">
        <v>169.75</v>
      </c>
      <c r="L57" s="975" t="n">
        <v>814</v>
      </c>
      <c r="M57" s="976" t="n">
        <v>142.45</v>
      </c>
      <c r="N57" s="975" t="n">
        <v>10591</v>
      </c>
      <c r="O57" s="976" t="n">
        <v>1853.425</v>
      </c>
      <c r="P57" s="975" t="n">
        <v>948</v>
      </c>
      <c r="Q57" s="976" t="n">
        <v>165.9</v>
      </c>
      <c r="R57" s="975" t="n">
        <v>1330</v>
      </c>
      <c r="S57" s="976" t="n">
        <v>232.75</v>
      </c>
      <c r="T57" s="975" t="n">
        <v>703</v>
      </c>
      <c r="U57" s="976" t="n">
        <v>123.025</v>
      </c>
      <c r="V57" s="975" t="n">
        <v>542</v>
      </c>
      <c r="W57" s="976" t="n">
        <v>94.84999999999999</v>
      </c>
      <c r="X57" s="975" t="n">
        <v>357</v>
      </c>
      <c r="Y57" s="976" t="n">
        <v>62.47499999999999</v>
      </c>
      <c r="Z57" s="975" t="n">
        <v>429</v>
      </c>
      <c r="AA57" s="976" t="n">
        <v>75.07499999999999</v>
      </c>
      <c r="AB57" s="975" t="n">
        <v>370</v>
      </c>
      <c r="AC57" s="976" t="n">
        <v>64.75</v>
      </c>
      <c r="AD57" s="975" t="n">
        <v>335</v>
      </c>
      <c r="AE57" s="976" t="n">
        <v>58.62499999999999</v>
      </c>
      <c r="AF57" s="977" t="n">
        <v>1648.583333333333</v>
      </c>
      <c r="AG57" s="978" t="n">
        <v>288.5020833333333</v>
      </c>
      <c r="AH57" s="975" t="n">
        <v>838</v>
      </c>
      <c r="AI57" s="976" t="n">
        <v>146.65</v>
      </c>
      <c r="AJ57" s="975" t="n">
        <v>532</v>
      </c>
      <c r="AK57" s="976" t="n">
        <v>93.09999999999999</v>
      </c>
      <c r="AL57" s="975" t="n">
        <v>158</v>
      </c>
      <c r="AM57" s="976" t="n">
        <v>27.65</v>
      </c>
      <c r="AN57" s="975" t="n">
        <v>492</v>
      </c>
      <c r="AO57" s="976" t="n">
        <v>86.09999999999999</v>
      </c>
      <c r="AP57" s="975" t="n">
        <v>227</v>
      </c>
      <c r="AQ57" s="976" t="n">
        <v>39.72499999999999</v>
      </c>
      <c r="AR57" s="975" t="n">
        <v>272</v>
      </c>
      <c r="AS57" s="976" t="n">
        <v>47.59999999999999</v>
      </c>
      <c r="AT57" s="975" t="n">
        <v>245</v>
      </c>
      <c r="AU57" s="976" t="n">
        <v>42.875</v>
      </c>
      <c r="AV57" s="975" t="n">
        <v>197</v>
      </c>
      <c r="AW57" s="976" t="n">
        <v>34.47499999999999</v>
      </c>
      <c r="AX57" s="975" t="n">
        <v>392</v>
      </c>
      <c r="AY57" s="976" t="n">
        <v>68.59999999999999</v>
      </c>
      <c r="AZ57" s="975" t="n">
        <v>940</v>
      </c>
      <c r="BA57" s="976" t="n">
        <v>164.5</v>
      </c>
      <c r="BB57" s="975" t="n">
        <v>160</v>
      </c>
      <c r="BC57" s="976" t="n">
        <v>28</v>
      </c>
      <c r="BD57" s="975" t="n">
        <v>2595</v>
      </c>
      <c r="BE57" s="976" t="n">
        <v>454.1249999999999</v>
      </c>
      <c r="BF57" s="977" t="n">
        <v>587.3333333333334</v>
      </c>
      <c r="BG57" s="978" t="n">
        <v>102.7833333333333</v>
      </c>
      <c r="BH57" s="975" t="n">
        <v>48</v>
      </c>
      <c r="BI57" s="976" t="n">
        <v>8.399999999999999</v>
      </c>
      <c r="BJ57" s="975" t="n">
        <v>268</v>
      </c>
      <c r="BK57" s="976" t="n">
        <v>46.9</v>
      </c>
      <c r="BL57" s="975" t="n">
        <v>520</v>
      </c>
      <c r="BM57" s="976" t="n">
        <v>91</v>
      </c>
      <c r="BN57" s="975" t="n">
        <v>526</v>
      </c>
      <c r="BO57" s="976" t="n">
        <v>92.05</v>
      </c>
      <c r="BP57" s="975" t="n">
        <v>234</v>
      </c>
      <c r="BQ57" s="976" t="n">
        <v>40.95</v>
      </c>
      <c r="BR57" s="979" t="n">
        <v>319.2</v>
      </c>
      <c r="BS57" s="976" t="n">
        <v>55.86</v>
      </c>
      <c r="BT57" s="975" t="n">
        <v>437</v>
      </c>
      <c r="BU57" s="976" t="n">
        <v>76.47499999999999</v>
      </c>
      <c r="BV57" s="975" t="n">
        <v>118</v>
      </c>
      <c r="BW57" s="976" t="n">
        <v>20.65</v>
      </c>
      <c r="BX57" s="975" t="n">
        <v>612</v>
      </c>
      <c r="BY57" s="976" t="n">
        <v>107.1</v>
      </c>
      <c r="BZ57" s="975" t="n">
        <v>294</v>
      </c>
      <c r="CA57" s="976" t="n">
        <v>51.45</v>
      </c>
      <c r="CB57" s="975" t="n">
        <v>237</v>
      </c>
      <c r="CC57" s="976" t="n">
        <v>41.47499999999999</v>
      </c>
      <c r="CD57" s="975" t="n">
        <v>258</v>
      </c>
      <c r="CE57" s="976" t="n">
        <v>45.15</v>
      </c>
      <c r="CF57" s="975" t="n">
        <v>12</v>
      </c>
      <c r="CG57" s="976" t="n">
        <v>2.1</v>
      </c>
      <c r="CH57" s="977" t="n">
        <v>297</v>
      </c>
      <c r="CI57" s="978" t="n">
        <v>51.97499999999999</v>
      </c>
      <c r="CJ57" s="980" t="n">
        <v>297</v>
      </c>
      <c r="CK57" s="976" t="n">
        <v>51.97499999999999</v>
      </c>
      <c r="CL57" s="982" t="n">
        <v>240</v>
      </c>
      <c r="CM57" s="976" t="n">
        <v>42</v>
      </c>
      <c r="CN57" s="982" t="n">
        <v>30</v>
      </c>
      <c r="CO57" s="15" t="n">
        <v>5.25</v>
      </c>
      <c r="CP57" s="982" t="n"/>
      <c r="CQ57" s="15" t="n">
        <v>0</v>
      </c>
      <c r="CR57" s="982" t="n">
        <v>22</v>
      </c>
      <c r="CS57" s="15" t="n">
        <v>3.85</v>
      </c>
      <c r="CT57" s="982" t="n">
        <v>211</v>
      </c>
      <c r="CU57" s="15" t="n">
        <v>36.925</v>
      </c>
      <c r="CV57" s="982" t="n"/>
      <c r="CW57" s="15" t="n">
        <v>0</v>
      </c>
      <c r="CX57" s="982" t="n"/>
      <c r="CY57" s="15" t="n">
        <v>0</v>
      </c>
      <c r="CZ57" s="982" t="n"/>
      <c r="DA57" s="15" t="n">
        <v>0</v>
      </c>
      <c r="DB57" s="982" t="n"/>
      <c r="DC57" s="15" t="n">
        <v>0</v>
      </c>
      <c r="DD57" s="982" t="n"/>
      <c r="DE57" s="15" t="n">
        <v>0</v>
      </c>
      <c r="DF57" s="982" t="n"/>
      <c r="DG57" s="15" t="n">
        <v>0</v>
      </c>
      <c r="DH57" s="982" t="n"/>
      <c r="DI57" s="15" t="n">
        <v>0</v>
      </c>
      <c r="DJ57" s="15" t="n"/>
      <c r="DK57" s="15" t="n"/>
      <c r="DL57" s="983" t="n">
        <v>503</v>
      </c>
      <c r="DM57" s="984" t="n">
        <v>88.02500000000001</v>
      </c>
      <c r="DX57" s="52" t="n">
        <v>0</v>
      </c>
    </row>
    <row r="58" hidden="1">
      <c r="A58" s="7" t="n">
        <v>115</v>
      </c>
      <c r="B58" s="8" t="inlineStr">
        <is>
          <t>Ngwe Taung 700ml</t>
        </is>
      </c>
      <c r="C58" s="8" t="inlineStr">
        <is>
          <t>ပုလင်း</t>
        </is>
      </c>
      <c r="D58" s="7" t="n">
        <v>4</v>
      </c>
      <c r="E58" s="7" t="n">
        <v>0.7</v>
      </c>
      <c r="F58" s="7" t="inlineStr">
        <is>
          <t>1 * 12</t>
        </is>
      </c>
      <c r="G58" s="7" t="n"/>
      <c r="H58" s="975" t="n">
        <v>10</v>
      </c>
      <c r="I58" s="976" t="n">
        <v>7</v>
      </c>
      <c r="J58" s="975" t="n"/>
      <c r="K58" s="976" t="n">
        <v>0</v>
      </c>
      <c r="L58" s="975" t="n">
        <v>60</v>
      </c>
      <c r="M58" s="976" t="n">
        <v>42</v>
      </c>
      <c r="N58" s="975" t="n">
        <v>60</v>
      </c>
      <c r="O58" s="976" t="n">
        <v>42</v>
      </c>
      <c r="P58" s="975" t="n"/>
      <c r="Q58" s="976" t="n">
        <v>0</v>
      </c>
      <c r="R58" s="975" t="n">
        <v>60</v>
      </c>
      <c r="S58" s="976" t="n">
        <v>42</v>
      </c>
      <c r="T58" s="975" t="n">
        <v>38</v>
      </c>
      <c r="U58" s="976" t="n">
        <v>26.6</v>
      </c>
      <c r="V58" s="975" t="n">
        <v>180</v>
      </c>
      <c r="W58" s="976" t="n">
        <v>126</v>
      </c>
      <c r="X58" s="975" t="n"/>
      <c r="Y58" s="976" t="n">
        <v>0</v>
      </c>
      <c r="Z58" s="975" t="n">
        <v>60</v>
      </c>
      <c r="AA58" s="976" t="n">
        <v>42</v>
      </c>
      <c r="AB58" s="975" t="n">
        <v>132</v>
      </c>
      <c r="AC58" s="976" t="n">
        <v>92.39999999999999</v>
      </c>
      <c r="AD58" s="975" t="n">
        <v>156</v>
      </c>
      <c r="AE58" s="976" t="n">
        <v>109.2</v>
      </c>
      <c r="AF58" s="977" t="n">
        <v>63</v>
      </c>
      <c r="AG58" s="978" t="n">
        <v>44.09999999999999</v>
      </c>
      <c r="AH58" s="975" t="n">
        <v>84</v>
      </c>
      <c r="AI58" s="976" t="n">
        <v>58.8</v>
      </c>
      <c r="AJ58" s="975" t="n">
        <v>216</v>
      </c>
      <c r="AK58" s="976" t="n">
        <v>151.2</v>
      </c>
      <c r="AL58" s="975" t="n">
        <v>36</v>
      </c>
      <c r="AM58" s="976" t="n">
        <v>25.2</v>
      </c>
      <c r="AN58" s="975" t="n">
        <v>96</v>
      </c>
      <c r="AO58" s="976" t="n">
        <v>67.19999999999999</v>
      </c>
      <c r="AP58" s="975" t="n">
        <v>96</v>
      </c>
      <c r="AQ58" s="976" t="n">
        <v>67.19999999999999</v>
      </c>
      <c r="AR58" s="975" t="n">
        <v>96</v>
      </c>
      <c r="AS58" s="976" t="n">
        <v>67.19999999999999</v>
      </c>
      <c r="AT58" s="975" t="n">
        <v>156</v>
      </c>
      <c r="AU58" s="976" t="n">
        <v>109.2</v>
      </c>
      <c r="AV58" s="975" t="n">
        <v>120</v>
      </c>
      <c r="AW58" s="976" t="n">
        <v>84</v>
      </c>
      <c r="AX58" s="975" t="n">
        <v>228</v>
      </c>
      <c r="AY58" s="976" t="n">
        <v>159.6</v>
      </c>
      <c r="AZ58" s="975" t="n">
        <v>180</v>
      </c>
      <c r="BA58" s="976" t="n">
        <v>126</v>
      </c>
      <c r="BB58" s="975" t="n">
        <v>216</v>
      </c>
      <c r="BC58" s="976" t="n">
        <v>151.2</v>
      </c>
      <c r="BD58" s="975" t="n">
        <v>540</v>
      </c>
      <c r="BE58" s="976" t="n">
        <v>378</v>
      </c>
      <c r="BF58" s="977" t="n">
        <v>172</v>
      </c>
      <c r="BG58" s="978" t="n">
        <v>120.4</v>
      </c>
      <c r="BH58" s="975" t="n">
        <v>240</v>
      </c>
      <c r="BI58" s="976" t="n">
        <v>168</v>
      </c>
      <c r="BJ58" s="975" t="n">
        <v>228</v>
      </c>
      <c r="BK58" s="976" t="n">
        <v>159.6</v>
      </c>
      <c r="BL58" s="975" t="n">
        <v>384</v>
      </c>
      <c r="BM58" s="976" t="n">
        <v>268.8</v>
      </c>
      <c r="BN58" s="975" t="n">
        <v>180</v>
      </c>
      <c r="BO58" s="976" t="n">
        <v>126</v>
      </c>
      <c r="BP58" s="975" t="n">
        <v>228</v>
      </c>
      <c r="BQ58" s="976" t="n">
        <v>159.6</v>
      </c>
      <c r="BR58" s="979" t="n">
        <v>252</v>
      </c>
      <c r="BS58" s="976" t="n">
        <v>176.4</v>
      </c>
      <c r="BT58" s="975" t="n">
        <v>144</v>
      </c>
      <c r="BU58" s="976" t="n">
        <v>100.8</v>
      </c>
      <c r="BV58" s="975" t="n">
        <v>504</v>
      </c>
      <c r="BW58" s="976" t="n">
        <v>352.8</v>
      </c>
      <c r="BX58" s="975" t="n">
        <v>408</v>
      </c>
      <c r="BY58" s="976" t="n">
        <v>285.6</v>
      </c>
      <c r="BZ58" s="975" t="n"/>
      <c r="CA58" s="976" t="n">
        <v>0</v>
      </c>
      <c r="CB58" s="975" t="n"/>
      <c r="CC58" s="976" t="n">
        <v>0</v>
      </c>
      <c r="CD58" s="975" t="n"/>
      <c r="CE58" s="976" t="n">
        <v>0</v>
      </c>
      <c r="CF58" s="975" t="n"/>
      <c r="CG58" s="976" t="n">
        <v>0</v>
      </c>
      <c r="CH58" s="977" t="n">
        <v>193</v>
      </c>
      <c r="CI58" s="978" t="n">
        <v>135.1</v>
      </c>
      <c r="CJ58" s="980" t="n">
        <v>193</v>
      </c>
      <c r="CK58" s="976" t="n">
        <v>135.1</v>
      </c>
      <c r="CL58" s="982" t="n"/>
      <c r="CM58" s="976" t="n">
        <v>0</v>
      </c>
      <c r="CN58" s="982" t="n"/>
      <c r="CO58" s="15" t="n">
        <v>0</v>
      </c>
      <c r="CP58" s="982" t="n"/>
      <c r="CQ58" s="15" t="n">
        <v>0</v>
      </c>
      <c r="CR58" s="982" t="n"/>
      <c r="CS58" s="15" t="n">
        <v>0</v>
      </c>
      <c r="CT58" s="982" t="n"/>
      <c r="CU58" s="15" t="n">
        <v>0</v>
      </c>
      <c r="CV58" s="982" t="n"/>
      <c r="CW58" s="15" t="n">
        <v>0</v>
      </c>
      <c r="CX58" s="982" t="n"/>
      <c r="CY58" s="15" t="n">
        <v>0</v>
      </c>
      <c r="CZ58" s="982" t="n"/>
      <c r="DA58" s="15" t="n">
        <v>0</v>
      </c>
      <c r="DB58" s="982" t="n"/>
      <c r="DC58" s="15" t="n">
        <v>0</v>
      </c>
      <c r="DD58" s="982" t="n"/>
      <c r="DE58" s="15" t="n">
        <v>0</v>
      </c>
      <c r="DF58" s="982" t="n"/>
      <c r="DG58" s="15" t="n">
        <v>0</v>
      </c>
      <c r="DH58" s="982" t="n"/>
      <c r="DI58" s="15" t="n">
        <v>0</v>
      </c>
      <c r="DJ58" s="15" t="n"/>
      <c r="DK58" s="15" t="n"/>
      <c r="DL58" s="983" t="n">
        <v>0</v>
      </c>
      <c r="DM58" s="984" t="n">
        <v>0</v>
      </c>
      <c r="DX58" s="52" t="n">
        <v>0</v>
      </c>
    </row>
    <row r="59" hidden="1">
      <c r="A59" s="7" t="n">
        <v>116</v>
      </c>
      <c r="B59" s="8" t="inlineStr">
        <is>
          <t>Blended Whisky 700ml</t>
        </is>
      </c>
      <c r="C59" s="8" t="inlineStr">
        <is>
          <t>ပုလင်း</t>
        </is>
      </c>
      <c r="D59" s="7" t="n">
        <v>4</v>
      </c>
      <c r="E59" s="7" t="n">
        <v>0.7</v>
      </c>
      <c r="F59" s="7" t="inlineStr">
        <is>
          <t>1 * 12</t>
        </is>
      </c>
      <c r="G59" s="7" t="n"/>
      <c r="H59" s="975" t="n"/>
      <c r="I59" s="976" t="n">
        <v>0</v>
      </c>
      <c r="J59" s="975" t="n"/>
      <c r="K59" s="976" t="n">
        <v>0</v>
      </c>
      <c r="L59" s="975" t="n"/>
      <c r="M59" s="976" t="n">
        <v>0</v>
      </c>
      <c r="N59" s="975" t="n"/>
      <c r="O59" s="976" t="n">
        <v>0</v>
      </c>
      <c r="P59" s="975" t="n"/>
      <c r="Q59" s="976" t="n">
        <v>0</v>
      </c>
      <c r="R59" s="975" t="n"/>
      <c r="S59" s="976" t="n">
        <v>0</v>
      </c>
      <c r="T59" s="975" t="n"/>
      <c r="U59" s="976" t="n">
        <v>0</v>
      </c>
      <c r="V59" s="975" t="n"/>
      <c r="W59" s="976" t="n">
        <v>0</v>
      </c>
      <c r="X59" s="975" t="n"/>
      <c r="Y59" s="976" t="n">
        <v>0</v>
      </c>
      <c r="Z59" s="975" t="n"/>
      <c r="AA59" s="976" t="n">
        <v>0</v>
      </c>
      <c r="AB59" s="975" t="n"/>
      <c r="AC59" s="976" t="n">
        <v>0</v>
      </c>
      <c r="AD59" s="975" t="n"/>
      <c r="AE59" s="976" t="n">
        <v>0</v>
      </c>
      <c r="AF59" s="977" t="n">
        <v>0</v>
      </c>
      <c r="AG59" s="978" t="n">
        <v>0</v>
      </c>
      <c r="AH59" s="975" t="n"/>
      <c r="AI59" s="976" t="n">
        <v>0</v>
      </c>
      <c r="AJ59" s="975" t="n"/>
      <c r="AK59" s="976" t="n">
        <v>0</v>
      </c>
      <c r="AL59" s="975" t="n"/>
      <c r="AM59" s="976" t="n">
        <v>0</v>
      </c>
      <c r="AN59" s="975" t="n"/>
      <c r="AO59" s="976" t="n">
        <v>0</v>
      </c>
      <c r="AP59" s="975" t="n"/>
      <c r="AQ59" s="976" t="n">
        <v>0</v>
      </c>
      <c r="AR59" s="975" t="n"/>
      <c r="AS59" s="976" t="n">
        <v>0</v>
      </c>
      <c r="AT59" s="975" t="n"/>
      <c r="AU59" s="976" t="n">
        <v>0</v>
      </c>
      <c r="AV59" s="975" t="n"/>
      <c r="AW59" s="976" t="n">
        <v>0</v>
      </c>
      <c r="AX59" s="975" t="n"/>
      <c r="AY59" s="976" t="n">
        <v>0</v>
      </c>
      <c r="AZ59" s="975" t="n"/>
      <c r="BA59" s="976" t="n">
        <v>0</v>
      </c>
      <c r="BB59" s="975" t="n"/>
      <c r="BC59" s="976" t="n">
        <v>0</v>
      </c>
      <c r="BD59" s="975" t="n"/>
      <c r="BE59" s="976" t="n">
        <v>0</v>
      </c>
      <c r="BF59" s="977" t="n">
        <v>0</v>
      </c>
      <c r="BG59" s="978" t="n">
        <v>0</v>
      </c>
      <c r="BH59" s="975" t="n"/>
      <c r="BI59" s="976" t="n">
        <v>0</v>
      </c>
      <c r="BJ59" s="975" t="n"/>
      <c r="BK59" s="976" t="n">
        <v>0</v>
      </c>
      <c r="BL59" s="975" t="n"/>
      <c r="BM59" s="976" t="n">
        <v>0</v>
      </c>
      <c r="BN59" s="975" t="n"/>
      <c r="BO59" s="976" t="n">
        <v>0</v>
      </c>
      <c r="BP59" s="975" t="n"/>
      <c r="BQ59" s="976" t="n">
        <v>0</v>
      </c>
      <c r="BR59" s="979" t="n">
        <v>0</v>
      </c>
      <c r="BS59" s="976" t="n">
        <v>0</v>
      </c>
      <c r="BT59" s="975" t="n"/>
      <c r="BU59" s="976" t="n">
        <v>0</v>
      </c>
      <c r="BV59" s="975" t="n"/>
      <c r="BW59" s="976" t="n">
        <v>0</v>
      </c>
      <c r="BX59" s="975" t="n"/>
      <c r="BY59" s="976" t="n">
        <v>0</v>
      </c>
      <c r="BZ59" s="975" t="n"/>
      <c r="CA59" s="976" t="n">
        <v>0</v>
      </c>
      <c r="CB59" s="975" t="n"/>
      <c r="CC59" s="976" t="n">
        <v>0</v>
      </c>
      <c r="CD59" s="975" t="n"/>
      <c r="CE59" s="976" t="n">
        <v>0</v>
      </c>
      <c r="CF59" s="975" t="n"/>
      <c r="CG59" s="976" t="n">
        <v>0</v>
      </c>
      <c r="CH59" s="977" t="n">
        <v>0</v>
      </c>
      <c r="CI59" s="978" t="n">
        <v>0</v>
      </c>
      <c r="CJ59" s="980" t="n"/>
      <c r="CK59" s="976" t="n">
        <v>0</v>
      </c>
      <c r="CL59" s="982" t="n"/>
      <c r="CM59" s="976" t="n">
        <v>0</v>
      </c>
      <c r="CN59" s="982" t="n"/>
      <c r="CO59" s="15" t="n">
        <v>0</v>
      </c>
      <c r="CP59" s="982" t="n"/>
      <c r="CQ59" s="15" t="n">
        <v>0</v>
      </c>
      <c r="CR59" s="982" t="n"/>
      <c r="CS59" s="15" t="n">
        <v>0</v>
      </c>
      <c r="CT59" s="982" t="n"/>
      <c r="CU59" s="15" t="n">
        <v>0</v>
      </c>
      <c r="CV59" s="982" t="n"/>
      <c r="CW59" s="15" t="n">
        <v>0</v>
      </c>
      <c r="CX59" s="982" t="n"/>
      <c r="CY59" s="15" t="n">
        <v>0</v>
      </c>
      <c r="CZ59" s="982" t="n"/>
      <c r="DA59" s="15" t="n">
        <v>0</v>
      </c>
      <c r="DB59" s="982" t="n"/>
      <c r="DC59" s="15" t="n">
        <v>0</v>
      </c>
      <c r="DD59" s="982" t="n"/>
      <c r="DE59" s="15" t="n">
        <v>0</v>
      </c>
      <c r="DF59" s="982" t="n"/>
      <c r="DG59" s="15" t="n">
        <v>0</v>
      </c>
      <c r="DH59" s="982" t="n"/>
      <c r="DI59" s="15" t="n">
        <v>0</v>
      </c>
      <c r="DJ59" s="15" t="n"/>
      <c r="DK59" s="15" t="n"/>
      <c r="DL59" s="983" t="n">
        <v>0</v>
      </c>
      <c r="DM59" s="984" t="n">
        <v>0</v>
      </c>
      <c r="DX59" s="52" t="n">
        <v>0</v>
      </c>
    </row>
    <row r="60" hidden="1">
      <c r="A60" s="7" t="n">
        <v>117</v>
      </c>
      <c r="B60" s="8" t="inlineStr">
        <is>
          <t>Blended Whisky 350ml</t>
        </is>
      </c>
      <c r="C60" s="8" t="inlineStr">
        <is>
          <t>ပုလင်း</t>
        </is>
      </c>
      <c r="D60" s="7" t="n">
        <v>4</v>
      </c>
      <c r="E60" s="7" t="n">
        <v>0.35</v>
      </c>
      <c r="F60" s="7" t="inlineStr">
        <is>
          <t>1 * 24</t>
        </is>
      </c>
      <c r="G60" s="7" t="n"/>
      <c r="H60" s="975" t="n"/>
      <c r="I60" s="976" t="n">
        <v>0</v>
      </c>
      <c r="J60" s="975" t="n"/>
      <c r="K60" s="976" t="n">
        <v>0</v>
      </c>
      <c r="L60" s="975" t="n"/>
      <c r="M60" s="976" t="n">
        <v>0</v>
      </c>
      <c r="N60" s="975" t="n"/>
      <c r="O60" s="976" t="n">
        <v>0</v>
      </c>
      <c r="P60" s="975" t="n"/>
      <c r="Q60" s="976" t="n">
        <v>0</v>
      </c>
      <c r="R60" s="975" t="n"/>
      <c r="S60" s="976" t="n">
        <v>0</v>
      </c>
      <c r="T60" s="975" t="n"/>
      <c r="U60" s="976" t="n">
        <v>0</v>
      </c>
      <c r="V60" s="975" t="n"/>
      <c r="W60" s="976" t="n">
        <v>0</v>
      </c>
      <c r="X60" s="975" t="n"/>
      <c r="Y60" s="976" t="n">
        <v>0</v>
      </c>
      <c r="Z60" s="975" t="n"/>
      <c r="AA60" s="976" t="n">
        <v>0</v>
      </c>
      <c r="AB60" s="975" t="n"/>
      <c r="AC60" s="976" t="n">
        <v>0</v>
      </c>
      <c r="AD60" s="975" t="n"/>
      <c r="AE60" s="976" t="n">
        <v>0</v>
      </c>
      <c r="AF60" s="977" t="n">
        <v>0</v>
      </c>
      <c r="AG60" s="978" t="n">
        <v>0</v>
      </c>
      <c r="AH60" s="975" t="n"/>
      <c r="AI60" s="976" t="n">
        <v>0</v>
      </c>
      <c r="AJ60" s="975" t="n"/>
      <c r="AK60" s="976" t="n">
        <v>0</v>
      </c>
      <c r="AL60" s="975" t="n"/>
      <c r="AM60" s="976" t="n">
        <v>0</v>
      </c>
      <c r="AN60" s="975" t="n"/>
      <c r="AO60" s="976" t="n">
        <v>0</v>
      </c>
      <c r="AP60" s="975" t="n"/>
      <c r="AQ60" s="976" t="n">
        <v>0</v>
      </c>
      <c r="AR60" s="975" t="n"/>
      <c r="AS60" s="976" t="n">
        <v>0</v>
      </c>
      <c r="AT60" s="975" t="n"/>
      <c r="AU60" s="976" t="n">
        <v>0</v>
      </c>
      <c r="AV60" s="975" t="n"/>
      <c r="AW60" s="976" t="n">
        <v>0</v>
      </c>
      <c r="AX60" s="975" t="n"/>
      <c r="AY60" s="976" t="n">
        <v>0</v>
      </c>
      <c r="AZ60" s="975" t="n"/>
      <c r="BA60" s="976" t="n">
        <v>0</v>
      </c>
      <c r="BB60" s="975" t="n"/>
      <c r="BC60" s="976" t="n">
        <v>0</v>
      </c>
      <c r="BD60" s="975" t="n"/>
      <c r="BE60" s="976" t="n">
        <v>0</v>
      </c>
      <c r="BF60" s="977" t="n">
        <v>0</v>
      </c>
      <c r="BG60" s="978" t="n">
        <v>0</v>
      </c>
      <c r="BH60" s="975" t="n"/>
      <c r="BI60" s="976" t="n">
        <v>0</v>
      </c>
      <c r="BJ60" s="975" t="n"/>
      <c r="BK60" s="976" t="n">
        <v>0</v>
      </c>
      <c r="BL60" s="975" t="n"/>
      <c r="BM60" s="976" t="n">
        <v>0</v>
      </c>
      <c r="BN60" s="975" t="n"/>
      <c r="BO60" s="976" t="n">
        <v>0</v>
      </c>
      <c r="BP60" s="975" t="n"/>
      <c r="BQ60" s="976" t="n">
        <v>0</v>
      </c>
      <c r="BR60" s="979" t="n">
        <v>0</v>
      </c>
      <c r="BS60" s="976" t="n">
        <v>0</v>
      </c>
      <c r="BT60" s="975" t="n"/>
      <c r="BU60" s="976" t="n">
        <v>0</v>
      </c>
      <c r="BV60" s="975" t="n"/>
      <c r="BW60" s="976" t="n">
        <v>0</v>
      </c>
      <c r="BX60" s="975" t="n"/>
      <c r="BY60" s="976" t="n">
        <v>0</v>
      </c>
      <c r="BZ60" s="975" t="n"/>
      <c r="CA60" s="976" t="n">
        <v>0</v>
      </c>
      <c r="CB60" s="975" t="n"/>
      <c r="CC60" s="976" t="n">
        <v>0</v>
      </c>
      <c r="CD60" s="975" t="n"/>
      <c r="CE60" s="976" t="n">
        <v>0</v>
      </c>
      <c r="CF60" s="975" t="n"/>
      <c r="CG60" s="976" t="n">
        <v>0</v>
      </c>
      <c r="CH60" s="977" t="n">
        <v>0</v>
      </c>
      <c r="CI60" s="978" t="n">
        <v>0</v>
      </c>
      <c r="CJ60" s="980" t="n"/>
      <c r="CK60" s="976" t="n">
        <v>0</v>
      </c>
      <c r="CL60" s="982" t="n"/>
      <c r="CM60" s="976" t="n">
        <v>0</v>
      </c>
      <c r="CN60" s="982" t="n"/>
      <c r="CO60" s="15" t="n">
        <v>0</v>
      </c>
      <c r="CP60" s="982" t="n"/>
      <c r="CQ60" s="15" t="n">
        <v>0</v>
      </c>
      <c r="CR60" s="982" t="n"/>
      <c r="CS60" s="15" t="n">
        <v>0</v>
      </c>
      <c r="CT60" s="982" t="n"/>
      <c r="CU60" s="15" t="n">
        <v>0</v>
      </c>
      <c r="CV60" s="982" t="n"/>
      <c r="CW60" s="15" t="n">
        <v>0</v>
      </c>
      <c r="CX60" s="982" t="n"/>
      <c r="CY60" s="15" t="n">
        <v>0</v>
      </c>
      <c r="CZ60" s="982" t="n"/>
      <c r="DA60" s="15" t="n">
        <v>0</v>
      </c>
      <c r="DB60" s="982" t="n"/>
      <c r="DC60" s="15" t="n">
        <v>0</v>
      </c>
      <c r="DD60" s="982" t="n"/>
      <c r="DE60" s="15" t="n">
        <v>0</v>
      </c>
      <c r="DF60" s="982" t="n"/>
      <c r="DG60" s="15" t="n">
        <v>0</v>
      </c>
      <c r="DH60" s="982" t="n"/>
      <c r="DI60" s="15" t="n">
        <v>0</v>
      </c>
      <c r="DJ60" s="15" t="n"/>
      <c r="DK60" s="15" t="n"/>
      <c r="DL60" s="983" t="n">
        <v>0</v>
      </c>
      <c r="DM60" s="984" t="n">
        <v>0</v>
      </c>
      <c r="DX60" s="52" t="n">
        <v>0</v>
      </c>
    </row>
    <row r="61" hidden="1">
      <c r="A61" s="7" t="n">
        <v>118</v>
      </c>
      <c r="B61" s="8" t="inlineStr">
        <is>
          <t>Simple Whisky 700 ML</t>
        </is>
      </c>
      <c r="C61" s="8" t="inlineStr">
        <is>
          <t>ပုလင်း</t>
        </is>
      </c>
      <c r="D61" s="7" t="n">
        <v>4</v>
      </c>
      <c r="E61" s="7" t="n">
        <v>0.7</v>
      </c>
      <c r="F61" s="7" t="inlineStr">
        <is>
          <t>1 * 12</t>
        </is>
      </c>
      <c r="G61" s="7" t="n"/>
      <c r="H61" s="975" t="n"/>
      <c r="I61" s="976" t="n">
        <v>0</v>
      </c>
      <c r="J61" s="975" t="n"/>
      <c r="K61" s="976" t="n">
        <v>0</v>
      </c>
      <c r="L61" s="975" t="n"/>
      <c r="M61" s="976" t="n">
        <v>0</v>
      </c>
      <c r="N61" s="975" t="n"/>
      <c r="O61" s="976" t="n">
        <v>0</v>
      </c>
      <c r="P61" s="975" t="n"/>
      <c r="Q61" s="976" t="n">
        <v>0</v>
      </c>
      <c r="R61" s="975" t="n"/>
      <c r="S61" s="976" t="n">
        <v>0</v>
      </c>
      <c r="T61" s="975" t="n"/>
      <c r="U61" s="976" t="n">
        <v>0</v>
      </c>
      <c r="V61" s="975" t="n"/>
      <c r="W61" s="976" t="n">
        <v>0</v>
      </c>
      <c r="X61" s="975" t="n"/>
      <c r="Y61" s="976" t="n">
        <v>0</v>
      </c>
      <c r="Z61" s="975" t="n"/>
      <c r="AA61" s="976" t="n">
        <v>0</v>
      </c>
      <c r="AB61" s="975" t="n"/>
      <c r="AC61" s="976" t="n">
        <v>0</v>
      </c>
      <c r="AD61" s="975" t="n"/>
      <c r="AE61" s="976" t="n">
        <v>0</v>
      </c>
      <c r="AF61" s="977" t="n">
        <v>0</v>
      </c>
      <c r="AG61" s="978" t="n">
        <v>0</v>
      </c>
      <c r="AH61" s="975" t="n"/>
      <c r="AI61" s="976" t="n">
        <v>0</v>
      </c>
      <c r="AJ61" s="975" t="n"/>
      <c r="AK61" s="976" t="n">
        <v>0</v>
      </c>
      <c r="AL61" s="975" t="n"/>
      <c r="AM61" s="976" t="n">
        <v>0</v>
      </c>
      <c r="AN61" s="975" t="n"/>
      <c r="AO61" s="976" t="n">
        <v>0</v>
      </c>
      <c r="AP61" s="975" t="n"/>
      <c r="AQ61" s="976" t="n">
        <v>0</v>
      </c>
      <c r="AR61" s="975" t="n"/>
      <c r="AS61" s="976" t="n">
        <v>0</v>
      </c>
      <c r="AT61" s="975" t="n"/>
      <c r="AU61" s="976" t="n">
        <v>0</v>
      </c>
      <c r="AV61" s="975" t="n"/>
      <c r="AW61" s="976" t="n">
        <v>0</v>
      </c>
      <c r="AX61" s="975" t="n"/>
      <c r="AY61" s="976" t="n">
        <v>0</v>
      </c>
      <c r="AZ61" s="975" t="n"/>
      <c r="BA61" s="976" t="n">
        <v>0</v>
      </c>
      <c r="BB61" s="975" t="n"/>
      <c r="BC61" s="976" t="n">
        <v>0</v>
      </c>
      <c r="BD61" s="975" t="n"/>
      <c r="BE61" s="976" t="n">
        <v>0</v>
      </c>
      <c r="BF61" s="977" t="n">
        <v>0</v>
      </c>
      <c r="BG61" s="978" t="n">
        <v>0</v>
      </c>
      <c r="BH61" s="975" t="n"/>
      <c r="BI61" s="976" t="n">
        <v>0</v>
      </c>
      <c r="BJ61" s="975" t="n"/>
      <c r="BK61" s="976" t="n">
        <v>0</v>
      </c>
      <c r="BL61" s="975" t="n"/>
      <c r="BM61" s="976" t="n">
        <v>0</v>
      </c>
      <c r="BN61" s="975" t="n"/>
      <c r="BO61" s="976" t="n">
        <v>0</v>
      </c>
      <c r="BP61" s="975" t="n"/>
      <c r="BQ61" s="976" t="n">
        <v>0</v>
      </c>
      <c r="BR61" s="979" t="n">
        <v>0</v>
      </c>
      <c r="BS61" s="976" t="n">
        <v>0</v>
      </c>
      <c r="BT61" s="975" t="n"/>
      <c r="BU61" s="976" t="n">
        <v>0</v>
      </c>
      <c r="BV61" s="975" t="n"/>
      <c r="BW61" s="976" t="n">
        <v>0</v>
      </c>
      <c r="BX61" s="975" t="n"/>
      <c r="BY61" s="976" t="n">
        <v>0</v>
      </c>
      <c r="BZ61" s="975" t="n"/>
      <c r="CA61" s="976" t="n">
        <v>0</v>
      </c>
      <c r="CB61" s="975" t="n"/>
      <c r="CC61" s="976" t="n">
        <v>0</v>
      </c>
      <c r="CD61" s="975" t="n">
        <v>9</v>
      </c>
      <c r="CE61" s="976" t="n">
        <v>6.3</v>
      </c>
      <c r="CF61" s="975" t="n"/>
      <c r="CG61" s="976" t="n">
        <v>0</v>
      </c>
      <c r="CH61" s="977" t="n">
        <v>0.75</v>
      </c>
      <c r="CI61" s="978" t="n">
        <v>0.5249999999999999</v>
      </c>
      <c r="CJ61" s="980" t="n"/>
      <c r="CK61" s="976" t="n">
        <v>0</v>
      </c>
      <c r="CL61" s="982" t="n"/>
      <c r="CM61" s="976" t="n">
        <v>0</v>
      </c>
      <c r="CN61" s="982" t="n"/>
      <c r="CO61" s="15" t="n">
        <v>0</v>
      </c>
      <c r="CP61" s="982" t="n"/>
      <c r="CQ61" s="15" t="n">
        <v>0</v>
      </c>
      <c r="CR61" s="982" t="n"/>
      <c r="CS61" s="15" t="n">
        <v>0</v>
      </c>
      <c r="CT61" s="982" t="n"/>
      <c r="CU61" s="15" t="n">
        <v>0</v>
      </c>
      <c r="CV61" s="982" t="n"/>
      <c r="CW61" s="15" t="n">
        <v>0</v>
      </c>
      <c r="CX61" s="982" t="n"/>
      <c r="CY61" s="15" t="n">
        <v>0</v>
      </c>
      <c r="CZ61" s="982" t="n"/>
      <c r="DA61" s="15" t="n">
        <v>0</v>
      </c>
      <c r="DB61" s="982" t="n"/>
      <c r="DC61" s="15" t="n">
        <v>0</v>
      </c>
      <c r="DD61" s="982" t="n"/>
      <c r="DE61" s="15" t="n">
        <v>0</v>
      </c>
      <c r="DF61" s="982" t="n"/>
      <c r="DG61" s="15" t="n">
        <v>0</v>
      </c>
      <c r="DH61" s="982" t="n"/>
      <c r="DI61" s="15" t="n">
        <v>0</v>
      </c>
      <c r="DJ61" s="15" t="n"/>
      <c r="DK61" s="15" t="n"/>
      <c r="DL61" s="983" t="n">
        <v>0</v>
      </c>
      <c r="DM61" s="984" t="n">
        <v>0</v>
      </c>
      <c r="DX61" s="52" t="n">
        <v>0</v>
      </c>
    </row>
    <row r="62" hidden="1">
      <c r="A62" s="7" t="n">
        <v>119</v>
      </c>
      <c r="B62" s="8" t="inlineStr">
        <is>
          <t>Simple Whisky 350 ML</t>
        </is>
      </c>
      <c r="C62" s="8" t="inlineStr">
        <is>
          <t>ပုလင်း</t>
        </is>
      </c>
      <c r="D62" s="7" t="n">
        <v>4</v>
      </c>
      <c r="E62" s="7" t="n">
        <v>0.35</v>
      </c>
      <c r="F62" s="7" t="inlineStr">
        <is>
          <t>1 * 24</t>
        </is>
      </c>
      <c r="G62" s="7" t="n"/>
      <c r="H62" s="975" t="n"/>
      <c r="I62" s="976" t="n">
        <v>0</v>
      </c>
      <c r="J62" s="975" t="n"/>
      <c r="K62" s="976" t="n">
        <v>0</v>
      </c>
      <c r="L62" s="975" t="n"/>
      <c r="M62" s="976" t="n">
        <v>0</v>
      </c>
      <c r="N62" s="975" t="n"/>
      <c r="O62" s="976" t="n">
        <v>0</v>
      </c>
      <c r="P62" s="975" t="n"/>
      <c r="Q62" s="976" t="n">
        <v>0</v>
      </c>
      <c r="R62" s="975" t="n"/>
      <c r="S62" s="976" t="n">
        <v>0</v>
      </c>
      <c r="T62" s="975" t="n"/>
      <c r="U62" s="976" t="n">
        <v>0</v>
      </c>
      <c r="V62" s="975" t="n"/>
      <c r="W62" s="976" t="n">
        <v>0</v>
      </c>
      <c r="X62" s="975" t="n"/>
      <c r="Y62" s="976" t="n">
        <v>0</v>
      </c>
      <c r="Z62" s="975" t="n"/>
      <c r="AA62" s="976" t="n">
        <v>0</v>
      </c>
      <c r="AB62" s="975" t="n"/>
      <c r="AC62" s="976" t="n">
        <v>0</v>
      </c>
      <c r="AD62" s="975" t="n"/>
      <c r="AE62" s="976" t="n">
        <v>0</v>
      </c>
      <c r="AF62" s="977" t="n">
        <v>0</v>
      </c>
      <c r="AG62" s="978" t="n">
        <v>0</v>
      </c>
      <c r="AH62" s="975" t="n"/>
      <c r="AI62" s="976" t="n">
        <v>0</v>
      </c>
      <c r="AJ62" s="975" t="n"/>
      <c r="AK62" s="976" t="n">
        <v>0</v>
      </c>
      <c r="AL62" s="975" t="n"/>
      <c r="AM62" s="976" t="n">
        <v>0</v>
      </c>
      <c r="AN62" s="975" t="n"/>
      <c r="AO62" s="976" t="n">
        <v>0</v>
      </c>
      <c r="AP62" s="975" t="n"/>
      <c r="AQ62" s="976" t="n">
        <v>0</v>
      </c>
      <c r="AR62" s="975" t="n"/>
      <c r="AS62" s="976" t="n">
        <v>0</v>
      </c>
      <c r="AT62" s="975" t="n"/>
      <c r="AU62" s="976" t="n">
        <v>0</v>
      </c>
      <c r="AV62" s="975" t="n"/>
      <c r="AW62" s="976" t="n">
        <v>0</v>
      </c>
      <c r="AX62" s="975" t="n"/>
      <c r="AY62" s="976" t="n">
        <v>0</v>
      </c>
      <c r="AZ62" s="975" t="n"/>
      <c r="BA62" s="976" t="n">
        <v>0</v>
      </c>
      <c r="BB62" s="975" t="n"/>
      <c r="BC62" s="976" t="n">
        <v>0</v>
      </c>
      <c r="BD62" s="975" t="n"/>
      <c r="BE62" s="976" t="n">
        <v>0</v>
      </c>
      <c r="BF62" s="977" t="n">
        <v>0</v>
      </c>
      <c r="BG62" s="978" t="n">
        <v>0</v>
      </c>
      <c r="BH62" s="975" t="n"/>
      <c r="BI62" s="976" t="n">
        <v>0</v>
      </c>
      <c r="BJ62" s="975" t="n"/>
      <c r="BK62" s="976" t="n">
        <v>0</v>
      </c>
      <c r="BL62" s="975" t="n"/>
      <c r="BM62" s="976" t="n">
        <v>0</v>
      </c>
      <c r="BN62" s="975" t="n"/>
      <c r="BO62" s="976" t="n">
        <v>0</v>
      </c>
      <c r="BP62" s="975" t="n"/>
      <c r="BQ62" s="976" t="n">
        <v>0</v>
      </c>
      <c r="BR62" s="979" t="n">
        <v>0</v>
      </c>
      <c r="BS62" s="976" t="n">
        <v>0</v>
      </c>
      <c r="BT62" s="975" t="n"/>
      <c r="BU62" s="976" t="n">
        <v>0</v>
      </c>
      <c r="BV62" s="975" t="n"/>
      <c r="BW62" s="976" t="n">
        <v>0</v>
      </c>
      <c r="BX62" s="975" t="n"/>
      <c r="BY62" s="976" t="n">
        <v>0</v>
      </c>
      <c r="BZ62" s="975" t="n"/>
      <c r="CA62" s="976" t="n">
        <v>0</v>
      </c>
      <c r="CB62" s="975" t="n"/>
      <c r="CC62" s="976" t="n">
        <v>0</v>
      </c>
      <c r="CD62" s="975" t="n">
        <v>76</v>
      </c>
      <c r="CE62" s="976" t="n">
        <v>26.6</v>
      </c>
      <c r="CF62" s="975" t="n"/>
      <c r="CG62" s="976" t="n">
        <v>0</v>
      </c>
      <c r="CH62" s="977" t="n">
        <v>6.333333333333333</v>
      </c>
      <c r="CI62" s="978" t="n">
        <v>2.216666666666666</v>
      </c>
      <c r="CJ62" s="980" t="n"/>
      <c r="CK62" s="976" t="n">
        <v>0</v>
      </c>
      <c r="CL62" s="982" t="n"/>
      <c r="CM62" s="976" t="n">
        <v>0</v>
      </c>
      <c r="CN62" s="982" t="n"/>
      <c r="CO62" s="15" t="n">
        <v>0</v>
      </c>
      <c r="CP62" s="982" t="n"/>
      <c r="CQ62" s="15" t="n">
        <v>0</v>
      </c>
      <c r="CR62" s="982" t="n"/>
      <c r="CS62" s="15" t="n">
        <v>0</v>
      </c>
      <c r="CT62" s="982" t="n"/>
      <c r="CU62" s="15" t="n">
        <v>0</v>
      </c>
      <c r="CV62" s="982" t="n"/>
      <c r="CW62" s="15" t="n">
        <v>0</v>
      </c>
      <c r="CX62" s="982" t="n"/>
      <c r="CY62" s="15" t="n">
        <v>0</v>
      </c>
      <c r="CZ62" s="982" t="n"/>
      <c r="DA62" s="15" t="n">
        <v>0</v>
      </c>
      <c r="DB62" s="982" t="n"/>
      <c r="DC62" s="15" t="n">
        <v>0</v>
      </c>
      <c r="DD62" s="982" t="n"/>
      <c r="DE62" s="15" t="n">
        <v>0</v>
      </c>
      <c r="DF62" s="982" t="n"/>
      <c r="DG62" s="15" t="n">
        <v>0</v>
      </c>
      <c r="DH62" s="982" t="n"/>
      <c r="DI62" s="15" t="n">
        <v>0</v>
      </c>
      <c r="DJ62" s="15" t="n"/>
      <c r="DK62" s="15" t="n"/>
      <c r="DL62" s="983" t="n">
        <v>0</v>
      </c>
      <c r="DM62" s="984" t="n">
        <v>0</v>
      </c>
      <c r="DX62" s="52" t="n">
        <v>0</v>
      </c>
    </row>
    <row r="63" hidden="1">
      <c r="A63" s="7" t="n">
        <v>120</v>
      </c>
      <c r="B63" s="20" t="inlineStr">
        <is>
          <t>Golden Triangle</t>
        </is>
      </c>
      <c r="C63" s="20" t="inlineStr">
        <is>
          <t>ပုလင်း</t>
        </is>
      </c>
      <c r="D63" s="7" t="n">
        <v>4</v>
      </c>
      <c r="E63" s="7" t="n">
        <v>0.7</v>
      </c>
      <c r="F63" s="30" t="inlineStr">
        <is>
          <t>1*6</t>
        </is>
      </c>
      <c r="G63" s="21" t="n"/>
      <c r="H63" s="975" t="n"/>
      <c r="I63" s="976" t="n">
        <v>0</v>
      </c>
      <c r="J63" s="975" t="n"/>
      <c r="K63" s="976" t="n">
        <v>0</v>
      </c>
      <c r="L63" s="975" t="n"/>
      <c r="M63" s="976" t="n">
        <v>0</v>
      </c>
      <c r="N63" s="975" t="n"/>
      <c r="O63" s="976" t="n">
        <v>0</v>
      </c>
      <c r="P63" s="975" t="n"/>
      <c r="Q63" s="976" t="n">
        <v>0</v>
      </c>
      <c r="R63" s="975" t="n"/>
      <c r="S63" s="976" t="n">
        <v>0</v>
      </c>
      <c r="T63" s="975" t="n"/>
      <c r="U63" s="976" t="n">
        <v>0</v>
      </c>
      <c r="V63" s="975" t="n"/>
      <c r="W63" s="976" t="n">
        <v>0</v>
      </c>
      <c r="X63" s="975" t="n"/>
      <c r="Y63" s="976" t="n">
        <v>0</v>
      </c>
      <c r="Z63" s="975" t="n"/>
      <c r="AA63" s="976" t="n">
        <v>0</v>
      </c>
      <c r="AB63" s="975" t="n"/>
      <c r="AC63" s="976" t="n">
        <v>0</v>
      </c>
      <c r="AD63" s="975" t="n"/>
      <c r="AE63" s="976" t="n">
        <v>0</v>
      </c>
      <c r="AF63" s="977" t="n">
        <v>0</v>
      </c>
      <c r="AG63" s="978" t="n">
        <v>0</v>
      </c>
      <c r="AH63" s="975" t="n"/>
      <c r="AI63" s="976" t="n">
        <v>0</v>
      </c>
      <c r="AJ63" s="975" t="n"/>
      <c r="AK63" s="976" t="n">
        <v>0</v>
      </c>
      <c r="AL63" s="975" t="n"/>
      <c r="AM63" s="976" t="n">
        <v>0</v>
      </c>
      <c r="AN63" s="975" t="n"/>
      <c r="AO63" s="976" t="n">
        <v>0</v>
      </c>
      <c r="AP63" s="975" t="n"/>
      <c r="AQ63" s="976" t="n">
        <v>0</v>
      </c>
      <c r="AR63" s="975" t="n"/>
      <c r="AS63" s="976" t="n">
        <v>0</v>
      </c>
      <c r="AT63" s="975" t="n"/>
      <c r="AU63" s="976" t="n">
        <v>0</v>
      </c>
      <c r="AV63" s="975" t="n"/>
      <c r="AW63" s="976" t="n">
        <v>0</v>
      </c>
      <c r="AX63" s="975" t="n"/>
      <c r="AY63" s="976" t="n">
        <v>0</v>
      </c>
      <c r="AZ63" s="975" t="n"/>
      <c r="BA63" s="976" t="n">
        <v>0</v>
      </c>
      <c r="BB63" s="975" t="n"/>
      <c r="BC63" s="976" t="n">
        <v>0</v>
      </c>
      <c r="BD63" s="975" t="n"/>
      <c r="BE63" s="976" t="n">
        <v>0</v>
      </c>
      <c r="BF63" s="977" t="n">
        <v>0</v>
      </c>
      <c r="BG63" s="978" t="n">
        <v>0</v>
      </c>
      <c r="BH63" s="975" t="n"/>
      <c r="BI63" s="976" t="n">
        <v>0</v>
      </c>
      <c r="BJ63" s="975" t="n"/>
      <c r="BK63" s="976" t="n">
        <v>0</v>
      </c>
      <c r="BL63" s="975" t="n"/>
      <c r="BM63" s="976" t="n">
        <v>0</v>
      </c>
      <c r="BN63" s="975" t="n"/>
      <c r="BO63" s="976" t="n">
        <v>0</v>
      </c>
      <c r="BP63" s="975" t="n"/>
      <c r="BQ63" s="976" t="n">
        <v>0</v>
      </c>
      <c r="BR63" s="979" t="n">
        <v>0</v>
      </c>
      <c r="BS63" s="976" t="n">
        <v>0</v>
      </c>
      <c r="BT63" s="975" t="n"/>
      <c r="BU63" s="976" t="n">
        <v>0</v>
      </c>
      <c r="BV63" s="975" t="n"/>
      <c r="BW63" s="976" t="n">
        <v>0</v>
      </c>
      <c r="BX63" s="975" t="n"/>
      <c r="BY63" s="976" t="n">
        <v>0</v>
      </c>
      <c r="BZ63" s="975" t="n"/>
      <c r="CA63" s="976" t="n">
        <v>0</v>
      </c>
      <c r="CB63" s="975" t="n"/>
      <c r="CC63" s="976" t="n">
        <v>0</v>
      </c>
      <c r="CD63" s="975" t="n"/>
      <c r="CE63" s="976" t="n">
        <v>0</v>
      </c>
      <c r="CF63" s="975" t="n"/>
      <c r="CG63" s="976" t="n">
        <v>0</v>
      </c>
      <c r="CH63" s="977" t="n">
        <v>0</v>
      </c>
      <c r="CI63" s="978" t="n">
        <v>0</v>
      </c>
      <c r="CJ63" s="31" t="n"/>
      <c r="CK63" s="976" t="n">
        <v>0</v>
      </c>
      <c r="CL63" s="975" t="n"/>
      <c r="CM63" s="976" t="n">
        <v>0</v>
      </c>
      <c r="CN63" s="975" t="n"/>
      <c r="CO63" s="976" t="n">
        <v>0</v>
      </c>
      <c r="CP63" s="975" t="n"/>
      <c r="CQ63" s="976" t="n">
        <v>0</v>
      </c>
      <c r="CR63" s="975" t="n"/>
      <c r="CS63" s="976" t="n">
        <v>0</v>
      </c>
      <c r="CT63" s="975" t="n"/>
      <c r="CU63" s="976" t="n">
        <v>0</v>
      </c>
      <c r="CV63" s="975" t="n"/>
      <c r="CW63" s="976" t="n">
        <v>0</v>
      </c>
      <c r="CX63" s="975" t="n"/>
      <c r="CY63" s="976" t="n">
        <v>0</v>
      </c>
      <c r="CZ63" s="975" t="n"/>
      <c r="DA63" s="976" t="n">
        <v>0</v>
      </c>
      <c r="DB63" s="975" t="n"/>
      <c r="DC63" s="976" t="n">
        <v>0</v>
      </c>
      <c r="DD63" s="975" t="n"/>
      <c r="DE63" s="976" t="n">
        <v>0</v>
      </c>
      <c r="DF63" s="975" t="n"/>
      <c r="DG63" s="976" t="n">
        <v>0</v>
      </c>
      <c r="DH63" s="975" t="n"/>
      <c r="DI63" s="976" t="n">
        <v>0</v>
      </c>
      <c r="DJ63" s="976" t="n"/>
      <c r="DK63" s="976" t="n"/>
      <c r="DL63" s="979" t="n">
        <v>0</v>
      </c>
      <c r="DM63" s="976" t="n">
        <v>0</v>
      </c>
      <c r="DX63" s="52" t="n">
        <v>0</v>
      </c>
    </row>
    <row r="64" hidden="1">
      <c r="A64" s="32" t="n"/>
      <c r="B64" s="33" t="n"/>
      <c r="C64" s="33" t="n"/>
      <c r="D64" s="33" t="n"/>
      <c r="E64" s="33" t="n"/>
      <c r="F64" s="34" t="n"/>
      <c r="G64" s="34" t="n"/>
      <c r="H64" s="975" t="n"/>
      <c r="I64" s="976" t="n"/>
      <c r="J64" s="975" t="n"/>
      <c r="K64" s="976" t="n"/>
      <c r="L64" s="975" t="n"/>
      <c r="M64" s="976" t="n"/>
      <c r="N64" s="975" t="n"/>
      <c r="O64" s="976" t="n"/>
      <c r="P64" s="975" t="n"/>
      <c r="Q64" s="976" t="n"/>
      <c r="R64" s="975" t="n"/>
      <c r="S64" s="976" t="n"/>
      <c r="T64" s="975" t="n"/>
      <c r="U64" s="976" t="n"/>
      <c r="V64" s="975" t="n"/>
      <c r="W64" s="976" t="n"/>
      <c r="X64" s="975" t="n"/>
      <c r="Y64" s="976" t="n"/>
      <c r="Z64" s="975" t="n"/>
      <c r="AA64" s="976" t="n"/>
      <c r="AB64" s="975" t="n"/>
      <c r="AC64" s="976" t="n"/>
      <c r="AD64" s="975" t="n"/>
      <c r="AE64" s="976" t="n"/>
      <c r="AF64" s="977" t="n"/>
      <c r="AG64" s="978" t="n"/>
      <c r="AH64" s="975" t="n"/>
      <c r="AI64" s="976" t="n"/>
      <c r="AJ64" s="975" t="n"/>
      <c r="AK64" s="976" t="n"/>
      <c r="AL64" s="975" t="n"/>
      <c r="AM64" s="976" t="n"/>
      <c r="AN64" s="975" t="n"/>
      <c r="AO64" s="976" t="n"/>
      <c r="AP64" s="975" t="n"/>
      <c r="AQ64" s="976" t="n"/>
      <c r="AR64" s="975" t="n"/>
      <c r="AS64" s="976" t="n"/>
      <c r="AT64" s="975" t="n"/>
      <c r="AU64" s="976" t="n"/>
      <c r="AV64" s="975" t="n"/>
      <c r="AW64" s="976" t="n"/>
      <c r="AX64" s="975" t="n"/>
      <c r="AY64" s="976" t="n"/>
      <c r="AZ64" s="975" t="n"/>
      <c r="BA64" s="976" t="n"/>
      <c r="BB64" s="975" t="n"/>
      <c r="BC64" s="976" t="n"/>
      <c r="BD64" s="975" t="n"/>
      <c r="BE64" s="976" t="n"/>
      <c r="BF64" s="977" t="n"/>
      <c r="BG64" s="978" t="n"/>
      <c r="BH64" s="975" t="n"/>
      <c r="BI64" s="976" t="n"/>
      <c r="BJ64" s="975" t="n"/>
      <c r="BK64" s="976" t="n"/>
      <c r="BL64" s="975" t="n"/>
      <c r="BM64" s="976" t="n"/>
      <c r="BN64" s="975" t="n"/>
      <c r="BO64" s="976" t="n"/>
      <c r="BP64" s="975" t="n"/>
      <c r="BQ64" s="976" t="n"/>
      <c r="BR64" s="979" t="n">
        <v>0</v>
      </c>
      <c r="BS64" s="976" t="n">
        <v>0</v>
      </c>
      <c r="BT64" s="975" t="n"/>
      <c r="BU64" s="976" t="n"/>
      <c r="BV64" s="975" t="n"/>
      <c r="BW64" s="976" t="n"/>
      <c r="BX64" s="975" t="n"/>
      <c r="BY64" s="976" t="n"/>
      <c r="BZ64" s="975" t="n"/>
      <c r="CA64" s="976" t="n"/>
      <c r="CB64" s="975" t="n"/>
      <c r="CC64" s="976" t="n"/>
      <c r="CD64" s="975" t="n"/>
      <c r="CE64" s="976" t="n"/>
      <c r="CF64" s="975" t="n"/>
      <c r="CG64" s="976" t="n"/>
      <c r="CH64" s="977" t="n"/>
      <c r="CI64" s="978" t="n"/>
      <c r="CJ64" s="975" t="n"/>
      <c r="CK64" s="976" t="n"/>
      <c r="CL64" s="982" t="n"/>
      <c r="CM64" s="976" t="n"/>
      <c r="CN64" s="982" t="n"/>
      <c r="CO64" s="984" t="n"/>
      <c r="CP64" s="982" t="n"/>
      <c r="CQ64" s="984" t="n"/>
      <c r="CR64" s="982" t="n"/>
      <c r="CS64" s="984" t="n"/>
      <c r="CT64" s="982" t="n"/>
      <c r="CU64" s="984" t="n"/>
      <c r="CV64" s="982" t="n"/>
      <c r="CW64" s="984" t="n"/>
      <c r="CX64" s="982" t="n"/>
      <c r="CY64" s="984" t="n"/>
      <c r="CZ64" s="982" t="n"/>
      <c r="DA64" s="984" t="n"/>
      <c r="DB64" s="982" t="n"/>
      <c r="DC64" s="984" t="n"/>
      <c r="DD64" s="982" t="n"/>
      <c r="DE64" s="984" t="n"/>
      <c r="DF64" s="982" t="n"/>
      <c r="DG64" s="984" t="n"/>
      <c r="DH64" s="982" t="n"/>
      <c r="DI64" s="984" t="n"/>
      <c r="DJ64" s="984" t="n"/>
      <c r="DK64" s="984" t="n"/>
      <c r="DL64" s="983" t="n"/>
      <c r="DM64" s="984" t="n"/>
      <c r="DX64" s="52" t="n">
        <v>0</v>
      </c>
    </row>
    <row r="65" hidden="1">
      <c r="A65" s="35" t="n"/>
      <c r="B65" s="23" t="inlineStr">
        <is>
          <t>Whisky စုစုပေါင်း</t>
        </is>
      </c>
      <c r="C65" s="23" t="n"/>
      <c r="D65" s="23" t="n"/>
      <c r="E65" s="23" t="n"/>
      <c r="F65" s="25" t="n"/>
      <c r="G65" s="25" t="n"/>
      <c r="H65" s="989" t="n">
        <v>19216</v>
      </c>
      <c r="I65" s="990" t="n">
        <v>9343.25</v>
      </c>
      <c r="J65" s="989" t="n">
        <v>6781</v>
      </c>
      <c r="K65" s="990" t="n">
        <v>2927.4</v>
      </c>
      <c r="L65" s="989" t="n">
        <v>7169</v>
      </c>
      <c r="M65" s="990" t="n">
        <v>3460.799999999999</v>
      </c>
      <c r="N65" s="989" t="n">
        <v>32435</v>
      </c>
      <c r="O65" s="990" t="n">
        <v>11587.275</v>
      </c>
      <c r="P65" s="989" t="n">
        <v>5075</v>
      </c>
      <c r="Q65" s="990" t="n">
        <v>2334.5</v>
      </c>
      <c r="R65" s="989" t="n">
        <v>5630</v>
      </c>
      <c r="S65" s="990" t="n">
        <v>2459.1</v>
      </c>
      <c r="T65" s="989" t="n">
        <v>6830</v>
      </c>
      <c r="U65" s="990" t="n">
        <v>3185.175</v>
      </c>
      <c r="V65" s="989" t="n">
        <v>4334</v>
      </c>
      <c r="W65" s="990" t="n">
        <v>2109.099999999999</v>
      </c>
      <c r="X65" s="989" t="n">
        <v>2373</v>
      </c>
      <c r="Y65" s="990" t="n">
        <v>1114.575</v>
      </c>
      <c r="Z65" s="989" t="n">
        <v>2829</v>
      </c>
      <c r="AA65" s="990" t="n">
        <v>1306.375</v>
      </c>
      <c r="AB65" s="989" t="n">
        <v>2889</v>
      </c>
      <c r="AC65" s="990" t="n">
        <v>1396.5</v>
      </c>
      <c r="AD65" s="989" t="n">
        <v>4559</v>
      </c>
      <c r="AE65" s="990" t="n">
        <v>2204.125</v>
      </c>
      <c r="AF65" s="991" t="n">
        <v>8343.333333333334</v>
      </c>
      <c r="AG65" s="992" t="n">
        <v>3619.014583333333</v>
      </c>
      <c r="AH65" s="989" t="n">
        <v>4528</v>
      </c>
      <c r="AI65" s="990" t="n">
        <v>1975.75</v>
      </c>
      <c r="AJ65" s="989" t="n">
        <v>3756</v>
      </c>
      <c r="AK65" s="990" t="n">
        <v>1774.5</v>
      </c>
      <c r="AL65" s="989" t="n">
        <v>2101</v>
      </c>
      <c r="AM65" s="990" t="n">
        <v>1064</v>
      </c>
      <c r="AN65" s="989" t="n">
        <v>3165</v>
      </c>
      <c r="AO65" s="990" t="n">
        <v>1365.7</v>
      </c>
      <c r="AP65" s="989" t="n">
        <v>2082</v>
      </c>
      <c r="AQ65" s="990" t="n">
        <v>1032.675</v>
      </c>
      <c r="AR65" s="989" t="n">
        <v>2096</v>
      </c>
      <c r="AS65" s="990" t="n">
        <v>1024.1</v>
      </c>
      <c r="AT65" s="989" t="n">
        <v>1732</v>
      </c>
      <c r="AU65" s="990" t="n">
        <v>858.375</v>
      </c>
      <c r="AV65" s="989" t="n">
        <v>2122</v>
      </c>
      <c r="AW65" s="990" t="n">
        <v>1006.075</v>
      </c>
      <c r="AX65" s="989" t="n">
        <v>2222</v>
      </c>
      <c r="AY65" s="990" t="n">
        <v>1019.2</v>
      </c>
      <c r="AZ65" s="989" t="n">
        <v>2467</v>
      </c>
      <c r="BA65" s="990" t="n">
        <v>941.8499999999999</v>
      </c>
      <c r="BB65" s="989" t="n">
        <v>1565</v>
      </c>
      <c r="BC65" s="990" t="n">
        <v>766.5</v>
      </c>
      <c r="BD65" s="989" t="n">
        <v>5955</v>
      </c>
      <c r="BE65" s="990" t="n">
        <v>2243.325</v>
      </c>
      <c r="BF65" s="991" t="n">
        <v>2815.916666666667</v>
      </c>
      <c r="BG65" s="992" t="n">
        <v>1256.004166666667</v>
      </c>
      <c r="BH65" s="989" t="n">
        <v>1752</v>
      </c>
      <c r="BI65" s="990" t="n">
        <v>907.1999999999999</v>
      </c>
      <c r="BJ65" s="989" t="n">
        <v>2206</v>
      </c>
      <c r="BK65" s="990" t="n">
        <v>1138.375</v>
      </c>
      <c r="BL65" s="989" t="n">
        <v>3341</v>
      </c>
      <c r="BM65" s="990" t="n">
        <v>1520.75</v>
      </c>
      <c r="BN65" s="989" t="n">
        <v>1913</v>
      </c>
      <c r="BO65" s="990" t="n">
        <v>821.0999999999999</v>
      </c>
      <c r="BP65" s="989" t="n">
        <v>1068</v>
      </c>
      <c r="BQ65" s="990" t="n">
        <v>489.65</v>
      </c>
      <c r="BR65" s="979" t="n">
        <v>2056</v>
      </c>
      <c r="BS65" s="976" t="n">
        <v>975.4149999999997</v>
      </c>
      <c r="BT65" s="989" t="n">
        <v>1632</v>
      </c>
      <c r="BU65" s="990" t="n">
        <v>763.175</v>
      </c>
      <c r="BV65" s="989" t="n">
        <v>2029</v>
      </c>
      <c r="BW65" s="990" t="n">
        <v>1096.2</v>
      </c>
      <c r="BX65" s="989" t="n">
        <v>2274</v>
      </c>
      <c r="BY65" s="990" t="n">
        <v>942.8999999999999</v>
      </c>
      <c r="BZ65" s="989" t="n">
        <v>1207</v>
      </c>
      <c r="CA65" s="990" t="n">
        <v>451.1499999999999</v>
      </c>
      <c r="CB65" s="989" t="n">
        <v>1780</v>
      </c>
      <c r="CC65" s="990" t="n">
        <v>739.375</v>
      </c>
      <c r="CD65" s="989" t="n">
        <v>1518</v>
      </c>
      <c r="CE65" s="990" t="n">
        <v>572.5999999999999</v>
      </c>
      <c r="CF65" s="989" t="n">
        <v>401</v>
      </c>
      <c r="CG65" s="990" t="n">
        <v>170.1</v>
      </c>
      <c r="CH65" s="991" t="n">
        <v>1760.083333333333</v>
      </c>
      <c r="CI65" s="992" t="n">
        <v>801.0479166666667</v>
      </c>
      <c r="CJ65" s="989" t="n">
        <v>1752</v>
      </c>
      <c r="CK65" s="990" t="n">
        <v>797.65</v>
      </c>
      <c r="CL65" s="989" t="n">
        <v>397</v>
      </c>
      <c r="CM65" s="990" t="n">
        <v>118.3</v>
      </c>
      <c r="CN65" s="989" t="n">
        <v>540</v>
      </c>
      <c r="CO65" s="990" t="n">
        <v>211.05</v>
      </c>
      <c r="CP65" s="989" t="n">
        <v>180</v>
      </c>
      <c r="CQ65" s="990" t="n">
        <v>67.19999999999999</v>
      </c>
      <c r="CR65" s="989" t="n">
        <v>320</v>
      </c>
      <c r="CS65" s="990" t="n">
        <v>127.05</v>
      </c>
      <c r="CT65" s="989" t="n">
        <v>499</v>
      </c>
      <c r="CU65" s="990" t="n">
        <v>152.425</v>
      </c>
      <c r="CV65" s="989" t="n">
        <v>0</v>
      </c>
      <c r="CW65" s="990" t="n">
        <v>0</v>
      </c>
      <c r="CX65" s="989" t="n">
        <v>0</v>
      </c>
      <c r="CY65" s="990" t="n">
        <v>0</v>
      </c>
      <c r="CZ65" s="989" t="n">
        <v>0</v>
      </c>
      <c r="DA65" s="990" t="n">
        <v>0</v>
      </c>
      <c r="DB65" s="989" t="n">
        <v>0</v>
      </c>
      <c r="DC65" s="990" t="n">
        <v>0</v>
      </c>
      <c r="DD65" s="989" t="n">
        <v>0</v>
      </c>
      <c r="DE65" s="990" t="n">
        <v>0</v>
      </c>
      <c r="DF65" s="989" t="n">
        <v>0</v>
      </c>
      <c r="DG65" s="990" t="n">
        <v>0</v>
      </c>
      <c r="DH65" s="989" t="n">
        <v>0</v>
      </c>
      <c r="DI65" s="990" t="n">
        <v>0</v>
      </c>
      <c r="DJ65" s="990" t="n"/>
      <c r="DK65" s="990" t="n"/>
      <c r="DL65" s="989" t="n">
        <v>1936</v>
      </c>
      <c r="DM65" s="990" t="n">
        <v>676.0249999999999</v>
      </c>
      <c r="DX65" s="52" t="n">
        <v>0</v>
      </c>
    </row>
    <row r="66" hidden="1">
      <c r="A66" s="36" t="n"/>
      <c r="B66" s="24" t="inlineStr">
        <is>
          <t>All Total</t>
        </is>
      </c>
      <c r="C66" s="24" t="n"/>
      <c r="D66" s="24" t="n"/>
      <c r="E66" s="24" t="n"/>
      <c r="F66" s="24" t="n"/>
      <c r="G66" s="24" t="n"/>
      <c r="H66" s="1006" t="n">
        <v>673307</v>
      </c>
      <c r="I66" s="1007" t="n">
        <v>434360.31</v>
      </c>
      <c r="J66" s="1006" t="n">
        <v>635325</v>
      </c>
      <c r="K66" s="1007" t="n">
        <v>409965.0800000001</v>
      </c>
      <c r="L66" s="1006" t="n">
        <v>722475</v>
      </c>
      <c r="M66" s="1007" t="n">
        <v>469569.64</v>
      </c>
      <c r="N66" s="1006" t="n">
        <v>565018</v>
      </c>
      <c r="O66" s="1007" t="n">
        <v>358186.655</v>
      </c>
      <c r="P66" s="1006" t="n">
        <v>564244</v>
      </c>
      <c r="Q66" s="1007" t="n">
        <v>364154.0800000001</v>
      </c>
      <c r="R66" s="1006" t="n">
        <v>652490</v>
      </c>
      <c r="S66" s="1007" t="n">
        <v>420300.7799999999</v>
      </c>
      <c r="T66" s="1006" t="n">
        <v>647908</v>
      </c>
      <c r="U66" s="1007" t="n">
        <v>418437.2150000001</v>
      </c>
      <c r="V66" s="1006" t="n">
        <v>719553</v>
      </c>
      <c r="W66" s="1007" t="n">
        <v>466812.6800000001</v>
      </c>
      <c r="X66" s="1006" t="n">
        <v>633387</v>
      </c>
      <c r="Y66" s="1007" t="n">
        <v>408968.6550000001</v>
      </c>
      <c r="Z66" s="1006" t="n">
        <v>599383</v>
      </c>
      <c r="AA66" s="1007" t="n">
        <v>386824.285</v>
      </c>
      <c r="AB66" s="1006" t="n">
        <v>667503</v>
      </c>
      <c r="AC66" s="1007" t="n">
        <v>432396.74</v>
      </c>
      <c r="AD66" s="1006" t="n">
        <v>726650</v>
      </c>
      <c r="AE66" s="1007" t="n">
        <v>468939.515</v>
      </c>
      <c r="AF66" s="1008" t="n">
        <v>650603.5833333334</v>
      </c>
      <c r="AG66" s="992" t="n">
        <v>419909.63625</v>
      </c>
      <c r="AH66" s="1006" t="n">
        <v>700686</v>
      </c>
      <c r="AI66" s="1007" t="n">
        <v>452951.16</v>
      </c>
      <c r="AJ66" s="1006" t="n">
        <v>586745</v>
      </c>
      <c r="AK66" s="1007" t="n">
        <v>378003.1</v>
      </c>
      <c r="AL66" s="1006" t="n">
        <v>564026</v>
      </c>
      <c r="AM66" s="1007" t="n">
        <v>365983.43</v>
      </c>
      <c r="AN66" s="1006" t="n">
        <v>568040</v>
      </c>
      <c r="AO66" s="1007" t="n">
        <v>367781.2700000001</v>
      </c>
      <c r="AP66" s="1006" t="n">
        <v>478139</v>
      </c>
      <c r="AQ66" s="1007" t="n">
        <v>310902.645</v>
      </c>
      <c r="AR66" s="1006" t="n">
        <v>602441</v>
      </c>
      <c r="AS66" s="1007" t="n">
        <v>390590.64</v>
      </c>
      <c r="AT66" s="1006" t="n">
        <v>656344</v>
      </c>
      <c r="AU66" s="1007" t="n">
        <v>425742.525</v>
      </c>
      <c r="AV66" s="1006" t="n">
        <v>629458</v>
      </c>
      <c r="AW66" s="1007" t="n">
        <v>406654.1950000001</v>
      </c>
      <c r="AX66" s="1006" t="n">
        <v>616621</v>
      </c>
      <c r="AY66" s="1007" t="n">
        <v>399341.2500000001</v>
      </c>
      <c r="AZ66" s="1006" t="n">
        <v>665349</v>
      </c>
      <c r="BA66" s="1007" t="n">
        <v>429634.99</v>
      </c>
      <c r="BB66" s="1006" t="n">
        <v>679818</v>
      </c>
      <c r="BC66" s="1007" t="n">
        <v>441654.6400000001</v>
      </c>
      <c r="BD66" s="1006" t="n">
        <v>852653</v>
      </c>
      <c r="BE66" s="1007" t="n">
        <v>550908.3050000001</v>
      </c>
      <c r="BF66" s="1008" t="n">
        <v>633360.0000000001</v>
      </c>
      <c r="BG66" s="992" t="n">
        <v>410012.3458333333</v>
      </c>
      <c r="BH66" s="1006" t="n">
        <v>950930</v>
      </c>
      <c r="BI66" s="1007" t="n">
        <v>614419.3999999999</v>
      </c>
      <c r="BJ66" s="1006" t="n">
        <v>775985</v>
      </c>
      <c r="BK66" s="1007" t="n">
        <v>501687.0549999999</v>
      </c>
      <c r="BL66" s="1006" t="n">
        <v>797449</v>
      </c>
      <c r="BM66" s="1007" t="n">
        <v>514439.89</v>
      </c>
      <c r="BN66" s="1006" t="n">
        <v>750991</v>
      </c>
      <c r="BO66" s="1007" t="n">
        <v>487358.1</v>
      </c>
      <c r="BP66" s="1006" t="n">
        <v>841660</v>
      </c>
      <c r="BQ66" s="1007" t="n">
        <v>541704.7100000001</v>
      </c>
      <c r="BR66" s="979" t="n">
        <v>823403</v>
      </c>
      <c r="BS66" s="976" t="n">
        <v>531921.831</v>
      </c>
      <c r="BT66" s="1006" t="n">
        <v>822028</v>
      </c>
      <c r="BU66" s="1007" t="n">
        <v>530600.1450000001</v>
      </c>
      <c r="BV66" s="1006" t="n">
        <v>870166</v>
      </c>
      <c r="BW66" s="1007" t="n">
        <v>562774.8199999999</v>
      </c>
      <c r="BX66" s="1006" t="n">
        <v>866931</v>
      </c>
      <c r="BY66" s="1007" t="n">
        <v>561856.5800000001</v>
      </c>
      <c r="BZ66" s="1006" t="n">
        <v>902848</v>
      </c>
      <c r="CA66" s="1007" t="n">
        <v>584416.41</v>
      </c>
      <c r="CB66" s="1006" t="n">
        <v>948196</v>
      </c>
      <c r="CC66" s="1007" t="n">
        <v>616091.025</v>
      </c>
      <c r="CD66" s="1006" t="n">
        <v>918548</v>
      </c>
      <c r="CE66" s="1007" t="n">
        <v>596407.62</v>
      </c>
      <c r="CF66" s="1006" t="n">
        <v>1013832</v>
      </c>
      <c r="CG66" s="1007" t="n">
        <v>662323.54</v>
      </c>
      <c r="CH66" s="1008" t="n">
        <v>871630.3333333334</v>
      </c>
      <c r="CI66" s="992" t="n">
        <v>564506.6079166667</v>
      </c>
      <c r="CJ66" s="1006" t="n">
        <v>878551</v>
      </c>
      <c r="CK66" s="1007" t="n">
        <v>568660.41</v>
      </c>
      <c r="CL66" s="1006" t="n">
        <v>966149</v>
      </c>
      <c r="CM66" s="1007" t="n">
        <v>631951.1800000001</v>
      </c>
      <c r="CN66" s="1006" t="n">
        <v>819391</v>
      </c>
      <c r="CO66" s="1007" t="n">
        <v>533039.53</v>
      </c>
      <c r="CP66" s="1006" t="n">
        <v>1020734</v>
      </c>
      <c r="CQ66" s="1007" t="n">
        <v>677415.9199999999</v>
      </c>
      <c r="CR66" s="1006" t="n">
        <v>803419</v>
      </c>
      <c r="CS66" s="1007" t="n">
        <v>524739.3</v>
      </c>
      <c r="CT66" s="1006" t="n">
        <v>889239</v>
      </c>
      <c r="CU66" s="1007" t="n">
        <v>583333.9150000002</v>
      </c>
      <c r="CV66" s="1006" t="n">
        <v>0</v>
      </c>
      <c r="CW66" s="1007" t="n">
        <v>0</v>
      </c>
      <c r="CX66" s="1006" t="n">
        <v>0</v>
      </c>
      <c r="CY66" s="1007" t="n">
        <v>0</v>
      </c>
      <c r="CZ66" s="1006" t="n">
        <v>0</v>
      </c>
      <c r="DA66" s="1007" t="n">
        <v>0</v>
      </c>
      <c r="DB66" s="1006" t="n">
        <v>0</v>
      </c>
      <c r="DC66" s="1007" t="n">
        <v>0</v>
      </c>
      <c r="DD66" s="1006" t="n">
        <v>0</v>
      </c>
      <c r="DE66" s="1007" t="n">
        <v>0</v>
      </c>
      <c r="DF66" s="1006" t="n">
        <v>0</v>
      </c>
      <c r="DG66" s="1007" t="n">
        <v>0</v>
      </c>
      <c r="DH66" s="1006" t="n">
        <v>0</v>
      </c>
      <c r="DI66" s="1007" t="n">
        <v>0</v>
      </c>
      <c r="DJ66" s="1007" t="n"/>
      <c r="DK66" s="1007" t="n"/>
      <c r="DL66" s="1006" t="n">
        <v>4498932</v>
      </c>
      <c r="DM66" s="1007" t="n">
        <v>2950479.844999999</v>
      </c>
      <c r="DX66" s="52" t="n">
        <v>0</v>
      </c>
    </row>
    <row r="67" ht="21.75" customHeight="1"/>
    <row r="68" ht="21.75" customHeight="1"/>
    <row r="69">
      <c r="CN69" s="1010" t="n"/>
      <c r="CO69" s="1011" t="n"/>
      <c r="CP69" s="1010" t="n"/>
      <c r="CQ69" s="1011" t="n"/>
      <c r="CR69" s="1010" t="n"/>
      <c r="CS69" s="1011" t="n"/>
      <c r="CT69" s="1010" t="n"/>
      <c r="CU69" s="1011" t="n"/>
      <c r="CX69" s="1012" t="n"/>
      <c r="CY69" s="1013" t="n"/>
      <c r="CZ69" s="1010" t="n"/>
      <c r="DA69" s="1011" t="n"/>
    </row>
    <row r="70">
      <c r="DD70" s="1010" t="n"/>
      <c r="DE70" s="1011" t="n"/>
    </row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</sheetData>
  <mergeCells count="68">
    <mergeCell ref="L2:M2"/>
    <mergeCell ref="V2:W2"/>
    <mergeCell ref="X2:Y2"/>
    <mergeCell ref="DT1:DW1"/>
    <mergeCell ref="DQ2:DQ3"/>
    <mergeCell ref="BZ2:CA2"/>
    <mergeCell ref="CB2:CC2"/>
    <mergeCell ref="BR2:BS2"/>
    <mergeCell ref="AJ2:AK2"/>
    <mergeCell ref="AL2:AM2"/>
    <mergeCell ref="B2:B3"/>
    <mergeCell ref="CF2:CG2"/>
    <mergeCell ref="D2:D3"/>
    <mergeCell ref="CL2:CM2"/>
    <mergeCell ref="DT2:DU2"/>
    <mergeCell ref="F2:F3"/>
    <mergeCell ref="CN2:CO2"/>
    <mergeCell ref="DN2:DO2"/>
    <mergeCell ref="BD2:BE2"/>
    <mergeCell ref="AV2:AW2"/>
    <mergeCell ref="N2:O2"/>
    <mergeCell ref="BH2:BI2"/>
    <mergeCell ref="AX2:AY2"/>
    <mergeCell ref="P2:Q2"/>
    <mergeCell ref="CR2:CS2"/>
    <mergeCell ref="CX2:CY2"/>
    <mergeCell ref="BJ2:BK2"/>
    <mergeCell ref="BP2:BQ2"/>
    <mergeCell ref="CZ2:DA2"/>
    <mergeCell ref="CL1:DM1"/>
    <mergeCell ref="A2:A3"/>
    <mergeCell ref="C2:C3"/>
    <mergeCell ref="DD2:DE2"/>
    <mergeCell ref="E2:E3"/>
    <mergeCell ref="DL2:DM2"/>
    <mergeCell ref="A1:G1"/>
    <mergeCell ref="H2:I2"/>
    <mergeCell ref="T2:U2"/>
    <mergeCell ref="Z2:AA2"/>
    <mergeCell ref="BT2:BU2"/>
    <mergeCell ref="AB2:AC2"/>
    <mergeCell ref="BV2:BW2"/>
    <mergeCell ref="AD2:AE2"/>
    <mergeCell ref="BX2:BY2"/>
    <mergeCell ref="CD2:CE2"/>
    <mergeCell ref="AF2:AG2"/>
    <mergeCell ref="AN2:AO2"/>
    <mergeCell ref="CH2:CI2"/>
    <mergeCell ref="AP2:AQ2"/>
    <mergeCell ref="CJ2:CK2"/>
    <mergeCell ref="CP2:CQ2"/>
    <mergeCell ref="DX1:DX3"/>
    <mergeCell ref="AH2:AI2"/>
    <mergeCell ref="AR2:AS2"/>
    <mergeCell ref="J2:K2"/>
    <mergeCell ref="AT2:AU2"/>
    <mergeCell ref="AZ2:BA2"/>
    <mergeCell ref="R2:S2"/>
    <mergeCell ref="CT2:CU2"/>
    <mergeCell ref="BB2:BC2"/>
    <mergeCell ref="BL2:BM2"/>
    <mergeCell ref="CV2:CW2"/>
    <mergeCell ref="DB2:DC2"/>
    <mergeCell ref="BN2:BO2"/>
    <mergeCell ref="BF2:BG2"/>
    <mergeCell ref="DF2:DG2"/>
    <mergeCell ref="DH2:DI2"/>
    <mergeCell ref="G2:G3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DR52"/>
  <sheetViews>
    <sheetView zoomScale="80" zoomScaleNormal="80" workbookViewId="0">
      <pane xSplit="5" ySplit="3" topLeftCell="BY44" activePane="bottomRight" state="frozen"/>
      <selection pane="topRight" activeCell="F1" sqref="F1"/>
      <selection pane="bottomLeft" activeCell="A4" sqref="A4"/>
      <selection pane="bottomRight" activeCell="DP65" sqref="DP65"/>
    </sheetView>
  </sheetViews>
  <sheetFormatPr baseColWidth="8" defaultColWidth="9.109375" defaultRowHeight="20.4"/>
  <cols>
    <col width="6" customWidth="1" style="571" min="1" max="1"/>
    <col width="17.109375" customWidth="1" style="571" min="2" max="2"/>
    <col hidden="1" width="27.6640625" customWidth="1" style="571" min="3" max="3"/>
    <col width="18.5546875" customWidth="1" style="571" min="4" max="4"/>
    <col hidden="1" width="18.88671875" customWidth="1" style="571" min="5" max="5"/>
    <col width="18" customWidth="1" style="571" min="6" max="6"/>
    <col hidden="1" width="9.44140625" customWidth="1" style="571" min="7" max="7"/>
    <col hidden="1" width="10.33203125" customWidth="1" style="571" min="8" max="8"/>
    <col hidden="1" width="9.44140625" customWidth="1" style="571" min="9" max="9"/>
    <col hidden="1" width="10.33203125" customWidth="1" style="571" min="10" max="10"/>
    <col hidden="1" width="9.44140625" customWidth="1" style="571" min="11" max="11"/>
    <col hidden="1" width="10.33203125" customWidth="1" style="571" min="12" max="12"/>
    <col hidden="1" width="9.44140625" customWidth="1" style="571" min="13" max="13"/>
    <col hidden="1" width="10.33203125" customWidth="1" style="571" min="14" max="14"/>
    <col hidden="1" width="9.44140625" customWidth="1" style="571" min="15" max="15"/>
    <col hidden="1" width="10.33203125" customWidth="1" style="571" min="16" max="16"/>
    <col hidden="1" width="9.44140625" customWidth="1" style="571" min="17" max="17"/>
    <col hidden="1" width="10.33203125" customWidth="1" style="571" min="18" max="18"/>
    <col hidden="1" width="9.44140625" customWidth="1" style="571" min="19" max="19"/>
    <col hidden="1" width="10.33203125" customWidth="1" style="571" min="20" max="20"/>
    <col hidden="1" width="9.44140625" customWidth="1" style="571" min="21" max="21"/>
    <col hidden="1" width="10.33203125" customWidth="1" style="571" min="22" max="22"/>
    <col hidden="1" width="9.44140625" customWidth="1" style="571" min="23" max="23"/>
    <col hidden="1" width="10.33203125" customWidth="1" style="571" min="24" max="24"/>
    <col hidden="1" width="9.44140625" customWidth="1" style="571" min="25" max="25"/>
    <col hidden="1" width="10.33203125" customWidth="1" style="571" min="26" max="26"/>
    <col hidden="1" width="9.44140625" customWidth="1" style="571" min="27" max="27"/>
    <col hidden="1" width="10.33203125" customWidth="1" style="571" min="28" max="28"/>
    <col hidden="1" width="9.44140625" customWidth="1" style="571" min="29" max="29"/>
    <col hidden="1" width="10.5546875" customWidth="1" style="571" min="30" max="30"/>
    <col hidden="1" width="10.33203125" customWidth="1" style="571" min="31" max="31"/>
    <col hidden="1" width="12" customWidth="1" style="571" min="32" max="32"/>
    <col hidden="1" width="9.44140625" customWidth="1" style="571" min="33" max="33"/>
    <col hidden="1" width="10.33203125" customWidth="1" style="571" min="34" max="35"/>
    <col hidden="1" width="9.44140625" customWidth="1" style="571" min="36" max="36"/>
    <col hidden="1" width="10.33203125" customWidth="1" style="571" min="37" max="37"/>
    <col hidden="1" width="10" customWidth="1" style="571" min="38" max="38"/>
    <col hidden="1" width="9.44140625" customWidth="1" style="571" min="39" max="39"/>
    <col hidden="1" width="10.5546875" customWidth="1" style="571" min="40" max="40"/>
    <col hidden="1" width="10.33203125" customWidth="1" style="571" min="41" max="41"/>
    <col hidden="1" width="9.44140625" customWidth="1" style="571" min="42" max="42"/>
    <col hidden="1" width="10.33203125" customWidth="1" style="571" min="43" max="44"/>
    <col hidden="1" width="9.44140625" customWidth="1" style="571" min="45" max="45"/>
    <col hidden="1" width="10.33203125" customWidth="1" style="571" min="46" max="47"/>
    <col hidden="1" width="9.44140625" customWidth="1" style="571" min="48" max="48"/>
    <col hidden="1" width="10.33203125" customWidth="1" style="571" min="49" max="50"/>
    <col hidden="1" width="9.44140625" customWidth="1" style="571" min="51" max="51"/>
    <col hidden="1" width="10.33203125" customWidth="1" style="571" min="52" max="53"/>
    <col hidden="1" width="9.44140625" customWidth="1" style="571" min="54" max="54"/>
    <col hidden="1" width="10.33203125" customWidth="1" style="571" min="55" max="55"/>
    <col hidden="1" width="10" customWidth="1" style="571" min="56" max="56"/>
    <col hidden="1" width="9.44140625" customWidth="1" style="571" min="57" max="57"/>
    <col hidden="1" width="10.33203125" customWidth="1" style="571" min="58" max="59"/>
    <col hidden="1" width="9.44140625" customWidth="1" style="571" min="60" max="60"/>
    <col hidden="1" width="10.33203125" customWidth="1" style="571" min="61" max="62"/>
    <col hidden="1" width="9.44140625" customWidth="1" style="571" min="63" max="63"/>
    <col hidden="1" width="10.33203125" customWidth="1" style="571" min="64" max="65"/>
    <col hidden="1" width="9.44140625" customWidth="1" style="571" min="66" max="66"/>
    <col hidden="1" width="10.33203125" customWidth="1" style="571" min="67" max="68"/>
    <col hidden="1" width="10.6640625" customWidth="1" style="571" min="69" max="69"/>
    <col hidden="1" width="11.5546875" customWidth="1" style="571" min="70" max="70"/>
    <col hidden="1" width="10.6640625" customWidth="1" style="571" min="71" max="71"/>
    <col width="10.6640625" customWidth="1" style="571" min="72" max="77"/>
    <col hidden="1" width="9.109375" customWidth="1" style="571" min="78" max="80"/>
    <col hidden="1" width="10.109375" customWidth="1" style="571" min="81" max="113"/>
    <col hidden="1" width="9.88671875" customWidth="1" style="571" min="114" max="114"/>
    <col hidden="1" width="10.5546875" customWidth="1" style="571" min="115" max="116"/>
    <col width="9.6640625" bestFit="1" customWidth="1" style="571" min="117" max="117"/>
    <col width="9.5546875" bestFit="1" customWidth="1" style="571" min="118" max="119"/>
    <col width="18.88671875" bestFit="1" customWidth="1" style="571" min="120" max="120"/>
    <col width="17.88671875" bestFit="1" customWidth="1" style="571" min="121" max="121"/>
    <col width="10.5546875" bestFit="1" customWidth="1" style="820" min="122" max="122"/>
    <col width="9.109375" customWidth="1" style="571" min="123" max="16384"/>
  </cols>
  <sheetData>
    <row r="1"/>
    <row r="2" ht="29.25" customHeight="1">
      <c r="A2" s="874" t="inlineStr">
        <is>
          <t xml:space="preserve">Master File Meikhtila  </t>
        </is>
      </c>
      <c r="B2" s="970" t="n"/>
      <c r="C2" s="970" t="n"/>
      <c r="D2" s="970" t="n"/>
      <c r="E2" s="970" t="n"/>
      <c r="F2" s="971" t="n"/>
      <c r="G2" s="871" t="n">
        <v>45292</v>
      </c>
      <c r="H2" s="971" t="n"/>
      <c r="I2" s="871" t="n">
        <v>45323</v>
      </c>
      <c r="J2" s="971" t="n"/>
      <c r="K2" s="871" t="n">
        <v>45352</v>
      </c>
      <c r="L2" s="971" t="n"/>
      <c r="M2" s="871" t="n">
        <v>45383</v>
      </c>
      <c r="N2" s="971" t="n"/>
      <c r="O2" s="871" t="n">
        <v>45413</v>
      </c>
      <c r="P2" s="971" t="n"/>
      <c r="Q2" s="871" t="n">
        <v>45444</v>
      </c>
      <c r="R2" s="971" t="n"/>
      <c r="S2" s="871" t="n">
        <v>45474</v>
      </c>
      <c r="T2" s="971" t="n"/>
      <c r="U2" s="871" t="n">
        <v>45505</v>
      </c>
      <c r="V2" s="971" t="n"/>
      <c r="W2" s="871" t="n">
        <v>45536</v>
      </c>
      <c r="X2" s="971" t="n"/>
      <c r="Y2" s="871" t="n">
        <v>45566</v>
      </c>
      <c r="Z2" s="971" t="n"/>
      <c r="AA2" s="871" t="n">
        <v>45597</v>
      </c>
      <c r="AB2" s="971" t="n"/>
      <c r="AC2" s="871" t="n">
        <v>45627</v>
      </c>
      <c r="AD2" s="971" t="n"/>
      <c r="AE2" s="868" t="inlineStr">
        <is>
          <t>2024-Total</t>
        </is>
      </c>
      <c r="AF2" s="971" t="n"/>
      <c r="AG2" s="872" t="n">
        <v>45658</v>
      </c>
      <c r="AH2" s="970" t="n"/>
      <c r="AI2" s="971" t="n"/>
      <c r="AJ2" s="872" t="n">
        <v>45689</v>
      </c>
      <c r="AK2" s="970" t="n"/>
      <c r="AL2" s="971" t="n"/>
      <c r="AM2" s="872" t="n">
        <v>45717</v>
      </c>
      <c r="AN2" s="970" t="n"/>
      <c r="AO2" s="971" t="n"/>
      <c r="AP2" s="872" t="n">
        <v>45748</v>
      </c>
      <c r="AQ2" s="970" t="n"/>
      <c r="AR2" s="971" t="n"/>
      <c r="AS2" s="872" t="n">
        <v>45778</v>
      </c>
      <c r="AT2" s="970" t="n"/>
      <c r="AU2" s="971" t="n"/>
      <c r="AV2" s="872" t="n">
        <v>45809</v>
      </c>
      <c r="AW2" s="970" t="n"/>
      <c r="AX2" s="971" t="n"/>
      <c r="AY2" s="872" t="n">
        <v>45839</v>
      </c>
      <c r="AZ2" s="970" t="n"/>
      <c r="BA2" s="971" t="n"/>
      <c r="BB2" s="872" t="n">
        <v>45870</v>
      </c>
      <c r="BC2" s="970" t="n"/>
      <c r="BD2" s="971" t="n"/>
      <c r="BE2" s="872" t="n">
        <v>45901</v>
      </c>
      <c r="BF2" s="970" t="n"/>
      <c r="BG2" s="971" t="n"/>
      <c r="BH2" s="872" t="n">
        <v>45931</v>
      </c>
      <c r="BI2" s="970" t="n"/>
      <c r="BJ2" s="971" t="n"/>
      <c r="BK2" s="872" t="n">
        <v>45962</v>
      </c>
      <c r="BL2" s="970" t="n"/>
      <c r="BM2" s="971" t="n"/>
      <c r="BN2" s="872" t="n">
        <v>45992</v>
      </c>
      <c r="BO2" s="970" t="n"/>
      <c r="BP2" s="971" t="n"/>
      <c r="BQ2" s="868" t="inlineStr">
        <is>
          <t>2025-Total</t>
        </is>
      </c>
      <c r="BR2" s="970" t="n"/>
      <c r="BS2" s="971" t="n"/>
      <c r="BT2" s="868" t="inlineStr">
        <is>
          <t>Jan-Feb 2025 AVG</t>
        </is>
      </c>
      <c r="BU2" s="970" t="n"/>
      <c r="BV2" s="971" t="n"/>
      <c r="BW2" s="868" t="inlineStr">
        <is>
          <t>Jan-Dec 2025 AVG</t>
        </is>
      </c>
      <c r="BX2" s="970" t="n"/>
      <c r="BY2" s="971" t="n"/>
      <c r="BZ2" s="871" t="n">
        <v>46023</v>
      </c>
      <c r="CA2" s="970" t="n"/>
      <c r="CB2" s="971" t="n"/>
      <c r="CC2" s="871" t="n">
        <v>46054</v>
      </c>
      <c r="CD2" s="970" t="n"/>
      <c r="CE2" s="971" t="n"/>
      <c r="CF2" s="871" t="n">
        <v>46082</v>
      </c>
      <c r="CG2" s="970" t="n"/>
      <c r="CH2" s="971" t="n"/>
      <c r="CI2" s="871" t="n">
        <v>46113</v>
      </c>
      <c r="CJ2" s="970" t="n"/>
      <c r="CK2" s="971" t="n"/>
      <c r="CL2" s="871" t="n">
        <v>46143</v>
      </c>
      <c r="CM2" s="970" t="n"/>
      <c r="CN2" s="971" t="n"/>
      <c r="CO2" s="871" t="n">
        <v>46174</v>
      </c>
      <c r="CP2" s="970" t="n"/>
      <c r="CQ2" s="971" t="n"/>
      <c r="CR2" s="871" t="n">
        <v>46204</v>
      </c>
      <c r="CS2" s="970" t="n"/>
      <c r="CT2" s="971" t="n"/>
      <c r="CU2" s="871" t="n">
        <v>46235</v>
      </c>
      <c r="CV2" s="970" t="n"/>
      <c r="CW2" s="971" t="n"/>
      <c r="CX2" s="871" t="n">
        <v>46266</v>
      </c>
      <c r="CY2" s="970" t="n"/>
      <c r="CZ2" s="971" t="n"/>
      <c r="DA2" s="871" t="n">
        <v>46296</v>
      </c>
      <c r="DB2" s="970" t="n"/>
      <c r="DC2" s="971" t="n"/>
      <c r="DD2" s="871" t="n">
        <v>46327</v>
      </c>
      <c r="DE2" s="970" t="n"/>
      <c r="DF2" s="971" t="n"/>
      <c r="DG2" s="871" t="n">
        <v>46357</v>
      </c>
      <c r="DH2" s="970" t="n"/>
      <c r="DI2" s="971" t="n"/>
      <c r="DJ2" s="871" t="inlineStr">
        <is>
          <t>Total-2026</t>
        </is>
      </c>
      <c r="DK2" s="970" t="n"/>
      <c r="DL2" s="971" t="n"/>
      <c r="DM2" s="868" t="inlineStr">
        <is>
          <t>Jan-Feb 2026 AVG</t>
        </is>
      </c>
      <c r="DN2" s="970" t="n"/>
      <c r="DO2" s="971" t="n"/>
      <c r="DP2" s="570" t="inlineStr">
        <is>
          <t>Growth</t>
        </is>
      </c>
      <c r="DQ2" s="570" t="inlineStr">
        <is>
          <t>Growth</t>
        </is>
      </c>
      <c r="DR2" s="819" t="inlineStr">
        <is>
          <t>Remark</t>
        </is>
      </c>
    </row>
    <row r="3">
      <c r="A3" s="869" t="inlineStr">
        <is>
          <t>Sr.No</t>
        </is>
      </c>
      <c r="B3" s="869" t="inlineStr">
        <is>
          <t>Customer Name</t>
        </is>
      </c>
      <c r="C3" s="971" t="n"/>
      <c r="D3" s="869" t="inlineStr">
        <is>
          <t>Area</t>
        </is>
      </c>
      <c r="E3" s="971" t="n"/>
      <c r="F3" s="869" t="inlineStr">
        <is>
          <t>Outlet Type</t>
        </is>
      </c>
      <c r="G3" s="573" t="inlineStr">
        <is>
          <t>PKT</t>
        </is>
      </c>
      <c r="H3" s="573" t="inlineStr">
        <is>
          <t>BOT</t>
        </is>
      </c>
      <c r="I3" s="573" t="inlineStr">
        <is>
          <t>PKT</t>
        </is>
      </c>
      <c r="J3" s="573" t="inlineStr">
        <is>
          <t>BOT</t>
        </is>
      </c>
      <c r="K3" s="573" t="inlineStr">
        <is>
          <t>PKT</t>
        </is>
      </c>
      <c r="L3" s="573" t="inlineStr">
        <is>
          <t>BOT</t>
        </is>
      </c>
      <c r="M3" s="573" t="inlineStr">
        <is>
          <t>PKT</t>
        </is>
      </c>
      <c r="N3" s="573" t="inlineStr">
        <is>
          <t>BOT</t>
        </is>
      </c>
      <c r="O3" s="573" t="inlineStr">
        <is>
          <t>PKT</t>
        </is>
      </c>
      <c r="P3" s="573" t="inlineStr">
        <is>
          <t>BOT</t>
        </is>
      </c>
      <c r="Q3" s="573" t="inlineStr">
        <is>
          <t>PKT</t>
        </is>
      </c>
      <c r="R3" s="573" t="inlineStr">
        <is>
          <t>BOT</t>
        </is>
      </c>
      <c r="S3" s="573" t="inlineStr">
        <is>
          <t>PKT</t>
        </is>
      </c>
      <c r="T3" s="573" t="inlineStr">
        <is>
          <t>BOT</t>
        </is>
      </c>
      <c r="U3" s="573" t="inlineStr">
        <is>
          <t>PKT</t>
        </is>
      </c>
      <c r="V3" s="573" t="inlineStr">
        <is>
          <t>BOT</t>
        </is>
      </c>
      <c r="W3" s="573" t="inlineStr">
        <is>
          <t>PKT</t>
        </is>
      </c>
      <c r="X3" s="573" t="inlineStr">
        <is>
          <t>BOT</t>
        </is>
      </c>
      <c r="Y3" s="573" t="inlineStr">
        <is>
          <t>PKT</t>
        </is>
      </c>
      <c r="Z3" s="573" t="inlineStr">
        <is>
          <t>BOT</t>
        </is>
      </c>
      <c r="AA3" s="573" t="inlineStr">
        <is>
          <t>PKT</t>
        </is>
      </c>
      <c r="AB3" s="573" t="inlineStr">
        <is>
          <t>BOT</t>
        </is>
      </c>
      <c r="AC3" s="573" t="inlineStr">
        <is>
          <t>PKT</t>
        </is>
      </c>
      <c r="AD3" s="573" t="inlineStr">
        <is>
          <t>BOT</t>
        </is>
      </c>
      <c r="AE3" s="573" t="inlineStr">
        <is>
          <t>PKT</t>
        </is>
      </c>
      <c r="AF3" s="573" t="inlineStr">
        <is>
          <t>BOT</t>
        </is>
      </c>
      <c r="AG3" s="573" t="inlineStr">
        <is>
          <t>PKT</t>
        </is>
      </c>
      <c r="AH3" s="573" t="inlineStr">
        <is>
          <t>BOT</t>
        </is>
      </c>
      <c r="AI3" s="573" t="inlineStr">
        <is>
          <t>Lit</t>
        </is>
      </c>
      <c r="AJ3" s="573" t="inlineStr">
        <is>
          <t>PKT</t>
        </is>
      </c>
      <c r="AK3" s="573" t="inlineStr">
        <is>
          <t>BOT</t>
        </is>
      </c>
      <c r="AL3" s="573" t="inlineStr">
        <is>
          <t>Lit</t>
        </is>
      </c>
      <c r="AM3" s="573" t="inlineStr">
        <is>
          <t>PKT</t>
        </is>
      </c>
      <c r="AN3" s="573" t="inlineStr">
        <is>
          <t>BOT</t>
        </is>
      </c>
      <c r="AO3" s="573" t="inlineStr">
        <is>
          <t>Lit</t>
        </is>
      </c>
      <c r="AP3" s="573" t="inlineStr">
        <is>
          <t>PKT</t>
        </is>
      </c>
      <c r="AQ3" s="573" t="inlineStr">
        <is>
          <t>BOT</t>
        </is>
      </c>
      <c r="AR3" s="573" t="inlineStr">
        <is>
          <t>Lit</t>
        </is>
      </c>
      <c r="AS3" s="573" t="inlineStr">
        <is>
          <t>PKT</t>
        </is>
      </c>
      <c r="AT3" s="573" t="inlineStr">
        <is>
          <t>BOT</t>
        </is>
      </c>
      <c r="AU3" s="573" t="inlineStr">
        <is>
          <t>Lit</t>
        </is>
      </c>
      <c r="AV3" s="573" t="inlineStr">
        <is>
          <t>PKT</t>
        </is>
      </c>
      <c r="AW3" s="573" t="inlineStr">
        <is>
          <t>BOT</t>
        </is>
      </c>
      <c r="AX3" s="573" t="inlineStr">
        <is>
          <t>Lit</t>
        </is>
      </c>
      <c r="AY3" s="573" t="inlineStr">
        <is>
          <t>PKT</t>
        </is>
      </c>
      <c r="AZ3" s="573" t="inlineStr">
        <is>
          <t>BOT</t>
        </is>
      </c>
      <c r="BA3" s="573" t="inlineStr">
        <is>
          <t>Lit</t>
        </is>
      </c>
      <c r="BB3" s="573" t="inlineStr">
        <is>
          <t>PKT</t>
        </is>
      </c>
      <c r="BC3" s="573" t="inlineStr">
        <is>
          <t>BOT</t>
        </is>
      </c>
      <c r="BD3" s="573" t="inlineStr">
        <is>
          <t>Lit</t>
        </is>
      </c>
      <c r="BE3" s="573" t="inlineStr">
        <is>
          <t>PKT</t>
        </is>
      </c>
      <c r="BF3" s="573" t="inlineStr">
        <is>
          <t>BOT</t>
        </is>
      </c>
      <c r="BG3" s="573" t="inlineStr">
        <is>
          <t>Lit</t>
        </is>
      </c>
      <c r="BH3" s="573" t="inlineStr">
        <is>
          <t>PKT</t>
        </is>
      </c>
      <c r="BI3" s="573" t="inlineStr">
        <is>
          <t>BOT</t>
        </is>
      </c>
      <c r="BJ3" s="573" t="inlineStr">
        <is>
          <t>Lit</t>
        </is>
      </c>
      <c r="BK3" s="573" t="inlineStr">
        <is>
          <t>PKT</t>
        </is>
      </c>
      <c r="BL3" s="573" t="inlineStr">
        <is>
          <t>BOT</t>
        </is>
      </c>
      <c r="BM3" s="573" t="inlineStr">
        <is>
          <t>Lit</t>
        </is>
      </c>
      <c r="BN3" s="573" t="inlineStr">
        <is>
          <t>PKT</t>
        </is>
      </c>
      <c r="BO3" s="573" t="inlineStr">
        <is>
          <t>BOT</t>
        </is>
      </c>
      <c r="BP3" s="573" t="inlineStr">
        <is>
          <t>Lit</t>
        </is>
      </c>
      <c r="BQ3" s="573" t="inlineStr">
        <is>
          <t>PKT</t>
        </is>
      </c>
      <c r="BR3" s="573" t="inlineStr">
        <is>
          <t>BOT</t>
        </is>
      </c>
      <c r="BS3" s="573" t="inlineStr">
        <is>
          <t>Lit</t>
        </is>
      </c>
      <c r="BT3" s="573" t="inlineStr">
        <is>
          <t>PKT</t>
        </is>
      </c>
      <c r="BU3" s="573" t="inlineStr">
        <is>
          <t>BOT</t>
        </is>
      </c>
      <c r="BV3" s="573" t="inlineStr">
        <is>
          <t>Lit</t>
        </is>
      </c>
      <c r="BW3" s="573" t="inlineStr">
        <is>
          <t>PKT</t>
        </is>
      </c>
      <c r="BX3" s="573" t="inlineStr">
        <is>
          <t>BOT</t>
        </is>
      </c>
      <c r="BY3" s="573" t="inlineStr">
        <is>
          <t>Lit</t>
        </is>
      </c>
      <c r="BZ3" s="573" t="inlineStr">
        <is>
          <t>PKT</t>
        </is>
      </c>
      <c r="CA3" s="573" t="inlineStr">
        <is>
          <t>BOT</t>
        </is>
      </c>
      <c r="CB3" s="573" t="inlineStr">
        <is>
          <t>Lit</t>
        </is>
      </c>
      <c r="CC3" s="573" t="inlineStr">
        <is>
          <t>PKT</t>
        </is>
      </c>
      <c r="CD3" s="573" t="inlineStr">
        <is>
          <t>BOT</t>
        </is>
      </c>
      <c r="CE3" s="573" t="inlineStr">
        <is>
          <t>Lit</t>
        </is>
      </c>
      <c r="CF3" s="573" t="inlineStr">
        <is>
          <t>PKT</t>
        </is>
      </c>
      <c r="CG3" s="573" t="inlineStr">
        <is>
          <t>BOT</t>
        </is>
      </c>
      <c r="CH3" s="573" t="inlineStr">
        <is>
          <t>Lit</t>
        </is>
      </c>
      <c r="CI3" s="573" t="inlineStr">
        <is>
          <t>PKT</t>
        </is>
      </c>
      <c r="CJ3" s="573" t="inlineStr">
        <is>
          <t>BOT</t>
        </is>
      </c>
      <c r="CK3" s="573" t="inlineStr">
        <is>
          <t>Lit</t>
        </is>
      </c>
      <c r="CL3" s="573" t="inlineStr">
        <is>
          <t>PKT</t>
        </is>
      </c>
      <c r="CM3" s="573" t="inlineStr">
        <is>
          <t>BOT</t>
        </is>
      </c>
      <c r="CN3" s="573" t="inlineStr">
        <is>
          <t>Lit</t>
        </is>
      </c>
      <c r="CO3" s="573" t="inlineStr">
        <is>
          <t>PKT</t>
        </is>
      </c>
      <c r="CP3" s="573" t="inlineStr">
        <is>
          <t>BOT</t>
        </is>
      </c>
      <c r="CQ3" s="573" t="inlineStr">
        <is>
          <t>Lit</t>
        </is>
      </c>
      <c r="CR3" s="573" t="inlineStr">
        <is>
          <t>PKT</t>
        </is>
      </c>
      <c r="CS3" s="573" t="inlineStr">
        <is>
          <t>BOT</t>
        </is>
      </c>
      <c r="CT3" s="573" t="inlineStr">
        <is>
          <t>Lit</t>
        </is>
      </c>
      <c r="CU3" s="573" t="inlineStr">
        <is>
          <t>PKT</t>
        </is>
      </c>
      <c r="CV3" s="573" t="inlineStr">
        <is>
          <t>BOT</t>
        </is>
      </c>
      <c r="CW3" s="573" t="inlineStr">
        <is>
          <t>Lit</t>
        </is>
      </c>
      <c r="CX3" s="573" t="inlineStr">
        <is>
          <t>PKT</t>
        </is>
      </c>
      <c r="CY3" s="573" t="inlineStr">
        <is>
          <t>BOT</t>
        </is>
      </c>
      <c r="CZ3" s="573" t="inlineStr">
        <is>
          <t>Lit</t>
        </is>
      </c>
      <c r="DA3" s="573" t="inlineStr">
        <is>
          <t>PKT</t>
        </is>
      </c>
      <c r="DB3" s="573" t="inlineStr">
        <is>
          <t>BOT</t>
        </is>
      </c>
      <c r="DC3" s="573" t="inlineStr">
        <is>
          <t>Lit</t>
        </is>
      </c>
      <c r="DD3" s="573" t="inlineStr">
        <is>
          <t>PKT</t>
        </is>
      </c>
      <c r="DE3" s="573" t="inlineStr">
        <is>
          <t>BOT</t>
        </is>
      </c>
      <c r="DF3" s="573" t="inlineStr">
        <is>
          <t>Lit</t>
        </is>
      </c>
      <c r="DG3" s="573" t="inlineStr">
        <is>
          <t>PKT</t>
        </is>
      </c>
      <c r="DH3" s="573" t="inlineStr">
        <is>
          <t>BOT</t>
        </is>
      </c>
      <c r="DI3" s="573" t="inlineStr">
        <is>
          <t>Lit</t>
        </is>
      </c>
      <c r="DJ3" s="574" t="inlineStr">
        <is>
          <t>PKT</t>
        </is>
      </c>
      <c r="DK3" s="574" t="inlineStr">
        <is>
          <t>BOT</t>
        </is>
      </c>
      <c r="DL3" s="574" t="inlineStr">
        <is>
          <t>Lit</t>
        </is>
      </c>
      <c r="DM3" s="574" t="inlineStr">
        <is>
          <t>PKT</t>
        </is>
      </c>
      <c r="DN3" s="574" t="inlineStr">
        <is>
          <t>BOT</t>
        </is>
      </c>
      <c r="DO3" s="574" t="inlineStr">
        <is>
          <t>Lit</t>
        </is>
      </c>
      <c r="DP3" s="570" t="inlineStr">
        <is>
          <t>Jan 2025 Vs 2026</t>
        </is>
      </c>
      <c r="DQ3" s="570" t="inlineStr">
        <is>
          <t>Jan-Dec 2025 Vs 2026</t>
        </is>
      </c>
    </row>
    <row r="4">
      <c r="A4" s="869" t="n">
        <v>1</v>
      </c>
      <c r="B4" s="869" t="inlineStr">
        <is>
          <t>ရွှေမြင်း</t>
        </is>
      </c>
      <c r="C4" s="869" t="inlineStr">
        <is>
          <t>Golden Horse</t>
        </is>
      </c>
      <c r="D4" s="869" t="inlineStr">
        <is>
          <t>မိတ္ထီလာ</t>
        </is>
      </c>
      <c r="E4" s="869" t="inlineStr">
        <is>
          <t>Meikhtila</t>
        </is>
      </c>
      <c r="F4" s="869" t="inlineStr">
        <is>
          <t>Wholesale</t>
        </is>
      </c>
      <c r="G4" s="1113" t="n">
        <v>12031</v>
      </c>
      <c r="H4" s="1113" t="n">
        <v>198014</v>
      </c>
      <c r="I4" s="1113" t="n">
        <v>11110</v>
      </c>
      <c r="J4" s="1113" t="n">
        <v>182120</v>
      </c>
      <c r="K4" s="1113" t="n">
        <v>12250</v>
      </c>
      <c r="L4" s="1113" t="n">
        <v>199906</v>
      </c>
      <c r="M4" s="1113" t="n">
        <v>10615</v>
      </c>
      <c r="N4" s="1113" t="n">
        <v>175860</v>
      </c>
      <c r="O4" s="1113" t="n">
        <v>10324</v>
      </c>
      <c r="P4" s="1113" t="n">
        <v>169560</v>
      </c>
      <c r="Q4" s="1113" t="n">
        <v>11201</v>
      </c>
      <c r="R4" s="1113" t="n">
        <v>185414</v>
      </c>
      <c r="S4" s="1113" t="n">
        <v>12184</v>
      </c>
      <c r="T4" s="1113" t="n">
        <v>198826</v>
      </c>
      <c r="U4" s="1113" t="n">
        <v>9687</v>
      </c>
      <c r="V4" s="1113" t="n">
        <v>163388</v>
      </c>
      <c r="W4" s="1113" t="n">
        <v>13358</v>
      </c>
      <c r="X4" s="1113" t="n">
        <v>216802</v>
      </c>
      <c r="Y4" s="1113" t="n">
        <v>11203</v>
      </c>
      <c r="Z4" s="1113" t="n">
        <v>183792</v>
      </c>
      <c r="AA4" s="1113" t="n">
        <v>10964</v>
      </c>
      <c r="AB4" s="1113" t="n">
        <v>179636</v>
      </c>
      <c r="AC4" s="1113" t="n">
        <v>13115</v>
      </c>
      <c r="AD4" s="1113" t="n">
        <v>214850</v>
      </c>
      <c r="AE4" s="1114">
        <f>G4+I4+K4+M4+O4+Q4+S4+U4+W4+Y4+AA4+AC4</f>
        <v/>
      </c>
      <c r="AF4" s="1114">
        <f>H4+J4+L4+N4+P4+R4+T4+V4+X4+Z4+AB4+AD4</f>
        <v/>
      </c>
      <c r="AG4" s="1115" t="n">
        <v>12414</v>
      </c>
      <c r="AH4" s="1115" t="n">
        <v>202626</v>
      </c>
      <c r="AI4" s="1115" t="n">
        <v>133364.64</v>
      </c>
      <c r="AJ4" s="1115" t="n">
        <v>8906</v>
      </c>
      <c r="AK4" s="1115" t="n">
        <v>152794</v>
      </c>
      <c r="AL4" s="1115" t="n">
        <v>99067.35999999999</v>
      </c>
      <c r="AM4" s="1115" t="n">
        <v>12246</v>
      </c>
      <c r="AN4" s="1115" t="n">
        <v>205094</v>
      </c>
      <c r="AO4" s="1115" t="n">
        <v>134008.16</v>
      </c>
      <c r="AP4" s="1115" t="n">
        <v>10332</v>
      </c>
      <c r="AQ4" s="1115" t="n">
        <v>171198</v>
      </c>
      <c r="AR4" s="1115" t="n">
        <v>113284.8</v>
      </c>
      <c r="AS4" s="1115" t="n">
        <v>11079</v>
      </c>
      <c r="AT4" s="1115" t="n">
        <v>181346</v>
      </c>
      <c r="AU4" s="1115" t="n">
        <v>119599.04</v>
      </c>
      <c r="AV4" s="1115" t="n">
        <v>10685</v>
      </c>
      <c r="AW4" s="1115" t="n">
        <v>178630</v>
      </c>
      <c r="AX4" s="1115" t="n">
        <v>117920.8</v>
      </c>
      <c r="AY4" s="1115" t="n">
        <v>12128</v>
      </c>
      <c r="AZ4" s="1115" t="n">
        <v>201622</v>
      </c>
      <c r="BA4" s="1115" t="n">
        <v>133010.08</v>
      </c>
      <c r="BB4" s="1115" t="n">
        <v>8978</v>
      </c>
      <c r="BC4" s="1115" t="n">
        <v>149522</v>
      </c>
      <c r="BD4" s="1115" t="n">
        <v>99457.28</v>
      </c>
      <c r="BE4" s="1115" t="n">
        <v>9559</v>
      </c>
      <c r="BF4" s="1115" t="n">
        <v>158076</v>
      </c>
      <c r="BG4" s="1115" t="n">
        <v>105366.24</v>
      </c>
      <c r="BH4" s="1115" t="n">
        <v>9461</v>
      </c>
      <c r="BI4" s="1115" t="n">
        <v>161164</v>
      </c>
      <c r="BJ4" s="1115" t="n">
        <v>106548.16</v>
      </c>
      <c r="BK4" s="1115" t="n">
        <v>9441</v>
      </c>
      <c r="BL4" s="1115" t="n">
        <v>156534</v>
      </c>
      <c r="BM4" s="1115" t="n">
        <v>104300.16</v>
      </c>
      <c r="BN4" s="1115" t="n">
        <v>9331</v>
      </c>
      <c r="BO4" s="1115" t="n">
        <v>157064</v>
      </c>
      <c r="BP4" s="1115" t="n">
        <v>103484.96</v>
      </c>
      <c r="BQ4" s="1114">
        <f>AG4+AJ4+AM4+AP4+AS4+AV4+AY4+BB4+BE4+BH4+BK4+BN4</f>
        <v/>
      </c>
      <c r="BR4" s="1114">
        <f>AH4+AK4+AN4+AQ4+AT4+AW4+AZ4+BC4+BF4+BI4+BL4+BO4</f>
        <v/>
      </c>
      <c r="BS4" s="1114">
        <f>AI4+AL4+AO4+AR4+AU4+AX4+BA4+BD4+BG4+BJ4+BM4+BP4</f>
        <v/>
      </c>
      <c r="BT4" s="1114">
        <f>(AG4+AJ4)/2</f>
        <v/>
      </c>
      <c r="BU4" s="1114">
        <f>(AH4+AK4)/2</f>
        <v/>
      </c>
      <c r="BV4" s="1114">
        <f>(AI4+AL4)/2</f>
        <v/>
      </c>
      <c r="BW4" s="1114">
        <f>BQ4/12</f>
        <v/>
      </c>
      <c r="BX4" s="1114">
        <f>BR4/12</f>
        <v/>
      </c>
      <c r="BY4" s="1114">
        <f>BS4/12</f>
        <v/>
      </c>
      <c r="BZ4" s="1115" t="n">
        <v>8693</v>
      </c>
      <c r="CA4" s="869" t="n">
        <v>143492</v>
      </c>
      <c r="CB4" s="869" t="n">
        <v>96349.28</v>
      </c>
      <c r="CC4" s="1058" t="n">
        <v>7634</v>
      </c>
      <c r="CD4" s="1058" t="n">
        <v>129856</v>
      </c>
      <c r="CE4" s="1058" t="n">
        <v>85707.04000000001</v>
      </c>
      <c r="CF4" s="869" t="n"/>
      <c r="CG4" s="869" t="n"/>
      <c r="CH4" s="869" t="n"/>
      <c r="CI4" s="869" t="n"/>
      <c r="CJ4" s="869" t="n"/>
      <c r="CK4" s="869" t="n"/>
      <c r="CL4" s="869" t="n"/>
      <c r="CM4" s="869" t="n"/>
      <c r="CN4" s="869" t="n"/>
      <c r="CO4" s="869" t="n"/>
      <c r="CP4" s="869" t="n"/>
      <c r="CQ4" s="869" t="n"/>
      <c r="CR4" s="869" t="n"/>
      <c r="CS4" s="869" t="n"/>
      <c r="CT4" s="869" t="n"/>
      <c r="CU4" s="869" t="n"/>
      <c r="CV4" s="869" t="n"/>
      <c r="CW4" s="869" t="n"/>
      <c r="CX4" s="869" t="n"/>
      <c r="CY4" s="869" t="n"/>
      <c r="CZ4" s="869" t="n"/>
      <c r="DA4" s="869" t="n"/>
      <c r="DB4" s="869" t="n"/>
      <c r="DC4" s="869" t="n"/>
      <c r="DD4" s="869" t="n"/>
      <c r="DE4" s="869" t="n"/>
      <c r="DF4" s="869" t="n"/>
      <c r="DG4" s="869" t="n"/>
      <c r="DH4" s="869" t="n"/>
      <c r="DI4" s="869" t="n"/>
      <c r="DJ4" s="1116">
        <f>BZ4+CC4+CF4+CI4+CL4+CO4+CR4+CU4+CX4+DA4+DD4+DG4</f>
        <v/>
      </c>
      <c r="DK4" s="1116">
        <f>CA4+CD4+CG4+CJ4+CM4+CP4+CS4+CV4+CY4+DB4+DE4+DH4</f>
        <v/>
      </c>
      <c r="DL4" s="1116">
        <f>CB4+CE4+CH4+CK4+CN4+CQ4+CT4+CW4+CZ4+DC4+DF4+DI4</f>
        <v/>
      </c>
      <c r="DM4" s="1117">
        <f>DJ4/2</f>
        <v/>
      </c>
      <c r="DN4" s="1117">
        <f>DK4/2</f>
        <v/>
      </c>
      <c r="DO4" s="1118">
        <f>DL4/2</f>
        <v/>
      </c>
      <c r="DP4" s="1119">
        <f>DO4/BV4*100-100</f>
        <v/>
      </c>
      <c r="DQ4" s="1120">
        <f>DO4/BY4*100-100</f>
        <v/>
      </c>
      <c r="DR4" s="820" t="inlineStr">
        <is>
          <t>Must Grow</t>
        </is>
      </c>
    </row>
    <row r="5">
      <c r="A5" s="869" t="n">
        <v>2</v>
      </c>
      <c r="B5" s="869" t="inlineStr">
        <is>
          <t>ရွှေခြင်္သေ့</t>
        </is>
      </c>
      <c r="C5" s="869" t="inlineStr">
        <is>
          <t>Golden Lion</t>
        </is>
      </c>
      <c r="D5" s="869" t="inlineStr">
        <is>
          <t>မိတ္ထီလာ</t>
        </is>
      </c>
      <c r="E5" s="869" t="inlineStr">
        <is>
          <t>Meikhtila</t>
        </is>
      </c>
      <c r="F5" s="584" t="inlineStr">
        <is>
          <t>Contract</t>
        </is>
      </c>
      <c r="G5" s="1113" t="n">
        <v>2950</v>
      </c>
      <c r="H5" s="1113" t="n">
        <v>49660</v>
      </c>
      <c r="I5" s="1113" t="n">
        <v>2150</v>
      </c>
      <c r="J5" s="1113" t="n">
        <v>36830</v>
      </c>
      <c r="K5" s="1113" t="n">
        <v>1885</v>
      </c>
      <c r="L5" s="1113" t="n">
        <v>31170</v>
      </c>
      <c r="M5" s="1113" t="n">
        <v>1878</v>
      </c>
      <c r="N5" s="1113" t="n">
        <v>31422</v>
      </c>
      <c r="O5" s="1113" t="n">
        <v>2150</v>
      </c>
      <c r="P5" s="1113" t="n">
        <v>36130</v>
      </c>
      <c r="Q5" s="1113" t="n">
        <v>2250</v>
      </c>
      <c r="R5" s="1113" t="n">
        <v>37630</v>
      </c>
      <c r="S5" s="1113" t="n">
        <v>2175</v>
      </c>
      <c r="T5" s="1113" t="n">
        <v>36160</v>
      </c>
      <c r="U5" s="1113" t="n">
        <v>2480</v>
      </c>
      <c r="V5" s="1113" t="n">
        <v>41320</v>
      </c>
      <c r="W5" s="1113" t="n">
        <v>2885</v>
      </c>
      <c r="X5" s="1113" t="n">
        <v>48950</v>
      </c>
      <c r="Y5" s="1113" t="n">
        <v>2900</v>
      </c>
      <c r="Z5" s="1113" t="n">
        <v>49280</v>
      </c>
      <c r="AA5" s="1113" t="n">
        <v>3068</v>
      </c>
      <c r="AB5" s="1113" t="n">
        <v>52092</v>
      </c>
      <c r="AC5" s="1113" t="n">
        <v>3248</v>
      </c>
      <c r="AD5" s="1113" t="n">
        <v>55362</v>
      </c>
      <c r="AE5" s="1114">
        <f>G5+I5+K5+M5+O5+Q5+S5+U5+W5+Y5+AA5+AC5</f>
        <v/>
      </c>
      <c r="AF5" s="1114">
        <f>H5+J5+L5+N5+P5+R5+T5+V5+X5+Z5+AB5+AD5</f>
        <v/>
      </c>
      <c r="AG5" s="1115" t="n">
        <v>3225</v>
      </c>
      <c r="AH5" s="1115" t="n">
        <v>54850</v>
      </c>
      <c r="AI5" s="1115" t="n">
        <v>35948.8</v>
      </c>
      <c r="AJ5" s="1115" t="n">
        <v>2372</v>
      </c>
      <c r="AK5" s="1115" t="n">
        <v>39478</v>
      </c>
      <c r="AL5" s="1115" t="n">
        <v>25892.8</v>
      </c>
      <c r="AM5" s="1115" t="n">
        <v>2215</v>
      </c>
      <c r="AN5" s="1115" t="n">
        <v>37270</v>
      </c>
      <c r="AO5" s="1115" t="n">
        <v>24332.8</v>
      </c>
      <c r="AP5" s="1115" t="n">
        <v>2550</v>
      </c>
      <c r="AQ5" s="1115" t="n">
        <v>42490</v>
      </c>
      <c r="AR5" s="1115" t="n">
        <v>27844</v>
      </c>
      <c r="AS5" s="1115" t="n">
        <v>2679</v>
      </c>
      <c r="AT5" s="1115" t="n">
        <v>44398</v>
      </c>
      <c r="AU5" s="1115" t="n">
        <v>29276.8</v>
      </c>
      <c r="AV5" s="1115" t="n">
        <v>3040</v>
      </c>
      <c r="AW5" s="1115" t="n">
        <v>48810</v>
      </c>
      <c r="AX5" s="1115" t="n">
        <v>32527.2</v>
      </c>
      <c r="AY5" s="1115" t="n">
        <v>3060</v>
      </c>
      <c r="AZ5" s="1115" t="n">
        <v>49500</v>
      </c>
      <c r="BA5" s="1115" t="n">
        <v>32798.4</v>
      </c>
      <c r="BB5" s="1115" t="n">
        <v>3280</v>
      </c>
      <c r="BC5" s="1115" t="n">
        <v>52670</v>
      </c>
      <c r="BD5" s="1115" t="n">
        <v>35290.40000000001</v>
      </c>
      <c r="BE5" s="1115" t="n">
        <v>3185</v>
      </c>
      <c r="BF5" s="1115" t="n">
        <v>51190</v>
      </c>
      <c r="BG5" s="1115" t="n">
        <v>34604.8</v>
      </c>
      <c r="BH5" s="1115" t="n">
        <v>3398</v>
      </c>
      <c r="BI5" s="1115" t="n">
        <v>56462</v>
      </c>
      <c r="BJ5" s="1115" t="n">
        <v>37911.68</v>
      </c>
      <c r="BK5" s="1115" t="n">
        <v>2955</v>
      </c>
      <c r="BL5" s="1115" t="n">
        <v>49160</v>
      </c>
      <c r="BM5" s="1115" t="n">
        <v>31961.59999999999</v>
      </c>
      <c r="BN5" s="1115" t="n">
        <v>2963</v>
      </c>
      <c r="BO5" s="1115" t="n">
        <v>49122</v>
      </c>
      <c r="BP5" s="1115" t="n">
        <v>32577.59999999999</v>
      </c>
      <c r="BQ5" s="1114">
        <f>AG5+AJ5+AM5+AP5+AS5+AV5+AY5+BB5+BE5+BH5+BK5+BN5</f>
        <v/>
      </c>
      <c r="BR5" s="1114">
        <f>AH5+AK5+AN5+AQ5+AT5+AW5+AZ5+BC5+BF5+BI5+BL5+BO5</f>
        <v/>
      </c>
      <c r="BS5" s="1114">
        <f>AI5+AL5+AO5+AR5+AU5+AX5+BA5+BD5+BG5+BJ5+BM5+BP5</f>
        <v/>
      </c>
      <c r="BT5" s="1114">
        <f>(AG5+AJ5)/2</f>
        <v/>
      </c>
      <c r="BU5" s="1114">
        <f>(AH5+AK5)/2</f>
        <v/>
      </c>
      <c r="BV5" s="1114">
        <f>(AI5+AL5)/2</f>
        <v/>
      </c>
      <c r="BW5" s="1114">
        <f>BQ5/12</f>
        <v/>
      </c>
      <c r="BX5" s="1114">
        <f>BR5/12</f>
        <v/>
      </c>
      <c r="BY5" s="1114">
        <f>BS5/12</f>
        <v/>
      </c>
      <c r="BZ5" s="1115" t="n">
        <v>2800</v>
      </c>
      <c r="CA5" s="869" t="n">
        <v>45020</v>
      </c>
      <c r="CB5" s="869" t="n">
        <v>30365.6</v>
      </c>
      <c r="CC5" s="1058" t="n">
        <v>2390</v>
      </c>
      <c r="CD5" s="1058" t="n">
        <v>38530</v>
      </c>
      <c r="CE5" s="1058" t="n">
        <v>25568.8</v>
      </c>
      <c r="CF5" s="869" t="n"/>
      <c r="CG5" s="869" t="n"/>
      <c r="CH5" s="869" t="n"/>
      <c r="CI5" s="869" t="n"/>
      <c r="CJ5" s="869" t="n"/>
      <c r="CK5" s="869" t="n"/>
      <c r="CL5" s="869" t="n"/>
      <c r="CM5" s="869" t="n"/>
      <c r="CN5" s="869" t="n"/>
      <c r="CO5" s="869" t="n"/>
      <c r="CP5" s="869" t="n"/>
      <c r="CQ5" s="869" t="n"/>
      <c r="CR5" s="869" t="n"/>
      <c r="CS5" s="869" t="n"/>
      <c r="CT5" s="869" t="n"/>
      <c r="CU5" s="869" t="n"/>
      <c r="CV5" s="869" t="n"/>
      <c r="CW5" s="869" t="n"/>
      <c r="CX5" s="869" t="n"/>
      <c r="CY5" s="869" t="n"/>
      <c r="CZ5" s="869" t="n"/>
      <c r="DA5" s="869" t="n"/>
      <c r="DB5" s="869" t="n"/>
      <c r="DC5" s="869" t="n"/>
      <c r="DD5" s="869" t="n"/>
      <c r="DE5" s="869" t="n"/>
      <c r="DF5" s="869" t="n"/>
      <c r="DG5" s="869" t="n"/>
      <c r="DH5" s="869" t="n"/>
      <c r="DI5" s="869" t="n"/>
      <c r="DJ5" s="1116">
        <f>BZ5+CC5+CF5+CI5+CL5+CO5+CR5+CU5+CX5+DA5+DD5+DG5</f>
        <v/>
      </c>
      <c r="DK5" s="1116">
        <f>CA5+CD5+CG5+CJ5+CM5+CP5+CS5+CV5+CY5+DB5+DE5+DH5</f>
        <v/>
      </c>
      <c r="DL5" s="1116">
        <f>CB5+CE5+CH5+CK5+CN5+CQ5+CT5+CW5+CZ5+DC5+DF5+DI5</f>
        <v/>
      </c>
      <c r="DM5" s="1117">
        <f>DJ5/2</f>
        <v/>
      </c>
      <c r="DN5" s="1117">
        <f>DK5/2</f>
        <v/>
      </c>
      <c r="DO5" s="1118">
        <f>DL5/2</f>
        <v/>
      </c>
      <c r="DP5" s="1119">
        <f>DO5/BV5*100-100</f>
        <v/>
      </c>
      <c r="DQ5" s="1120">
        <f>DO5/BY5*100-100</f>
        <v/>
      </c>
      <c r="DR5" s="820" t="inlineStr">
        <is>
          <t>Must Grow</t>
        </is>
      </c>
    </row>
    <row r="6">
      <c r="A6" s="869" t="n">
        <v>3</v>
      </c>
      <c r="B6" s="869" t="inlineStr">
        <is>
          <t>ကောင်းသန့်</t>
        </is>
      </c>
      <c r="C6" s="869" t="inlineStr">
        <is>
          <t>Kaung Thant</t>
        </is>
      </c>
      <c r="D6" s="869" t="inlineStr">
        <is>
          <t>မိတ္ထီလာ</t>
        </is>
      </c>
      <c r="E6" s="869" t="inlineStr">
        <is>
          <t>Meikhtila</t>
        </is>
      </c>
      <c r="F6" s="584" t="inlineStr">
        <is>
          <t>Contract</t>
        </is>
      </c>
      <c r="G6" s="1113" t="n">
        <v>3754</v>
      </c>
      <c r="H6" s="1113" t="n">
        <v>63800</v>
      </c>
      <c r="I6" s="1113" t="n">
        <v>3426</v>
      </c>
      <c r="J6" s="1113" t="n">
        <v>58904</v>
      </c>
      <c r="K6" s="1113" t="n">
        <v>3325</v>
      </c>
      <c r="L6" s="1113" t="n">
        <v>57704</v>
      </c>
      <c r="M6" s="1113" t="n">
        <v>3180</v>
      </c>
      <c r="N6" s="1113" t="n">
        <v>54500</v>
      </c>
      <c r="O6" s="1113" t="n">
        <v>3377</v>
      </c>
      <c r="P6" s="1113" t="n">
        <v>58318</v>
      </c>
      <c r="Q6" s="1113" t="n">
        <v>3520</v>
      </c>
      <c r="R6" s="1113" t="n">
        <v>60710</v>
      </c>
      <c r="S6" s="1113" t="n">
        <v>3769</v>
      </c>
      <c r="T6" s="1113" t="n">
        <v>66456</v>
      </c>
      <c r="U6" s="1113" t="n">
        <v>3916</v>
      </c>
      <c r="V6" s="1113" t="n">
        <v>68544</v>
      </c>
      <c r="W6" s="1113" t="n">
        <v>4658</v>
      </c>
      <c r="X6" s="1113" t="n">
        <v>81094</v>
      </c>
      <c r="Y6" s="1113" t="n">
        <v>5139</v>
      </c>
      <c r="Z6" s="1113" t="n">
        <v>88700</v>
      </c>
      <c r="AA6" s="1113" t="n">
        <v>5418</v>
      </c>
      <c r="AB6" s="1113" t="n">
        <v>93086</v>
      </c>
      <c r="AC6" s="1113" t="n">
        <v>5214</v>
      </c>
      <c r="AD6" s="1113" t="n">
        <v>88286</v>
      </c>
      <c r="AE6" s="1114">
        <f>G6+I6+K6+M6+O6+Q6+S6+U6+W6+Y6+AA6+AC6</f>
        <v/>
      </c>
      <c r="AF6" s="1114">
        <f>H6+J6+L6+N6+P6+R6+T6+V6+X6+Z6+AB6+AD6</f>
        <v/>
      </c>
      <c r="AG6" s="1115" t="n">
        <v>5069</v>
      </c>
      <c r="AH6" s="1115" t="n">
        <v>85934</v>
      </c>
      <c r="AI6" s="1115" t="n">
        <v>55016.48</v>
      </c>
      <c r="AJ6" s="1115" t="n">
        <v>3821</v>
      </c>
      <c r="AK6" s="1115" t="n">
        <v>63502</v>
      </c>
      <c r="AL6" s="1115" t="n">
        <v>40723.12000000001</v>
      </c>
      <c r="AM6" s="1115" t="n">
        <v>3664</v>
      </c>
      <c r="AN6" s="1115" t="n">
        <v>62062</v>
      </c>
      <c r="AO6" s="1115" t="n">
        <v>39750.34</v>
      </c>
      <c r="AP6" s="1115" t="n">
        <v>3919</v>
      </c>
      <c r="AQ6" s="1115" t="n">
        <v>67896</v>
      </c>
      <c r="AR6" s="1115" t="n">
        <v>43478.64</v>
      </c>
      <c r="AS6" s="1115" t="n">
        <v>3704</v>
      </c>
      <c r="AT6" s="1115" t="n">
        <v>64032</v>
      </c>
      <c r="AU6" s="1115" t="n">
        <v>41090.63999999998</v>
      </c>
      <c r="AV6" s="1115" t="n">
        <v>4014</v>
      </c>
      <c r="AW6" s="1115" t="n">
        <v>69856</v>
      </c>
      <c r="AX6" s="1115" t="n">
        <v>44728.24</v>
      </c>
      <c r="AY6" s="1115" t="n">
        <v>4348</v>
      </c>
      <c r="AZ6" s="1115" t="n">
        <v>75022</v>
      </c>
      <c r="BA6" s="1115" t="n">
        <v>48017.68</v>
      </c>
      <c r="BB6" s="1115" t="n">
        <v>4276</v>
      </c>
      <c r="BC6" s="1115" t="n">
        <v>72644</v>
      </c>
      <c r="BD6" s="1115" t="n">
        <v>46499.36000000001</v>
      </c>
      <c r="BE6" s="1115" t="n">
        <v>4856</v>
      </c>
      <c r="BF6" s="1115" t="n">
        <v>79724</v>
      </c>
      <c r="BG6" s="1115" t="n">
        <v>51030.56</v>
      </c>
      <c r="BH6" s="1115" t="n">
        <v>4452</v>
      </c>
      <c r="BI6" s="1115" t="n">
        <v>73562</v>
      </c>
      <c r="BJ6" s="1115" t="n">
        <v>47081.84</v>
      </c>
      <c r="BK6" s="1115" t="n">
        <v>4147</v>
      </c>
      <c r="BL6" s="1115" t="n">
        <v>68168</v>
      </c>
      <c r="BM6" s="1115" t="n">
        <v>43627.52000000001</v>
      </c>
      <c r="BN6" s="1115" t="n">
        <v>4457</v>
      </c>
      <c r="BO6" s="1115" t="n">
        <v>72950</v>
      </c>
      <c r="BP6" s="1115" t="n">
        <v>46698.08</v>
      </c>
      <c r="BQ6" s="1114">
        <f>AG6+AJ6+AM6+AP6+AS6+AV6+AY6+BB6+BE6+BH6+BK6+BN6</f>
        <v/>
      </c>
      <c r="BR6" s="1114">
        <f>AH6+AK6+AN6+AQ6+AT6+AW6+AZ6+BC6+BF6+BI6+BL6+BO6</f>
        <v/>
      </c>
      <c r="BS6" s="1114">
        <f>AI6+AL6+AO6+AR6+AU6+AX6+BA6+BD6+BG6+BJ6+BM6+BP6</f>
        <v/>
      </c>
      <c r="BT6" s="1114">
        <f>(AG6+AJ6)/2</f>
        <v/>
      </c>
      <c r="BU6" s="1114">
        <f>(AH6+AK6)/2</f>
        <v/>
      </c>
      <c r="BV6" s="1114">
        <f>(AI6+AL6)/2</f>
        <v/>
      </c>
      <c r="BW6" s="1114">
        <f>BQ6/12</f>
        <v/>
      </c>
      <c r="BX6" s="1114">
        <f>BR6/12</f>
        <v/>
      </c>
      <c r="BY6" s="1114">
        <f>BS6/12</f>
        <v/>
      </c>
      <c r="BZ6" s="1115" t="n">
        <v>4462</v>
      </c>
      <c r="CA6" s="869" t="n">
        <v>72248</v>
      </c>
      <c r="CB6" s="869" t="n">
        <v>46245.92</v>
      </c>
      <c r="CC6" s="1058" t="n">
        <v>3154</v>
      </c>
      <c r="CD6" s="1058" t="n">
        <v>52316</v>
      </c>
      <c r="CE6" s="1058" t="n">
        <v>33485.84</v>
      </c>
      <c r="CF6" s="869" t="n"/>
      <c r="CG6" s="869" t="n"/>
      <c r="CH6" s="869" t="n"/>
      <c r="CI6" s="869" t="n"/>
      <c r="CJ6" s="869" t="n"/>
      <c r="CK6" s="869" t="n"/>
      <c r="CL6" s="869" t="n"/>
      <c r="CM6" s="869" t="n"/>
      <c r="CN6" s="869" t="n"/>
      <c r="CO6" s="869" t="n"/>
      <c r="CP6" s="869" t="n"/>
      <c r="CQ6" s="869" t="n"/>
      <c r="CR6" s="869" t="n"/>
      <c r="CS6" s="869" t="n"/>
      <c r="CT6" s="869" t="n"/>
      <c r="CU6" s="869" t="n"/>
      <c r="CV6" s="869" t="n"/>
      <c r="CW6" s="869" t="n"/>
      <c r="CX6" s="869" t="n"/>
      <c r="CY6" s="869" t="n"/>
      <c r="CZ6" s="869" t="n"/>
      <c r="DA6" s="869" t="n"/>
      <c r="DB6" s="869" t="n"/>
      <c r="DC6" s="869" t="n"/>
      <c r="DD6" s="869" t="n"/>
      <c r="DE6" s="869" t="n"/>
      <c r="DF6" s="869" t="n"/>
      <c r="DG6" s="869" t="n"/>
      <c r="DH6" s="869" t="n"/>
      <c r="DI6" s="869" t="n"/>
      <c r="DJ6" s="1116">
        <f>BZ6+CC6+CF6+CI6+CL6+CO6+CR6+CU6+CX6+DA6+DD6+DG6</f>
        <v/>
      </c>
      <c r="DK6" s="1116">
        <f>CA6+CD6+CG6+CJ6+CM6+CP6+CS6+CV6+CY6+DB6+DE6+DH6</f>
        <v/>
      </c>
      <c r="DL6" s="1116">
        <f>CB6+CE6+CH6+CK6+CN6+CQ6+CT6+CW6+CZ6+DC6+DF6+DI6</f>
        <v/>
      </c>
      <c r="DM6" s="1117">
        <f>DJ6/2</f>
        <v/>
      </c>
      <c r="DN6" s="1117">
        <f>DK6/2</f>
        <v/>
      </c>
      <c r="DO6" s="1118">
        <f>DL6/2</f>
        <v/>
      </c>
      <c r="DP6" s="1119">
        <f>DO6/BV6*100-100</f>
        <v/>
      </c>
      <c r="DQ6" s="1120">
        <f>DO6/BY6*100-100</f>
        <v/>
      </c>
    </row>
    <row r="7">
      <c r="A7" s="869" t="n">
        <v>4</v>
      </c>
      <c r="B7" s="869" t="inlineStr">
        <is>
          <t>ဦးဝင်းနိုင်</t>
        </is>
      </c>
      <c r="C7" s="869" t="inlineStr">
        <is>
          <t>U Win Naing</t>
        </is>
      </c>
      <c r="D7" s="869" t="inlineStr">
        <is>
          <t>လျှော်ပင်</t>
        </is>
      </c>
      <c r="E7" s="869" t="inlineStr">
        <is>
          <t>Wundwin</t>
        </is>
      </c>
      <c r="F7" s="584" t="inlineStr">
        <is>
          <t>Contract</t>
        </is>
      </c>
      <c r="G7" s="1113" t="n">
        <v>6516</v>
      </c>
      <c r="H7" s="1113" t="n">
        <v>98691</v>
      </c>
      <c r="I7" s="1113" t="n">
        <v>5647</v>
      </c>
      <c r="J7" s="1113" t="n">
        <v>85230</v>
      </c>
      <c r="K7" s="1113" t="n">
        <v>5710</v>
      </c>
      <c r="L7" s="1113" t="n">
        <v>88118</v>
      </c>
      <c r="M7" s="1113" t="n">
        <v>5365</v>
      </c>
      <c r="N7" s="1113" t="n">
        <v>72126</v>
      </c>
      <c r="O7" s="1113" t="n">
        <v>6023</v>
      </c>
      <c r="P7" s="1113" t="n">
        <v>91184</v>
      </c>
      <c r="Q7" s="1113" t="n">
        <v>4894</v>
      </c>
      <c r="R7" s="1113" t="n">
        <v>74732</v>
      </c>
      <c r="S7" s="1113" t="n">
        <v>6323</v>
      </c>
      <c r="T7" s="1113" t="n">
        <v>96882</v>
      </c>
      <c r="U7" s="1113" t="n">
        <v>5935</v>
      </c>
      <c r="V7" s="1113" t="n">
        <v>91352</v>
      </c>
      <c r="W7" s="1113" t="n">
        <v>5317</v>
      </c>
      <c r="X7" s="1113" t="n">
        <v>82814</v>
      </c>
      <c r="Y7" s="1113" t="n">
        <v>7035</v>
      </c>
      <c r="Z7" s="1113" t="n">
        <v>107706</v>
      </c>
      <c r="AA7" s="1113" t="n">
        <v>6748</v>
      </c>
      <c r="AB7" s="1113" t="n">
        <v>103760</v>
      </c>
      <c r="AC7" s="1113" t="n">
        <v>6983</v>
      </c>
      <c r="AD7" s="1113" t="n">
        <v>110426</v>
      </c>
      <c r="AE7" s="1114">
        <f>G7+I7+K7+M7+O7+Q7+S7+U7+W7+Y7+AA7+AC7</f>
        <v/>
      </c>
      <c r="AF7" s="1114">
        <f>H7+J7+L7+N7+P7+R7+T7+V7+X7+Z7+AB7+AD7</f>
        <v/>
      </c>
      <c r="AG7" s="1115" t="n">
        <v>5679</v>
      </c>
      <c r="AH7" s="1115" t="n">
        <v>91044</v>
      </c>
      <c r="AI7" s="1115" t="n">
        <v>59232.71999999999</v>
      </c>
      <c r="AJ7" s="1115" t="n">
        <v>5524</v>
      </c>
      <c r="AK7" s="1115" t="n">
        <v>85900</v>
      </c>
      <c r="AL7" s="1115" t="n">
        <v>56079.76000000001</v>
      </c>
      <c r="AM7" s="1115" t="n">
        <v>9718.642857142857</v>
      </c>
      <c r="AN7" s="1115" t="n">
        <v>150353</v>
      </c>
      <c r="AO7" s="1115" t="n">
        <v>97036.88</v>
      </c>
      <c r="AP7" s="1115" t="n">
        <v>5446</v>
      </c>
      <c r="AQ7" s="1115" t="n">
        <v>86797</v>
      </c>
      <c r="AR7" s="1115" t="n">
        <v>56531.49999999999</v>
      </c>
      <c r="AS7" s="1115" t="n">
        <v>6013.25</v>
      </c>
      <c r="AT7" s="1115" t="n">
        <v>95492</v>
      </c>
      <c r="AU7" s="1115" t="n">
        <v>61728.5</v>
      </c>
      <c r="AV7" s="1115" t="n">
        <v>5801</v>
      </c>
      <c r="AW7" s="1115" t="n">
        <v>91868</v>
      </c>
      <c r="AX7" s="1115" t="n">
        <v>59636.48</v>
      </c>
      <c r="AY7" s="1115" t="n">
        <v>5860</v>
      </c>
      <c r="AZ7" s="1115" t="n">
        <v>92652</v>
      </c>
      <c r="BA7" s="1115" t="n">
        <v>60025.68000000002</v>
      </c>
      <c r="BB7" s="1115" t="n">
        <v>6328</v>
      </c>
      <c r="BC7" s="1115" t="n">
        <v>99700</v>
      </c>
      <c r="BD7" s="1115" t="n">
        <v>64743.52</v>
      </c>
      <c r="BE7" s="1115" t="n">
        <v>5447</v>
      </c>
      <c r="BF7" s="1115" t="n">
        <v>86272</v>
      </c>
      <c r="BG7" s="1115" t="n">
        <v>56440.24000000001</v>
      </c>
      <c r="BH7" s="1115" t="n">
        <v>6337</v>
      </c>
      <c r="BI7" s="1115" t="n">
        <v>99162</v>
      </c>
      <c r="BJ7" s="1115" t="n">
        <v>65068.31999999999</v>
      </c>
      <c r="BK7" s="1115" t="n">
        <v>5405</v>
      </c>
      <c r="BL7" s="1115" t="n">
        <v>84154</v>
      </c>
      <c r="BM7" s="1115" t="n">
        <v>55391.20000000001</v>
      </c>
      <c r="BN7" s="1115" t="n">
        <v>6894</v>
      </c>
      <c r="BO7" s="1115" t="n">
        <v>108108</v>
      </c>
      <c r="BP7" s="1115" t="n">
        <v>71232.96000000001</v>
      </c>
      <c r="BQ7" s="1114">
        <f>AG7+AJ7+AM7+AP7+AS7+AV7+AY7+BB7+BE7+BH7+BK7+BN7</f>
        <v/>
      </c>
      <c r="BR7" s="1114">
        <f>AH7+AK7+AN7+AQ7+AT7+AW7+AZ7+BC7+BF7+BI7+BL7+BO7</f>
        <v/>
      </c>
      <c r="BS7" s="1114">
        <f>AI7+AL7+AO7+AR7+AU7+AX7+BA7+BD7+BG7+BJ7+BM7+BP7</f>
        <v/>
      </c>
      <c r="BT7" s="1114">
        <f>(AG7+AJ7)/2</f>
        <v/>
      </c>
      <c r="BU7" s="1114">
        <f>(AH7+AK7)/2</f>
        <v/>
      </c>
      <c r="BV7" s="1114">
        <f>(AI7+AL7)/2</f>
        <v/>
      </c>
      <c r="BW7" s="1114">
        <f>BQ7/12</f>
        <v/>
      </c>
      <c r="BX7" s="1114">
        <f>BR7/12</f>
        <v/>
      </c>
      <c r="BY7" s="1114">
        <f>BS7/12</f>
        <v/>
      </c>
      <c r="BZ7" s="1115" t="n">
        <v>5545</v>
      </c>
      <c r="CA7" s="869" t="n">
        <v>86376</v>
      </c>
      <c r="CB7" s="869" t="n">
        <v>58025.28000000001</v>
      </c>
      <c r="CC7" s="1058" t="n">
        <v>6036</v>
      </c>
      <c r="CD7" s="1058" t="n">
        <v>95264</v>
      </c>
      <c r="CE7" s="1058" t="n">
        <v>62258.72000000001</v>
      </c>
      <c r="CF7" s="869" t="n"/>
      <c r="CG7" s="869" t="n"/>
      <c r="CH7" s="869" t="n"/>
      <c r="CI7" s="869" t="n"/>
      <c r="CJ7" s="869" t="n"/>
      <c r="CK7" s="869" t="n"/>
      <c r="CL7" s="869" t="n"/>
      <c r="CM7" s="869" t="n"/>
      <c r="CN7" s="869" t="n"/>
      <c r="CO7" s="869" t="n"/>
      <c r="CP7" s="869" t="n"/>
      <c r="CQ7" s="869" t="n"/>
      <c r="CR7" s="869" t="n"/>
      <c r="CS7" s="869" t="n"/>
      <c r="CT7" s="869" t="n"/>
      <c r="CU7" s="869" t="n"/>
      <c r="CV7" s="869" t="n"/>
      <c r="CW7" s="869" t="n"/>
      <c r="CX7" s="869" t="n"/>
      <c r="CY7" s="869" t="n"/>
      <c r="CZ7" s="869" t="n"/>
      <c r="DA7" s="869" t="n"/>
      <c r="DB7" s="869" t="n"/>
      <c r="DC7" s="869" t="n"/>
      <c r="DD7" s="869" t="n"/>
      <c r="DE7" s="869" t="n"/>
      <c r="DF7" s="869" t="n"/>
      <c r="DG7" s="869" t="n"/>
      <c r="DH7" s="869" t="n"/>
      <c r="DI7" s="869" t="n"/>
      <c r="DJ7" s="1116">
        <f>BZ7+CC7+CF7+CI7+CL7+CO7+CR7+CU7+CX7+DA7+DD7+DG7</f>
        <v/>
      </c>
      <c r="DK7" s="1116">
        <f>CA7+CD7+CG7+CJ7+CM7+CP7+CS7+CV7+CY7+DB7+DE7+DH7</f>
        <v/>
      </c>
      <c r="DL7" s="1116">
        <f>CB7+CE7+CH7+CK7+CN7+CQ7+CT7+CW7+CZ7+DC7+DF7+DI7</f>
        <v/>
      </c>
      <c r="DM7" s="1117">
        <f>DJ7/2</f>
        <v/>
      </c>
      <c r="DN7" s="1117">
        <f>DK7/2</f>
        <v/>
      </c>
      <c r="DO7" s="1118">
        <f>DL7/2</f>
        <v/>
      </c>
      <c r="DP7" s="1119">
        <f>DO7/BV7*100-100</f>
        <v/>
      </c>
      <c r="DQ7" s="1120">
        <f>DO7/BY7*100-100</f>
        <v/>
      </c>
      <c r="DR7" s="820" t="inlineStr">
        <is>
          <t>Must Grow</t>
        </is>
      </c>
    </row>
    <row r="8">
      <c r="A8" s="869" t="n">
        <v>5</v>
      </c>
      <c r="B8" s="869" t="inlineStr">
        <is>
          <t>ကျော်ကြား</t>
        </is>
      </c>
      <c r="C8" s="869" t="inlineStr">
        <is>
          <t>Kyaw Kyar</t>
        </is>
      </c>
      <c r="D8" s="869" t="inlineStr">
        <is>
          <t>မလှိုင်</t>
        </is>
      </c>
      <c r="E8" s="869" t="inlineStr">
        <is>
          <t>Mahlaing</t>
        </is>
      </c>
      <c r="F8" s="584" t="inlineStr">
        <is>
          <t>Contract</t>
        </is>
      </c>
      <c r="G8" s="1113" t="n">
        <v>2190</v>
      </c>
      <c r="H8" s="1113" t="n">
        <v>36320</v>
      </c>
      <c r="I8" s="1113" t="n">
        <v>1835</v>
      </c>
      <c r="J8" s="1113" t="n">
        <v>30600</v>
      </c>
      <c r="K8" s="1113" t="n">
        <v>1680</v>
      </c>
      <c r="L8" s="1113" t="n">
        <v>27970</v>
      </c>
      <c r="M8" s="1113" t="n">
        <v>1220</v>
      </c>
      <c r="N8" s="1113" t="n">
        <v>21340</v>
      </c>
      <c r="O8" s="1113" t="n">
        <v>1935</v>
      </c>
      <c r="P8" s="1113" t="n">
        <v>32790</v>
      </c>
      <c r="Q8" s="1113" t="n">
        <v>1670</v>
      </c>
      <c r="R8" s="1113" t="n">
        <v>27630</v>
      </c>
      <c r="S8" s="1113" t="n">
        <v>1850</v>
      </c>
      <c r="T8" s="1113" t="n">
        <v>31070</v>
      </c>
      <c r="U8" s="1113" t="n">
        <v>1745</v>
      </c>
      <c r="V8" s="1113" t="n">
        <v>28830</v>
      </c>
      <c r="W8" s="1113" t="n">
        <v>1530</v>
      </c>
      <c r="X8" s="1113" t="n">
        <v>26620</v>
      </c>
      <c r="Y8" s="1113" t="n">
        <v>2110</v>
      </c>
      <c r="Z8" s="1113" t="n">
        <v>34710</v>
      </c>
      <c r="AA8" s="1113" t="n">
        <v>1680</v>
      </c>
      <c r="AB8" s="1113" t="n">
        <v>28690</v>
      </c>
      <c r="AC8" s="1113" t="n">
        <v>2085</v>
      </c>
      <c r="AD8" s="1113" t="n">
        <v>33990</v>
      </c>
      <c r="AE8" s="1114">
        <f>G8+I8+K8+M8+O8+Q8+S8+U8+W8+Y8+AA8+AC8</f>
        <v/>
      </c>
      <c r="AF8" s="1114">
        <f>H8+J8+L8+N8+P8+R8+T8+V8+X8+Z8+AB8+AD8</f>
        <v/>
      </c>
      <c r="AG8" s="1115" t="n">
        <v>2081</v>
      </c>
      <c r="AH8" s="1115" t="n">
        <v>35334</v>
      </c>
      <c r="AI8" s="1115" t="n">
        <v>22613.76</v>
      </c>
      <c r="AJ8" s="1115" t="n">
        <v>1760</v>
      </c>
      <c r="AK8" s="1115" t="n">
        <v>29590</v>
      </c>
      <c r="AL8" s="1115" t="n">
        <v>18937.6</v>
      </c>
      <c r="AM8" s="1115" t="n">
        <v>2085</v>
      </c>
      <c r="AN8" s="1115" t="n">
        <v>35120</v>
      </c>
      <c r="AO8" s="1115" t="n">
        <v>22754</v>
      </c>
      <c r="AP8" s="1115" t="n">
        <v>1620</v>
      </c>
      <c r="AQ8" s="1115" t="n">
        <v>27840</v>
      </c>
      <c r="AR8" s="1115" t="n">
        <v>17904</v>
      </c>
      <c r="AS8" s="1115" t="n">
        <v>1309</v>
      </c>
      <c r="AT8" s="1115" t="n">
        <v>22476</v>
      </c>
      <c r="AU8" s="1115" t="n">
        <v>14492.64</v>
      </c>
      <c r="AV8" s="1115" t="n">
        <v>2830</v>
      </c>
      <c r="AW8" s="1115" t="n">
        <v>46070</v>
      </c>
      <c r="AX8" s="1115" t="n">
        <v>30024.8</v>
      </c>
      <c r="AY8" s="1115" t="n">
        <v>880</v>
      </c>
      <c r="AZ8" s="1115" t="n">
        <v>15060</v>
      </c>
      <c r="BA8" s="1115" t="n">
        <v>9656.4</v>
      </c>
      <c r="BB8" s="1115" t="n">
        <v>1515</v>
      </c>
      <c r="BC8" s="1115" t="n">
        <v>26220</v>
      </c>
      <c r="BD8" s="1115" t="n">
        <v>16795.2</v>
      </c>
      <c r="BE8" s="1115" t="n">
        <v>1320</v>
      </c>
      <c r="BF8" s="1115" t="n">
        <v>22680</v>
      </c>
      <c r="BG8" s="1115" t="n">
        <v>14515.2</v>
      </c>
      <c r="BH8" s="1115" t="n">
        <v>1704</v>
      </c>
      <c r="BI8" s="1115" t="n">
        <v>28436</v>
      </c>
      <c r="BJ8" s="1115" t="n">
        <v>18458.24</v>
      </c>
      <c r="BK8" s="1115" t="n">
        <v>1800</v>
      </c>
      <c r="BL8" s="1115" t="n">
        <v>29370</v>
      </c>
      <c r="BM8" s="1115" t="n">
        <v>18807.6</v>
      </c>
      <c r="BN8" s="1115" t="n">
        <v>1900</v>
      </c>
      <c r="BO8" s="1115" t="n">
        <v>31750</v>
      </c>
      <c r="BP8" s="1115" t="n">
        <v>20536</v>
      </c>
      <c r="BQ8" s="1114">
        <f>AG8+AJ8+AM8+AP8+AS8+AV8+AY8+BB8+BE8+BH8+BK8+BN8</f>
        <v/>
      </c>
      <c r="BR8" s="1114">
        <f>AH8+AK8+AN8+AQ8+AT8+AW8+AZ8+BC8+BF8+BI8+BL8+BO8</f>
        <v/>
      </c>
      <c r="BS8" s="1114">
        <f>AI8+AL8+AO8+AR8+AU8+AX8+BA8+BD8+BG8+BJ8+BM8+BP8</f>
        <v/>
      </c>
      <c r="BT8" s="1114">
        <f>(AG8+AJ8)/2</f>
        <v/>
      </c>
      <c r="BU8" s="1114">
        <f>(AH8+AK8)/2</f>
        <v/>
      </c>
      <c r="BV8" s="1114">
        <f>(AI8+AL8)/2</f>
        <v/>
      </c>
      <c r="BW8" s="1114">
        <f>BQ8/12</f>
        <v/>
      </c>
      <c r="BX8" s="1114">
        <f>BR8/12</f>
        <v/>
      </c>
      <c r="BY8" s="1114">
        <f>BS8/12</f>
        <v/>
      </c>
      <c r="BZ8" s="1115" t="n">
        <v>1895</v>
      </c>
      <c r="CA8" s="869" t="n">
        <v>30990</v>
      </c>
      <c r="CB8" s="869" t="n">
        <v>20280</v>
      </c>
      <c r="CC8" s="1058" t="n">
        <v>1665</v>
      </c>
      <c r="CD8" s="1058" t="n">
        <v>27540</v>
      </c>
      <c r="CE8" s="1058" t="n">
        <v>17884.8</v>
      </c>
      <c r="CF8" s="869" t="n"/>
      <c r="CG8" s="869" t="n"/>
      <c r="CH8" s="869" t="n"/>
      <c r="CI8" s="869" t="n"/>
      <c r="CJ8" s="869" t="n"/>
      <c r="CK8" s="869" t="n"/>
      <c r="CL8" s="869" t="n"/>
      <c r="CM8" s="869" t="n"/>
      <c r="CN8" s="869" t="n"/>
      <c r="CO8" s="869" t="n"/>
      <c r="CP8" s="869" t="n"/>
      <c r="CQ8" s="869" t="n"/>
      <c r="CR8" s="869" t="n"/>
      <c r="CS8" s="869" t="n"/>
      <c r="CT8" s="869" t="n"/>
      <c r="CU8" s="869" t="n"/>
      <c r="CV8" s="869" t="n"/>
      <c r="CW8" s="869" t="n"/>
      <c r="CX8" s="869" t="n"/>
      <c r="CY8" s="869" t="n"/>
      <c r="CZ8" s="869" t="n"/>
      <c r="DA8" s="869" t="n"/>
      <c r="DB8" s="869" t="n"/>
      <c r="DC8" s="869" t="n"/>
      <c r="DD8" s="869" t="n"/>
      <c r="DE8" s="869" t="n"/>
      <c r="DF8" s="869" t="n"/>
      <c r="DG8" s="869" t="n"/>
      <c r="DH8" s="869" t="n"/>
      <c r="DI8" s="869" t="n"/>
      <c r="DJ8" s="1116">
        <f>BZ8+CC8+CF8+CI8+CL8+CO8+CR8+CU8+CX8+DA8+DD8+DG8</f>
        <v/>
      </c>
      <c r="DK8" s="1116">
        <f>CA8+CD8+CG8+CJ8+CM8+CP8+CS8+CV8+CY8+DB8+DE8+DH8</f>
        <v/>
      </c>
      <c r="DL8" s="1116">
        <f>CB8+CE8+CH8+CK8+CN8+CQ8+CT8+CW8+CZ8+DC8+DF8+DI8</f>
        <v/>
      </c>
      <c r="DM8" s="1117">
        <f>DJ8/2</f>
        <v/>
      </c>
      <c r="DN8" s="1117">
        <f>DK8/2</f>
        <v/>
      </c>
      <c r="DO8" s="1118">
        <f>DL8/2</f>
        <v/>
      </c>
      <c r="DP8" s="1119">
        <f>DO8/BV8*100-100</f>
        <v/>
      </c>
      <c r="DQ8" s="1120">
        <f>DO8/BY8*100-100</f>
        <v/>
      </c>
    </row>
    <row r="9">
      <c r="A9" s="869" t="n">
        <v>6</v>
      </c>
      <c r="B9" s="869" t="inlineStr">
        <is>
          <t>မယဉ်ယဉ်အေး</t>
        </is>
      </c>
      <c r="C9" s="869" t="inlineStr">
        <is>
          <t>Ma Yin Yin Aye</t>
        </is>
      </c>
      <c r="D9" s="869" t="inlineStr">
        <is>
          <t>မလှိုင်</t>
        </is>
      </c>
      <c r="E9" s="869" t="inlineStr">
        <is>
          <t>Mahlaing</t>
        </is>
      </c>
      <c r="F9" s="584" t="inlineStr">
        <is>
          <t>Contract</t>
        </is>
      </c>
      <c r="G9" s="1113" t="n">
        <v>2195</v>
      </c>
      <c r="H9" s="1113" t="n">
        <v>33730</v>
      </c>
      <c r="I9" s="1113" t="n">
        <v>2065</v>
      </c>
      <c r="J9" s="1113" t="n">
        <v>34150</v>
      </c>
      <c r="K9" s="1113" t="n">
        <v>1725</v>
      </c>
      <c r="L9" s="1113" t="n">
        <v>28650</v>
      </c>
      <c r="M9" s="1113" t="n">
        <v>1340</v>
      </c>
      <c r="N9" s="1113" t="n">
        <v>22500</v>
      </c>
      <c r="O9" s="1113" t="n">
        <v>2230</v>
      </c>
      <c r="P9" s="1113" t="n">
        <v>37610</v>
      </c>
      <c r="Q9" s="1113" t="n">
        <v>2305</v>
      </c>
      <c r="R9" s="1113" t="n">
        <v>37710</v>
      </c>
      <c r="S9" s="1113" t="n">
        <v>1291</v>
      </c>
      <c r="T9" s="1113" t="n">
        <v>20784</v>
      </c>
      <c r="U9" s="1113" t="n">
        <v>2127</v>
      </c>
      <c r="V9" s="1113" t="n">
        <v>34938</v>
      </c>
      <c r="W9" s="1113" t="n">
        <v>1646</v>
      </c>
      <c r="X9" s="1113" t="n">
        <v>27484</v>
      </c>
      <c r="Y9" s="1113" t="n">
        <v>1615</v>
      </c>
      <c r="Z9" s="1113" t="n">
        <v>26810</v>
      </c>
      <c r="AA9" s="1113" t="n">
        <v>2040</v>
      </c>
      <c r="AB9" s="1113" t="n">
        <v>32860</v>
      </c>
      <c r="AC9" s="1113" t="n">
        <v>2000</v>
      </c>
      <c r="AD9" s="1113" t="n">
        <v>32200</v>
      </c>
      <c r="AE9" s="1114">
        <f>G9+I9+K9+M9+O9+Q9+S9+U9+W9+Y9+AA9+AC9</f>
        <v/>
      </c>
      <c r="AF9" s="1114">
        <f>H9+J9+L9+N9+P9+R9+T9+V9+X9+Z9+AB9+AD9</f>
        <v/>
      </c>
      <c r="AG9" s="1115" t="n">
        <v>1590</v>
      </c>
      <c r="AH9" s="1115" t="n">
        <v>26100</v>
      </c>
      <c r="AI9" s="1115" t="n">
        <v>16725.6</v>
      </c>
      <c r="AJ9" s="1115" t="n">
        <v>2015</v>
      </c>
      <c r="AK9" s="1115" t="n">
        <v>33510</v>
      </c>
      <c r="AL9" s="1115" t="n">
        <v>21446.4</v>
      </c>
      <c r="AM9" s="1115" t="n">
        <v>1905</v>
      </c>
      <c r="AN9" s="1115" t="n">
        <v>32040</v>
      </c>
      <c r="AO9" s="1115" t="n">
        <v>20570.4</v>
      </c>
      <c r="AP9" s="1115" t="n">
        <v>2120</v>
      </c>
      <c r="AQ9" s="1115" t="n">
        <v>34440</v>
      </c>
      <c r="AR9" s="1115" t="n">
        <v>22128</v>
      </c>
      <c r="AS9" s="1115" t="n">
        <v>1100</v>
      </c>
      <c r="AT9" s="1115" t="n">
        <v>18700</v>
      </c>
      <c r="AU9" s="1115" t="n">
        <v>11968</v>
      </c>
      <c r="AV9" s="1115" t="n">
        <v>1315</v>
      </c>
      <c r="AW9" s="1115" t="n">
        <v>20900</v>
      </c>
      <c r="AX9" s="1115" t="n">
        <v>13505.6</v>
      </c>
      <c r="AY9" s="1115" t="n">
        <v>1435</v>
      </c>
      <c r="AZ9" s="1115" t="n">
        <v>24620</v>
      </c>
      <c r="BA9" s="1115" t="n">
        <v>15836</v>
      </c>
      <c r="BB9" s="1115" t="n">
        <v>1250</v>
      </c>
      <c r="BC9" s="1115" t="n">
        <v>21200</v>
      </c>
      <c r="BD9" s="1115" t="n">
        <v>13568</v>
      </c>
      <c r="BE9" s="1115" t="n">
        <v>1450</v>
      </c>
      <c r="BF9" s="1115" t="n">
        <v>24340</v>
      </c>
      <c r="BG9" s="1115" t="n">
        <v>15995.2</v>
      </c>
      <c r="BH9" s="1115" t="n">
        <v>1145</v>
      </c>
      <c r="BI9" s="1115" t="n">
        <v>19530</v>
      </c>
      <c r="BJ9" s="1115" t="n">
        <v>12499.2</v>
      </c>
      <c r="BK9" s="1115" t="n">
        <v>1910</v>
      </c>
      <c r="BL9" s="1115" t="n">
        <v>31340</v>
      </c>
      <c r="BM9" s="1115" t="n">
        <v>20057.6</v>
      </c>
      <c r="BN9" s="1115" t="n">
        <v>1080</v>
      </c>
      <c r="BO9" s="1115" t="n">
        <v>17820</v>
      </c>
      <c r="BP9" s="1115" t="n">
        <v>11404.8</v>
      </c>
      <c r="BQ9" s="1114">
        <f>AG9+AJ9+AM9+AP9+AS9+AV9+AY9+BB9+BE9+BH9+BK9+BN9</f>
        <v/>
      </c>
      <c r="BR9" s="1114">
        <f>AH9+AK9+AN9+AQ9+AT9+AW9+AZ9+BC9+BF9+BI9+BL9+BO9</f>
        <v/>
      </c>
      <c r="BS9" s="1114">
        <f>AI9+AL9+AO9+AR9+AU9+AX9+BA9+BD9+BG9+BJ9+BM9+BP9</f>
        <v/>
      </c>
      <c r="BT9" s="1114">
        <f>(AG9+AJ9)/2</f>
        <v/>
      </c>
      <c r="BU9" s="1114">
        <f>(AH9+AK9)/2</f>
        <v/>
      </c>
      <c r="BV9" s="1114">
        <f>(AI9+AL9)/2</f>
        <v/>
      </c>
      <c r="BW9" s="1114">
        <f>BQ9/12</f>
        <v/>
      </c>
      <c r="BX9" s="1114">
        <f>BR9/12</f>
        <v/>
      </c>
      <c r="BY9" s="1114">
        <f>BS9/12</f>
        <v/>
      </c>
      <c r="BZ9" s="1115" t="n">
        <v>1670</v>
      </c>
      <c r="CA9" s="869" t="n">
        <v>27080</v>
      </c>
      <c r="CB9" s="869" t="n">
        <v>17331.2</v>
      </c>
      <c r="CC9" s="1058" t="n">
        <v>2140</v>
      </c>
      <c r="CD9" s="1058" t="n">
        <v>34160</v>
      </c>
      <c r="CE9" s="1058" t="n">
        <v>22078.4</v>
      </c>
      <c r="CF9" s="869" t="n"/>
      <c r="CG9" s="869" t="n"/>
      <c r="CH9" s="869" t="n"/>
      <c r="CI9" s="869" t="n"/>
      <c r="CJ9" s="869" t="n"/>
      <c r="CK9" s="869" t="n"/>
      <c r="CL9" s="869" t="n"/>
      <c r="CM9" s="869" t="n"/>
      <c r="CN9" s="869" t="n"/>
      <c r="CO9" s="869" t="n"/>
      <c r="CP9" s="869" t="n"/>
      <c r="CQ9" s="869" t="n"/>
      <c r="CR9" s="869" t="n"/>
      <c r="CS9" s="869" t="n"/>
      <c r="CT9" s="869" t="n"/>
      <c r="CU9" s="869" t="n"/>
      <c r="CV9" s="869" t="n"/>
      <c r="CW9" s="869" t="n"/>
      <c r="CX9" s="869" t="n"/>
      <c r="CY9" s="869" t="n"/>
      <c r="CZ9" s="869" t="n"/>
      <c r="DA9" s="869" t="n"/>
      <c r="DB9" s="869" t="n"/>
      <c r="DC9" s="869" t="n"/>
      <c r="DD9" s="869" t="n"/>
      <c r="DE9" s="869" t="n"/>
      <c r="DF9" s="869" t="n"/>
      <c r="DG9" s="869" t="n"/>
      <c r="DH9" s="869" t="n"/>
      <c r="DI9" s="869" t="n"/>
      <c r="DJ9" s="1116">
        <f>BZ9+CC9+CF9+CI9+CL9+CO9+CR9+CU9+CX9+DA9+DD9+DG9</f>
        <v/>
      </c>
      <c r="DK9" s="1116">
        <f>CA9+CD9+CG9+CJ9+CM9+CP9+CS9+CV9+CY9+DB9+DE9+DH9</f>
        <v/>
      </c>
      <c r="DL9" s="1116">
        <f>CB9+CE9+CH9+CK9+CN9+CQ9+CT9+CW9+CZ9+DC9+DF9+DI9</f>
        <v/>
      </c>
      <c r="DM9" s="1117">
        <f>DJ9/2</f>
        <v/>
      </c>
      <c r="DN9" s="1117">
        <f>DK9/2</f>
        <v/>
      </c>
      <c r="DO9" s="1118">
        <f>DL9/2</f>
        <v/>
      </c>
      <c r="DP9" s="1121">
        <f>DO9/BV9*100-100</f>
        <v/>
      </c>
      <c r="DQ9" s="1120">
        <f>DO9/BY9*100-100</f>
        <v/>
      </c>
    </row>
    <row r="10">
      <c r="A10" s="869" t="n">
        <v>7</v>
      </c>
      <c r="B10" s="869" t="inlineStr">
        <is>
          <t>စံချိန်</t>
        </is>
      </c>
      <c r="C10" s="869" t="inlineStr">
        <is>
          <t>Sanchin</t>
        </is>
      </c>
      <c r="D10" s="869" t="inlineStr">
        <is>
          <t>ရမည်းသင်း</t>
        </is>
      </c>
      <c r="E10" s="869" t="inlineStr">
        <is>
          <t>Yamethin</t>
        </is>
      </c>
      <c r="F10" s="584" t="inlineStr">
        <is>
          <t>Contract</t>
        </is>
      </c>
      <c r="G10" s="1113" t="n">
        <v>930</v>
      </c>
      <c r="H10" s="1113" t="n">
        <v>13320</v>
      </c>
      <c r="I10" s="1113" t="n">
        <v>400</v>
      </c>
      <c r="J10" s="1113" t="n">
        <v>5600</v>
      </c>
      <c r="K10" s="1113" t="n">
        <v>730</v>
      </c>
      <c r="L10" s="1113" t="n">
        <v>10520</v>
      </c>
      <c r="M10" s="1113" t="n">
        <v>730</v>
      </c>
      <c r="N10" s="1113" t="n">
        <v>10520</v>
      </c>
      <c r="O10" s="1113" t="n">
        <v>700</v>
      </c>
      <c r="P10" s="1113" t="n">
        <v>9800</v>
      </c>
      <c r="Q10" s="1113" t="n">
        <v>750</v>
      </c>
      <c r="R10" s="1113" t="n">
        <v>10900</v>
      </c>
      <c r="S10" s="1113" t="n">
        <v>960</v>
      </c>
      <c r="T10" s="1113" t="n">
        <v>13840</v>
      </c>
      <c r="U10" s="1113" t="n">
        <v>775</v>
      </c>
      <c r="V10" s="1113" t="n">
        <v>11100</v>
      </c>
      <c r="W10" s="1113" t="n">
        <v>230</v>
      </c>
      <c r="X10" s="1113" t="n">
        <v>3520</v>
      </c>
      <c r="Y10" s="1113" t="n">
        <v>1024</v>
      </c>
      <c r="Z10" s="1113" t="n">
        <v>15436</v>
      </c>
      <c r="AA10" s="1113" t="n">
        <v>700</v>
      </c>
      <c r="AB10" s="1113" t="n">
        <v>10300</v>
      </c>
      <c r="AC10" s="1113" t="n">
        <v>700</v>
      </c>
      <c r="AD10" s="1113" t="n">
        <v>10800</v>
      </c>
      <c r="AE10" s="1114">
        <f>G10+I10+K10+M10+O10+Q10+S10+U10+W10+Y10+AA10+AC10</f>
        <v/>
      </c>
      <c r="AF10" s="1114">
        <f>H10+J10+L10+N10+P10+R10+T10+V10+X10+Z10+AB10+AD10</f>
        <v/>
      </c>
      <c r="AG10" s="1115" t="n">
        <v>850</v>
      </c>
      <c r="AH10" s="1115" t="n">
        <v>12400</v>
      </c>
      <c r="AI10" s="1115" t="n">
        <v>7888</v>
      </c>
      <c r="AJ10" s="1115" t="n">
        <v>700</v>
      </c>
      <c r="AK10" s="1115" t="n">
        <v>10800</v>
      </c>
      <c r="AL10" s="1115" t="n">
        <v>6816</v>
      </c>
      <c r="AM10" s="1115" t="n">
        <v>1000</v>
      </c>
      <c r="AN10" s="1115" t="n">
        <v>16000</v>
      </c>
      <c r="AO10" s="1115" t="n">
        <v>11968</v>
      </c>
      <c r="AP10" s="1115" t="n">
        <v>450</v>
      </c>
      <c r="AQ10" s="1115" t="n">
        <v>6800</v>
      </c>
      <c r="AR10" s="1115" t="n">
        <v>4304</v>
      </c>
      <c r="AS10" s="1115" t="n">
        <v>550</v>
      </c>
      <c r="AT10" s="1115" t="n">
        <v>9200</v>
      </c>
      <c r="AU10" s="1115" t="n">
        <v>5744</v>
      </c>
      <c r="AV10" s="1115" t="n">
        <v>350</v>
      </c>
      <c r="AW10" s="1115" t="n">
        <v>5400</v>
      </c>
      <c r="AX10" s="1115" t="n">
        <v>3408</v>
      </c>
      <c r="AY10" s="1115" t="n">
        <v>800</v>
      </c>
      <c r="AZ10" s="1115" t="n">
        <v>12700</v>
      </c>
      <c r="BA10" s="1115" t="n">
        <v>7984</v>
      </c>
      <c r="BB10" s="1115" t="n">
        <v>470</v>
      </c>
      <c r="BC10" s="1115" t="n">
        <v>6780</v>
      </c>
      <c r="BD10" s="1115" t="n">
        <v>4334.4</v>
      </c>
      <c r="BE10" s="1115" t="n">
        <v>800</v>
      </c>
      <c r="BF10" s="1115" t="n">
        <v>12700</v>
      </c>
      <c r="BG10" s="1115" t="n">
        <v>7984</v>
      </c>
      <c r="BH10" s="1115" t="n">
        <v>800</v>
      </c>
      <c r="BI10" s="1115" t="n">
        <v>12900</v>
      </c>
      <c r="BJ10" s="1115" t="n">
        <v>8121.6</v>
      </c>
      <c r="BK10" s="1115" t="n">
        <v>550</v>
      </c>
      <c r="BL10" s="1115" t="n">
        <v>8200</v>
      </c>
      <c r="BM10" s="1115" t="n">
        <v>5200</v>
      </c>
      <c r="BN10" s="1115" t="n">
        <v>750</v>
      </c>
      <c r="BO10" s="1115" t="n">
        <v>11000</v>
      </c>
      <c r="BP10" s="1115" t="n">
        <v>6992</v>
      </c>
      <c r="BQ10" s="1114">
        <f>AG10+AJ10+AM10+AP10+AS10+AV10+AY10+BB10+BE10+BH10+BK10+BN10</f>
        <v/>
      </c>
      <c r="BR10" s="1114">
        <f>AH10+AK10+AN10+AQ10+AT10+AW10+AZ10+BC10+BF10+BI10+BL10+BO10</f>
        <v/>
      </c>
      <c r="BS10" s="1114">
        <f>AI10+AL10+AO10+AR10+AU10+AX10+BA10+BD10+BG10+BJ10+BM10+BP10</f>
        <v/>
      </c>
      <c r="BT10" s="1114">
        <f>(AG10+AJ10)/2</f>
        <v/>
      </c>
      <c r="BU10" s="1114">
        <f>(AH10+AK10)/2</f>
        <v/>
      </c>
      <c r="BV10" s="1114">
        <f>(AI10+AL10)/2</f>
        <v/>
      </c>
      <c r="BW10" s="1114">
        <f>BQ10/12</f>
        <v/>
      </c>
      <c r="BX10" s="1114">
        <f>BR10/12</f>
        <v/>
      </c>
      <c r="BY10" s="1114">
        <f>BS10/12</f>
        <v/>
      </c>
      <c r="BZ10" s="1115" t="n">
        <v>700</v>
      </c>
      <c r="CA10" s="869" t="n">
        <v>10800</v>
      </c>
      <c r="CB10" s="869" t="n">
        <v>6816</v>
      </c>
      <c r="CC10" s="1058" t="n">
        <v>600</v>
      </c>
      <c r="CD10" s="1058" t="n">
        <v>8400</v>
      </c>
      <c r="CE10" s="1058" t="n">
        <v>5376</v>
      </c>
      <c r="CF10" s="869" t="n"/>
      <c r="CG10" s="869" t="n"/>
      <c r="CH10" s="869" t="n"/>
      <c r="CI10" s="869" t="n"/>
      <c r="CJ10" s="869" t="n"/>
      <c r="CK10" s="869" t="n"/>
      <c r="CL10" s="869" t="n"/>
      <c r="CM10" s="869" t="n"/>
      <c r="CN10" s="869" t="n"/>
      <c r="CO10" s="869" t="n"/>
      <c r="CP10" s="869" t="n"/>
      <c r="CQ10" s="869" t="n"/>
      <c r="CR10" s="869" t="n"/>
      <c r="CS10" s="869" t="n"/>
      <c r="CT10" s="869" t="n"/>
      <c r="CU10" s="869" t="n"/>
      <c r="CV10" s="869" t="n"/>
      <c r="CW10" s="869" t="n"/>
      <c r="CX10" s="869" t="n"/>
      <c r="CY10" s="869" t="n"/>
      <c r="CZ10" s="869" t="n"/>
      <c r="DA10" s="869" t="n"/>
      <c r="DB10" s="869" t="n"/>
      <c r="DC10" s="869" t="n"/>
      <c r="DD10" s="869" t="n"/>
      <c r="DE10" s="869" t="n"/>
      <c r="DF10" s="869" t="n"/>
      <c r="DG10" s="869" t="n"/>
      <c r="DH10" s="869" t="n"/>
      <c r="DI10" s="869" t="n"/>
      <c r="DJ10" s="1116">
        <f>BZ10+CC10+CF10+CI10+CL10+CO10+CR10+CU10+CX10+DA10+DD10+DG10</f>
        <v/>
      </c>
      <c r="DK10" s="1116">
        <f>CA10+CD10+CG10+CJ10+CM10+CP10+CS10+CV10+CY10+DB10+DE10+DH10</f>
        <v/>
      </c>
      <c r="DL10" s="1116">
        <f>CB10+CE10+CH10+CK10+CN10+CQ10+CT10+CW10+CZ10+DC10+DF10+DI10</f>
        <v/>
      </c>
      <c r="DM10" s="1117">
        <f>DJ10/2</f>
        <v/>
      </c>
      <c r="DN10" s="1117">
        <f>DK10/2</f>
        <v/>
      </c>
      <c r="DO10" s="1118">
        <f>DL10/2</f>
        <v/>
      </c>
      <c r="DP10" s="1119">
        <f>DO10/BV10*100-100</f>
        <v/>
      </c>
      <c r="DQ10" s="1120">
        <f>DO10/BY10*100-100</f>
        <v/>
      </c>
    </row>
    <row r="11">
      <c r="A11" s="869" t="n">
        <v>8</v>
      </c>
      <c r="B11" s="869" t="inlineStr">
        <is>
          <t>ဦးရဲမြင့်</t>
        </is>
      </c>
      <c r="C11" s="869" t="inlineStr">
        <is>
          <t>U Ye Myint</t>
        </is>
      </c>
      <c r="D11" s="869" t="inlineStr">
        <is>
          <t>ပျော်ဘွယ်</t>
        </is>
      </c>
      <c r="E11" s="869" t="inlineStr">
        <is>
          <t>Pyawbwe</t>
        </is>
      </c>
      <c r="F11" s="584" t="inlineStr">
        <is>
          <t>Contract</t>
        </is>
      </c>
      <c r="G11" s="1113" t="n">
        <v>10135</v>
      </c>
      <c r="H11" s="1113" t="n">
        <v>144090</v>
      </c>
      <c r="I11" s="1113" t="n">
        <v>4020</v>
      </c>
      <c r="J11" s="1113" t="n">
        <v>58580</v>
      </c>
      <c r="K11" s="1113" t="n">
        <v>2940</v>
      </c>
      <c r="L11" s="1113" t="n">
        <v>43560</v>
      </c>
      <c r="M11" s="1113" t="n">
        <v>3315</v>
      </c>
      <c r="N11" s="1113" t="n">
        <v>49110</v>
      </c>
      <c r="O11" s="1113" t="n">
        <v>5095</v>
      </c>
      <c r="P11" s="1113" t="n">
        <v>74930</v>
      </c>
      <c r="Q11" s="1113" t="n">
        <v>4712</v>
      </c>
      <c r="R11" s="1113" t="n">
        <v>68226</v>
      </c>
      <c r="S11" s="1113" t="n">
        <v>4261</v>
      </c>
      <c r="T11" s="1113" t="n">
        <v>62212</v>
      </c>
      <c r="U11" s="1113" t="n">
        <v>4865</v>
      </c>
      <c r="V11" s="1113" t="n">
        <v>70410</v>
      </c>
      <c r="W11" s="1113" t="n">
        <v>6505</v>
      </c>
      <c r="X11" s="1113" t="n">
        <v>93370</v>
      </c>
      <c r="Y11" s="1113" t="n">
        <v>4340</v>
      </c>
      <c r="Z11" s="1113" t="n">
        <v>63810</v>
      </c>
      <c r="AA11" s="1113" t="n">
        <v>5230</v>
      </c>
      <c r="AB11" s="1113" t="n">
        <v>91520</v>
      </c>
      <c r="AC11" s="1113" t="n">
        <v>5835</v>
      </c>
      <c r="AD11" s="1113" t="n">
        <v>85990</v>
      </c>
      <c r="AE11" s="1114">
        <f>G11+I11+K11+M11+O11+Q11+S11+U11+W11+Y11+AA11+AC11</f>
        <v/>
      </c>
      <c r="AF11" s="1114">
        <f>H11+J11+L11+N11+P11+R11+T11+V11+X11+Z11+AB11+AD11</f>
        <v/>
      </c>
      <c r="AG11" s="1115" t="n">
        <v>5550</v>
      </c>
      <c r="AH11" s="1115" t="n">
        <v>81900</v>
      </c>
      <c r="AI11" s="1115" t="n">
        <v>52488.00000000001</v>
      </c>
      <c r="AJ11" s="1115" t="n">
        <v>5550</v>
      </c>
      <c r="AK11" s="1115" t="n">
        <v>80910</v>
      </c>
      <c r="AL11" s="1115" t="n">
        <v>51892.8</v>
      </c>
      <c r="AM11" s="1115" t="n">
        <v>5550</v>
      </c>
      <c r="AN11" s="1115" t="n">
        <v>85100</v>
      </c>
      <c r="AO11" s="1115" t="n">
        <v>57300.8</v>
      </c>
      <c r="AP11" s="1115" t="n">
        <v>4305</v>
      </c>
      <c r="AQ11" s="1115" t="n">
        <v>63220</v>
      </c>
      <c r="AR11" s="1115" t="n">
        <v>40928.8</v>
      </c>
      <c r="AS11" s="1115" t="n">
        <v>6520</v>
      </c>
      <c r="AT11" s="1115" t="n">
        <v>95580</v>
      </c>
      <c r="AU11" s="1115" t="n">
        <v>61207.20000000001</v>
      </c>
      <c r="AV11" s="1115" t="n">
        <v>5825</v>
      </c>
      <c r="AW11" s="1115" t="n">
        <v>87000</v>
      </c>
      <c r="AX11" s="1115" t="n">
        <v>55824.00000000001</v>
      </c>
      <c r="AY11" s="1115" t="n">
        <v>4150</v>
      </c>
      <c r="AZ11" s="1115" t="n">
        <v>61500</v>
      </c>
      <c r="BA11" s="1115" t="n">
        <v>39395.99999999999</v>
      </c>
      <c r="BB11" s="1115" t="n">
        <v>5395</v>
      </c>
      <c r="BC11" s="1115" t="n">
        <v>78630</v>
      </c>
      <c r="BD11" s="1115" t="n">
        <v>50395.2</v>
      </c>
      <c r="BE11" s="1115" t="n">
        <v>4715</v>
      </c>
      <c r="BF11" s="1115" t="n">
        <v>69310</v>
      </c>
      <c r="BG11" s="1115" t="n">
        <v>44358.40000000001</v>
      </c>
      <c r="BH11" s="1115" t="n">
        <v>6470</v>
      </c>
      <c r="BI11" s="1115" t="n">
        <v>94780</v>
      </c>
      <c r="BJ11" s="1115" t="n">
        <v>60731.2</v>
      </c>
      <c r="BK11" s="1115" t="n">
        <v>6715</v>
      </c>
      <c r="BL11" s="1115" t="n">
        <v>98860</v>
      </c>
      <c r="BM11" s="1115" t="n">
        <v>63306.4</v>
      </c>
      <c r="BN11" s="1115" t="n">
        <v>6600</v>
      </c>
      <c r="BO11" s="1115" t="n">
        <v>99440</v>
      </c>
      <c r="BP11" s="1115" t="n">
        <v>63699.2</v>
      </c>
      <c r="BQ11" s="1114">
        <f>AG11+AJ11+AM11+AP11+AS11+AV11+AY11+BB11+BE11+BH11+BK11+BN11</f>
        <v/>
      </c>
      <c r="BR11" s="1114">
        <f>AH11+AK11+AN11+AQ11+AT11+AW11+AZ11+BC11+BF11+BI11+BL11+BO11</f>
        <v/>
      </c>
      <c r="BS11" s="1114">
        <f>AI11+AL11+AO11+AR11+AU11+AX11+BA11+BD11+BG11+BJ11+BM11+BP11</f>
        <v/>
      </c>
      <c r="BT11" s="1114">
        <f>(AG11+AJ11)/2</f>
        <v/>
      </c>
      <c r="BU11" s="1114">
        <f>(AH11+AK11)/2</f>
        <v/>
      </c>
      <c r="BV11" s="1114">
        <f>(AI11+AL11)/2</f>
        <v/>
      </c>
      <c r="BW11" s="1114">
        <f>BQ11/12</f>
        <v/>
      </c>
      <c r="BX11" s="1114">
        <f>BR11/12</f>
        <v/>
      </c>
      <c r="BY11" s="1114">
        <f>BS11/12</f>
        <v/>
      </c>
      <c r="BZ11" s="1115" t="n">
        <v>5550</v>
      </c>
      <c r="CA11" s="869" t="n">
        <v>83900</v>
      </c>
      <c r="CB11" s="869" t="n">
        <v>53732</v>
      </c>
      <c r="CC11" s="1058" t="n">
        <v>4605</v>
      </c>
      <c r="CD11" s="1058" t="n">
        <v>69770</v>
      </c>
      <c r="CE11" s="1058" t="n">
        <v>44688.8</v>
      </c>
      <c r="CF11" s="869" t="n"/>
      <c r="CG11" s="869" t="n"/>
      <c r="CH11" s="869" t="n"/>
      <c r="CI11" s="869" t="n"/>
      <c r="CJ11" s="869" t="n"/>
      <c r="CK11" s="869" t="n"/>
      <c r="CL11" s="869" t="n"/>
      <c r="CM11" s="869" t="n"/>
      <c r="CN11" s="869" t="n"/>
      <c r="CO11" s="869" t="n"/>
      <c r="CP11" s="869" t="n"/>
      <c r="CQ11" s="869" t="n"/>
      <c r="CR11" s="869" t="n"/>
      <c r="CS11" s="869" t="n"/>
      <c r="CT11" s="869" t="n"/>
      <c r="CU11" s="869" t="n"/>
      <c r="CV11" s="869" t="n"/>
      <c r="CW11" s="869" t="n"/>
      <c r="CX11" s="869" t="n"/>
      <c r="CY11" s="869" t="n"/>
      <c r="CZ11" s="869" t="n"/>
      <c r="DA11" s="869" t="n"/>
      <c r="DB11" s="869" t="n"/>
      <c r="DC11" s="869" t="n"/>
      <c r="DD11" s="869" t="n"/>
      <c r="DE11" s="869" t="n"/>
      <c r="DF11" s="869" t="n"/>
      <c r="DG11" s="869" t="n"/>
      <c r="DH11" s="869" t="n"/>
      <c r="DI11" s="869" t="n"/>
      <c r="DJ11" s="1116">
        <f>BZ11+CC11+CF11+CI11+CL11+CO11+CR11+CU11+CX11+DA11+DD11+DG11</f>
        <v/>
      </c>
      <c r="DK11" s="1116">
        <f>CA11+CD11+CG11+CJ11+CM11+CP11+CS11+CV11+CY11+DB11+DE11+DH11</f>
        <v/>
      </c>
      <c r="DL11" s="1116">
        <f>CB11+CE11+CH11+CK11+CN11+CQ11+CT11+CW11+CZ11+DC11+DF11+DI11</f>
        <v/>
      </c>
      <c r="DM11" s="1117">
        <f>DJ11/2</f>
        <v/>
      </c>
      <c r="DN11" s="1117">
        <f>DK11/2</f>
        <v/>
      </c>
      <c r="DO11" s="1118">
        <f>DL11/2</f>
        <v/>
      </c>
      <c r="DP11" s="1119">
        <f>DO11/BV11*100-100</f>
        <v/>
      </c>
      <c r="DQ11" s="1120">
        <f>DO11/BY11*100-100</f>
        <v/>
      </c>
    </row>
    <row r="12">
      <c r="A12" s="869" t="n">
        <v>9</v>
      </c>
      <c r="B12" s="869" t="inlineStr">
        <is>
          <t>လွင်</t>
        </is>
      </c>
      <c r="C12" s="869" t="inlineStr">
        <is>
          <t>Lwin</t>
        </is>
      </c>
      <c r="D12" s="869" t="inlineStr">
        <is>
          <t>ကျောက်ပန်းတောင်း</t>
        </is>
      </c>
      <c r="E12" s="869" t="inlineStr">
        <is>
          <t>Kyaukpadaung</t>
        </is>
      </c>
      <c r="F12" s="584" t="inlineStr">
        <is>
          <t>Contract</t>
        </is>
      </c>
      <c r="G12" s="1113" t="n">
        <v>1900</v>
      </c>
      <c r="H12" s="1113" t="n">
        <v>26500</v>
      </c>
      <c r="I12" s="1113" t="n">
        <v>1320</v>
      </c>
      <c r="J12" s="1113" t="n">
        <v>18670</v>
      </c>
      <c r="K12" s="1113" t="n">
        <v>1405</v>
      </c>
      <c r="L12" s="1113" t="n">
        <v>19570</v>
      </c>
      <c r="M12" s="1113" t="n">
        <v>1325</v>
      </c>
      <c r="N12" s="1113" t="n">
        <v>18550</v>
      </c>
      <c r="O12" s="1113" t="n">
        <v>1899</v>
      </c>
      <c r="P12" s="1113" t="n">
        <v>28474</v>
      </c>
      <c r="Q12" s="1113" t="n">
        <v>2200</v>
      </c>
      <c r="R12" s="1113" t="n">
        <v>30760</v>
      </c>
      <c r="S12" s="1113" t="n">
        <v>1920</v>
      </c>
      <c r="T12" s="1113" t="n">
        <v>28700</v>
      </c>
      <c r="U12" s="1113" t="n">
        <v>1905</v>
      </c>
      <c r="V12" s="1113" t="n">
        <v>28150</v>
      </c>
      <c r="W12" s="1113" t="n">
        <v>2425</v>
      </c>
      <c r="X12" s="1113" t="n">
        <v>35860</v>
      </c>
      <c r="Y12" s="1113" t="n">
        <v>2490</v>
      </c>
      <c r="Z12" s="1113" t="n">
        <v>36740</v>
      </c>
      <c r="AA12" s="1113" t="n">
        <v>2900</v>
      </c>
      <c r="AB12" s="1113" t="n">
        <v>43640</v>
      </c>
      <c r="AC12" s="1113" t="n">
        <v>2758</v>
      </c>
      <c r="AD12" s="1113" t="n">
        <v>41692</v>
      </c>
      <c r="AE12" s="1114">
        <f>G12+I12+K12+M12+O12+Q12+S12+U12+W12+Y12+AA12+AC12</f>
        <v/>
      </c>
      <c r="AF12" s="1114">
        <f>H12+J12+L12+N12+P12+R12+T12+V12+X12+Z12+AB12+AD12</f>
        <v/>
      </c>
      <c r="AG12" s="1115" t="n">
        <v>2720</v>
      </c>
      <c r="AH12" s="1115" t="n">
        <v>42860</v>
      </c>
      <c r="AI12" s="1115" t="n">
        <v>27137.6</v>
      </c>
      <c r="AJ12" s="1115" t="n">
        <v>2080</v>
      </c>
      <c r="AK12" s="1115" t="n">
        <v>31420</v>
      </c>
      <c r="AL12" s="1115" t="n">
        <v>19916.8</v>
      </c>
      <c r="AM12" s="1115" t="n">
        <v>2548</v>
      </c>
      <c r="AN12" s="1115" t="n">
        <v>38072</v>
      </c>
      <c r="AO12" s="1115" t="n">
        <v>24246.08</v>
      </c>
      <c r="AP12" s="1115" t="n">
        <v>2760</v>
      </c>
      <c r="AQ12" s="1115" t="n">
        <v>42680</v>
      </c>
      <c r="AR12" s="1115" t="n">
        <v>27108.8</v>
      </c>
      <c r="AS12" s="1115" t="n">
        <v>2703</v>
      </c>
      <c r="AT12" s="1115" t="n">
        <v>40712</v>
      </c>
      <c r="AU12" s="1115" t="n">
        <v>26277.2</v>
      </c>
      <c r="AV12" s="1115" t="n">
        <v>2982</v>
      </c>
      <c r="AW12" s="1115" t="n">
        <v>45668</v>
      </c>
      <c r="AX12" s="1115" t="n">
        <v>29085.2</v>
      </c>
      <c r="AY12" s="1115" t="n">
        <v>2720</v>
      </c>
      <c r="AZ12" s="1115" t="n">
        <v>40890</v>
      </c>
      <c r="BA12" s="1115" t="n">
        <v>26629.2</v>
      </c>
      <c r="BB12" s="1115" t="n">
        <v>2949</v>
      </c>
      <c r="BC12" s="1115" t="n">
        <v>44396</v>
      </c>
      <c r="BD12" s="1115" t="n">
        <v>28811.84</v>
      </c>
      <c r="BE12" s="1115" t="n">
        <v>3354</v>
      </c>
      <c r="BF12" s="1115" t="n">
        <v>50696</v>
      </c>
      <c r="BG12" s="1115" t="n">
        <v>32971.04</v>
      </c>
      <c r="BH12" s="1115" t="n">
        <v>3205</v>
      </c>
      <c r="BI12" s="1115" t="n">
        <v>47960</v>
      </c>
      <c r="BJ12" s="1115" t="n">
        <v>31518.8</v>
      </c>
      <c r="BK12" s="1115" t="n">
        <v>3345</v>
      </c>
      <c r="BL12" s="1115" t="n">
        <v>50810</v>
      </c>
      <c r="BM12" s="1115" t="n">
        <v>33755.6</v>
      </c>
      <c r="BN12" s="1115" t="n">
        <v>3725</v>
      </c>
      <c r="BO12" s="1115" t="n">
        <v>57280</v>
      </c>
      <c r="BP12" s="1115" t="n">
        <v>37017.99999999999</v>
      </c>
      <c r="BQ12" s="1114">
        <f>AG12+AJ12+AM12+AP12+AS12+AV12+AY12+BB12+BE12+BH12+BK12+BN12</f>
        <v/>
      </c>
      <c r="BR12" s="1114">
        <f>AH12+AK12+AN12+AQ12+AT12+AW12+AZ12+BC12+BF12+BI12+BL12+BO12</f>
        <v/>
      </c>
      <c r="BS12" s="1114">
        <f>AI12+AL12+AO12+AR12+AU12+AX12+BA12+BD12+BG12+BJ12+BM12+BP12</f>
        <v/>
      </c>
      <c r="BT12" s="1114">
        <f>(AG12+AJ12)/2</f>
        <v/>
      </c>
      <c r="BU12" s="1114">
        <f>(AH12+AK12)/2</f>
        <v/>
      </c>
      <c r="BV12" s="1114">
        <f>(AI12+AL12)/2</f>
        <v/>
      </c>
      <c r="BW12" s="1114">
        <f>BQ12/12</f>
        <v/>
      </c>
      <c r="BX12" s="1114">
        <f>BR12/12</f>
        <v/>
      </c>
      <c r="BY12" s="1114">
        <f>BS12/12</f>
        <v/>
      </c>
      <c r="BZ12" s="1115" t="n">
        <v>3105</v>
      </c>
      <c r="CA12" s="869" t="n">
        <v>45700</v>
      </c>
      <c r="CB12" s="869" t="n">
        <v>29945.2</v>
      </c>
      <c r="CC12" s="1058" t="n">
        <v>2380</v>
      </c>
      <c r="CD12" s="1058" t="n">
        <v>36340</v>
      </c>
      <c r="CE12" s="1058" t="n">
        <v>24061.6</v>
      </c>
      <c r="CF12" s="869" t="n"/>
      <c r="CG12" s="869" t="n"/>
      <c r="CH12" s="869" t="n"/>
      <c r="CI12" s="869" t="n"/>
      <c r="CJ12" s="869" t="n"/>
      <c r="CK12" s="869" t="n"/>
      <c r="CL12" s="869" t="n"/>
      <c r="CM12" s="869" t="n"/>
      <c r="CN12" s="869" t="n"/>
      <c r="CO12" s="869" t="n"/>
      <c r="CP12" s="869" t="n"/>
      <c r="CQ12" s="869" t="n"/>
      <c r="CR12" s="869" t="n"/>
      <c r="CS12" s="869" t="n"/>
      <c r="CT12" s="869" t="n"/>
      <c r="CU12" s="869" t="n"/>
      <c r="CV12" s="869" t="n"/>
      <c r="CW12" s="869" t="n"/>
      <c r="CX12" s="869" t="n"/>
      <c r="CY12" s="869" t="n"/>
      <c r="CZ12" s="869" t="n"/>
      <c r="DA12" s="869" t="n"/>
      <c r="DB12" s="869" t="n"/>
      <c r="DC12" s="869" t="n"/>
      <c r="DD12" s="869" t="n"/>
      <c r="DE12" s="869" t="n"/>
      <c r="DF12" s="869" t="n"/>
      <c r="DG12" s="869" t="n"/>
      <c r="DH12" s="869" t="n"/>
      <c r="DI12" s="869" t="n"/>
      <c r="DJ12" s="1116">
        <f>BZ12+CC12+CF12+CI12+CL12+CO12+CR12+CU12+CX12+DA12+DD12+DG12</f>
        <v/>
      </c>
      <c r="DK12" s="1116">
        <f>CA12+CD12+CG12+CJ12+CM12+CP12+CS12+CV12+CY12+DB12+DE12+DH12</f>
        <v/>
      </c>
      <c r="DL12" s="1116">
        <f>CB12+CE12+CH12+CK12+CN12+CQ12+CT12+CW12+CZ12+DC12+DF12+DI12</f>
        <v/>
      </c>
      <c r="DM12" s="1117">
        <f>DJ12/2</f>
        <v/>
      </c>
      <c r="DN12" s="1117">
        <f>DK12/2</f>
        <v/>
      </c>
      <c r="DO12" s="1118">
        <f>DL12/2</f>
        <v/>
      </c>
      <c r="DP12" s="1121">
        <f>DO12/BV12*100-100</f>
        <v/>
      </c>
      <c r="DQ12" s="1120">
        <f>DO12/BY12*100-100</f>
        <v/>
      </c>
    </row>
    <row r="13">
      <c r="A13" s="869" t="n">
        <v>10</v>
      </c>
      <c r="B13" s="869" t="inlineStr">
        <is>
          <t>ဦးစိုးဝင်း</t>
        </is>
      </c>
      <c r="C13" s="869" t="inlineStr">
        <is>
          <t>U Soe Win</t>
        </is>
      </c>
      <c r="D13" s="869" t="inlineStr">
        <is>
          <t>ကျောက်ပန်းတောင်း</t>
        </is>
      </c>
      <c r="E13" s="869" t="inlineStr">
        <is>
          <t>Kyaukpadaung</t>
        </is>
      </c>
      <c r="F13" s="584" t="inlineStr">
        <is>
          <t>Contract</t>
        </is>
      </c>
      <c r="G13" s="1113" t="n">
        <v>920</v>
      </c>
      <c r="H13" s="1113" t="n">
        <v>12680</v>
      </c>
      <c r="I13" s="1113" t="n">
        <v>1180</v>
      </c>
      <c r="J13" s="1113" t="n">
        <v>16820</v>
      </c>
      <c r="K13" s="1113" t="n">
        <v>1600</v>
      </c>
      <c r="L13" s="1113" t="n">
        <v>22400</v>
      </c>
      <c r="M13" s="1113" t="n">
        <v>1400</v>
      </c>
      <c r="N13" s="1113" t="n">
        <v>19300</v>
      </c>
      <c r="O13" s="1113" t="n">
        <v>1850</v>
      </c>
      <c r="P13" s="1113" t="n">
        <v>26900</v>
      </c>
      <c r="Q13" s="1113" t="n">
        <v>1830</v>
      </c>
      <c r="R13" s="1113" t="n">
        <v>25720</v>
      </c>
      <c r="S13" s="1113" t="n">
        <v>1630</v>
      </c>
      <c r="T13" s="1113" t="n">
        <v>22460</v>
      </c>
      <c r="U13" s="1113" t="n">
        <v>1940</v>
      </c>
      <c r="V13" s="1113" t="n">
        <v>27060</v>
      </c>
      <c r="W13" s="1113" t="n">
        <v>770</v>
      </c>
      <c r="X13" s="1113" t="n">
        <v>11380</v>
      </c>
      <c r="Y13" s="1113" t="n">
        <v>2013</v>
      </c>
      <c r="Z13" s="1113" t="n">
        <v>27718</v>
      </c>
      <c r="AA13" s="1113" t="n">
        <v>1269</v>
      </c>
      <c r="AB13" s="1113" t="n">
        <v>19478</v>
      </c>
      <c r="AC13" s="1113" t="n">
        <v>2030</v>
      </c>
      <c r="AD13" s="1113" t="n">
        <v>27420</v>
      </c>
      <c r="AE13" s="1114">
        <f>G13+I13+K13+M13+O13+Q13+S13+U13+W13+Y13+AA13+AC13</f>
        <v/>
      </c>
      <c r="AF13" s="1114">
        <f>H13+J13+L13+N13+P13+R13+T13+V13+X13+Z13+AB13+AD13</f>
        <v/>
      </c>
      <c r="AG13" s="1115" t="n">
        <v>1861</v>
      </c>
      <c r="AH13" s="1115" t="n">
        <v>27924</v>
      </c>
      <c r="AI13" s="1115" t="n">
        <v>18806.4</v>
      </c>
      <c r="AJ13" s="1115" t="n">
        <v>1730</v>
      </c>
      <c r="AK13" s="1115" t="n">
        <v>24520</v>
      </c>
      <c r="AL13" s="1115" t="n">
        <v>15692.8</v>
      </c>
      <c r="AM13" s="1115" t="n">
        <v>1215</v>
      </c>
      <c r="AN13" s="1115" t="n">
        <v>17560</v>
      </c>
      <c r="AO13" s="1115" t="n">
        <v>13398.4</v>
      </c>
      <c r="AP13" s="1115" t="n">
        <v>1500</v>
      </c>
      <c r="AQ13" s="1115" t="n">
        <v>23000</v>
      </c>
      <c r="AR13" s="1115" t="n">
        <v>15176</v>
      </c>
      <c r="AS13" s="1115" t="n">
        <v>2650</v>
      </c>
      <c r="AT13" s="1115" t="n">
        <v>38800</v>
      </c>
      <c r="AU13" s="1115" t="n">
        <v>26320</v>
      </c>
      <c r="AV13" s="1115" t="n">
        <v>2238.5</v>
      </c>
      <c r="AW13" s="1115" t="n">
        <v>33512</v>
      </c>
      <c r="AX13" s="1115" t="n">
        <v>22238.6</v>
      </c>
      <c r="AY13" s="1115" t="n">
        <v>1400</v>
      </c>
      <c r="AZ13" s="1115" t="n">
        <v>19900</v>
      </c>
      <c r="BA13" s="1115" t="n">
        <v>14152</v>
      </c>
      <c r="BB13" s="1115" t="n">
        <v>2160</v>
      </c>
      <c r="BC13" s="1115" t="n">
        <v>33840</v>
      </c>
      <c r="BD13" s="1115" t="n">
        <v>22353.6</v>
      </c>
      <c r="BE13" s="1115" t="n">
        <v>2515</v>
      </c>
      <c r="BF13" s="1115" t="n">
        <v>33360</v>
      </c>
      <c r="BG13" s="1115" t="n">
        <v>25670.4</v>
      </c>
      <c r="BH13" s="1115" t="n">
        <v>1765</v>
      </c>
      <c r="BI13" s="1115" t="n">
        <v>28760</v>
      </c>
      <c r="BJ13" s="1115" t="n">
        <v>18238.4</v>
      </c>
      <c r="BK13" s="1115" t="n">
        <v>3915</v>
      </c>
      <c r="BL13" s="1115" t="n">
        <v>60560</v>
      </c>
      <c r="BM13" s="1115" t="n">
        <v>39046.4</v>
      </c>
      <c r="BN13" s="1115" t="n">
        <v>2060</v>
      </c>
      <c r="BO13" s="1115" t="n">
        <v>34440</v>
      </c>
      <c r="BP13" s="1115" t="n">
        <v>23625.6</v>
      </c>
      <c r="BQ13" s="1114">
        <f>AG13+AJ13+AM13+AP13+AS13+AV13+AY13+BB13+BE13+BH13+BK13+BN13</f>
        <v/>
      </c>
      <c r="BR13" s="1114">
        <f>AH13+AK13+AN13+AQ13+AT13+AW13+AZ13+BC13+BF13+BI13+BL13+BO13</f>
        <v/>
      </c>
      <c r="BS13" s="1114">
        <f>AI13+AL13+AO13+AR13+AU13+AX13+BA13+BD13+BG13+BJ13+BM13+BP13</f>
        <v/>
      </c>
      <c r="BT13" s="1114">
        <f>(AG13+AJ13)/2</f>
        <v/>
      </c>
      <c r="BU13" s="1114">
        <f>(AH13+AK13)/2</f>
        <v/>
      </c>
      <c r="BV13" s="1114">
        <f>(AI13+AL13)/2</f>
        <v/>
      </c>
      <c r="BW13" s="1114">
        <f>BQ13/12</f>
        <v/>
      </c>
      <c r="BX13" s="1114">
        <f>BR13/12</f>
        <v/>
      </c>
      <c r="BY13" s="1114">
        <f>BS13/12</f>
        <v/>
      </c>
      <c r="BZ13" s="1115" t="n">
        <v>880</v>
      </c>
      <c r="CA13" s="869" t="n">
        <v>12620</v>
      </c>
      <c r="CB13" s="869" t="n">
        <v>8076.8</v>
      </c>
      <c r="CC13" s="1058" t="n">
        <v>510</v>
      </c>
      <c r="CD13" s="1058" t="n">
        <v>7740</v>
      </c>
      <c r="CE13" s="1058" t="n">
        <v>4953.6</v>
      </c>
      <c r="CF13" s="869" t="n"/>
      <c r="CG13" s="869" t="n"/>
      <c r="CH13" s="869" t="n"/>
      <c r="CI13" s="869" t="n"/>
      <c r="CJ13" s="869" t="n"/>
      <c r="CK13" s="869" t="n"/>
      <c r="CL13" s="869" t="n"/>
      <c r="CM13" s="869" t="n"/>
      <c r="CN13" s="869" t="n"/>
      <c r="CO13" s="869" t="n"/>
      <c r="CP13" s="869" t="n"/>
      <c r="CQ13" s="869" t="n"/>
      <c r="CR13" s="869" t="n"/>
      <c r="CS13" s="869" t="n"/>
      <c r="CT13" s="869" t="n"/>
      <c r="CU13" s="869" t="n"/>
      <c r="CV13" s="869" t="n"/>
      <c r="CW13" s="869" t="n"/>
      <c r="CX13" s="869" t="n"/>
      <c r="CY13" s="869" t="n"/>
      <c r="CZ13" s="869" t="n"/>
      <c r="DA13" s="869" t="n"/>
      <c r="DB13" s="869" t="n"/>
      <c r="DC13" s="869" t="n"/>
      <c r="DD13" s="869" t="n"/>
      <c r="DE13" s="869" t="n"/>
      <c r="DF13" s="869" t="n"/>
      <c r="DG13" s="869" t="n"/>
      <c r="DH13" s="869" t="n"/>
      <c r="DI13" s="869" t="n"/>
      <c r="DJ13" s="1116">
        <f>BZ13+CC13+CF13+CI13+CL13+CO13+CR13+CU13+CX13+DA13+DD13+DG13</f>
        <v/>
      </c>
      <c r="DK13" s="1116">
        <f>CA13+CD13+CG13+CJ13+CM13+CP13+CS13+CV13+CY13+DB13+DE13+DH13</f>
        <v/>
      </c>
      <c r="DL13" s="1116">
        <f>CB13+CE13+CH13+CK13+CN13+CQ13+CT13+CW13+CZ13+DC13+DF13+DI13</f>
        <v/>
      </c>
      <c r="DM13" s="1117">
        <f>DJ13/2</f>
        <v/>
      </c>
      <c r="DN13" s="1117">
        <f>DK13/2</f>
        <v/>
      </c>
      <c r="DO13" s="1118">
        <f>DL13/2</f>
        <v/>
      </c>
      <c r="DP13" s="1119">
        <f>DO13/BV13*100-100</f>
        <v/>
      </c>
      <c r="DQ13" s="1120">
        <f>DO13/BY13*100-100</f>
        <v/>
      </c>
      <c r="DR13" s="820" t="inlineStr">
        <is>
          <t>Must Grow</t>
        </is>
      </c>
    </row>
    <row r="14">
      <c r="A14" s="869" t="n">
        <v>11</v>
      </c>
      <c r="B14" s="869" t="inlineStr">
        <is>
          <t>ဦးသိန်းစိုး</t>
        </is>
      </c>
      <c r="C14" s="869" t="inlineStr">
        <is>
          <t>U Thein Soe</t>
        </is>
      </c>
      <c r="D14" s="869" t="inlineStr">
        <is>
          <t>ကျောက်ပန်းတောင်း</t>
        </is>
      </c>
      <c r="E14" s="869" t="inlineStr">
        <is>
          <t>Kyaukpadaung</t>
        </is>
      </c>
      <c r="F14" s="584" t="inlineStr">
        <is>
          <t>Contract</t>
        </is>
      </c>
      <c r="G14" s="1113" t="n">
        <v>1470</v>
      </c>
      <c r="H14" s="1113" t="n">
        <v>21680</v>
      </c>
      <c r="I14" s="1113" t="n">
        <v>610</v>
      </c>
      <c r="J14" s="1113" t="n">
        <v>9660</v>
      </c>
      <c r="K14" s="1113" t="n">
        <v>700</v>
      </c>
      <c r="L14" s="1113" t="n">
        <v>9800</v>
      </c>
      <c r="M14" s="1113" t="n">
        <v>1450</v>
      </c>
      <c r="N14" s="1113" t="n">
        <v>20200</v>
      </c>
      <c r="O14" s="1113" t="n">
        <v>742</v>
      </c>
      <c r="P14" s="1113" t="n">
        <v>14216</v>
      </c>
      <c r="Q14" s="1113" t="n">
        <v>1540</v>
      </c>
      <c r="R14" s="1113" t="n">
        <v>22060</v>
      </c>
      <c r="S14" s="1113" t="n">
        <v>1010</v>
      </c>
      <c r="T14" s="1113" t="n">
        <v>16740</v>
      </c>
      <c r="U14" s="1113" t="n">
        <v>1098</v>
      </c>
      <c r="V14" s="1113" t="n">
        <v>17980</v>
      </c>
      <c r="W14" s="1113" t="n">
        <v>960</v>
      </c>
      <c r="X14" s="1113" t="n">
        <v>16050</v>
      </c>
      <c r="Y14" s="1113" t="n">
        <v>1820</v>
      </c>
      <c r="Z14" s="1113" t="n">
        <v>30672</v>
      </c>
      <c r="AA14" s="1113" t="n">
        <v>1084</v>
      </c>
      <c r="AB14" s="1113" t="n">
        <v>15542</v>
      </c>
      <c r="AC14" s="1113" t="n">
        <v>1423</v>
      </c>
      <c r="AD14" s="1113" t="n">
        <v>22122</v>
      </c>
      <c r="AE14" s="1114">
        <f>G14+I14+K14+M14+O14+Q14+S14+U14+W14+Y14+AA14+AC14</f>
        <v/>
      </c>
      <c r="AF14" s="1114">
        <f>H14+J14+L14+N14+P14+R14+T14+V14+X14+Z14+AB14+AD14</f>
        <v/>
      </c>
      <c r="AG14" s="1115" t="n">
        <v>1225</v>
      </c>
      <c r="AH14" s="1115" t="n">
        <v>17820</v>
      </c>
      <c r="AI14" s="1115" t="n">
        <v>11811.6</v>
      </c>
      <c r="AJ14" s="1115" t="n">
        <v>990</v>
      </c>
      <c r="AK14" s="1115" t="n">
        <v>17260</v>
      </c>
      <c r="AL14" s="1115" t="n">
        <v>10806.4</v>
      </c>
      <c r="AM14" s="1115" t="n">
        <v>1114</v>
      </c>
      <c r="AN14" s="1115" t="n">
        <v>15796</v>
      </c>
      <c r="AO14" s="1115" t="n">
        <v>10748.8</v>
      </c>
      <c r="AP14" s="1115" t="n">
        <v>1350</v>
      </c>
      <c r="AQ14" s="1115" t="n">
        <v>22700</v>
      </c>
      <c r="AR14" s="1115" t="n">
        <v>14456</v>
      </c>
      <c r="AS14" s="1115" t="n">
        <v>1386</v>
      </c>
      <c r="AT14" s="1115" t="n">
        <v>20116</v>
      </c>
      <c r="AU14" s="1115" t="n">
        <v>13031.2</v>
      </c>
      <c r="AV14" s="1115" t="n">
        <v>1339.5</v>
      </c>
      <c r="AW14" s="1115" t="n">
        <v>20912</v>
      </c>
      <c r="AX14" s="1115" t="n">
        <v>13580.6</v>
      </c>
      <c r="AY14" s="1115" t="n">
        <v>820</v>
      </c>
      <c r="AZ14" s="1115" t="n">
        <v>13060</v>
      </c>
      <c r="BA14" s="1115" t="n">
        <v>8152</v>
      </c>
      <c r="BB14" s="1115" t="n">
        <v>1395</v>
      </c>
      <c r="BC14" s="1115" t="n">
        <v>20980</v>
      </c>
      <c r="BD14" s="1115" t="n">
        <v>13345.6</v>
      </c>
      <c r="BE14" s="1115" t="n">
        <v>1000</v>
      </c>
      <c r="BF14" s="1115" t="n">
        <v>16300</v>
      </c>
      <c r="BG14" s="1115" t="n">
        <v>10240</v>
      </c>
      <c r="BH14" s="1115" t="n">
        <v>1000</v>
      </c>
      <c r="BI14" s="1115" t="n">
        <v>14600</v>
      </c>
      <c r="BJ14" s="1115" t="n">
        <v>10112</v>
      </c>
      <c r="BK14" s="1115" t="n">
        <v>1360</v>
      </c>
      <c r="BL14" s="1115" t="n">
        <v>21140</v>
      </c>
      <c r="BM14" s="1115" t="n">
        <v>13356.8</v>
      </c>
      <c r="BN14" s="1115" t="n">
        <v>1280</v>
      </c>
      <c r="BO14" s="1115" t="n">
        <v>22220</v>
      </c>
      <c r="BP14" s="1115" t="n">
        <v>13836.8</v>
      </c>
      <c r="BQ14" s="1114">
        <f>AG14+AJ14+AM14+AP14+AS14+AV14+AY14+BB14+BE14+BH14+BK14+BN14</f>
        <v/>
      </c>
      <c r="BR14" s="1114">
        <f>AH14+AK14+AN14+AQ14+AT14+AW14+AZ14+BC14+BF14+BI14+BL14+BO14</f>
        <v/>
      </c>
      <c r="BS14" s="1114">
        <f>AI14+AL14+AO14+AR14+AU14+AX14+BA14+BD14+BG14+BJ14+BM14+BP14</f>
        <v/>
      </c>
      <c r="BT14" s="1114">
        <f>(AG14+AJ14)/2</f>
        <v/>
      </c>
      <c r="BU14" s="1114">
        <f>(AH14+AK14)/2</f>
        <v/>
      </c>
      <c r="BV14" s="1114">
        <f>(AI14+AL14)/2</f>
        <v/>
      </c>
      <c r="BW14" s="1114">
        <f>BQ14/12</f>
        <v/>
      </c>
      <c r="BX14" s="1114">
        <f>BR14/12</f>
        <v/>
      </c>
      <c r="BY14" s="1114">
        <f>BS14/12</f>
        <v/>
      </c>
      <c r="BZ14" s="1115" t="n">
        <v>1135</v>
      </c>
      <c r="CA14" s="869" t="n">
        <v>17790</v>
      </c>
      <c r="CB14" s="869" t="n">
        <v>11673.6</v>
      </c>
      <c r="CC14" s="1058" t="n">
        <v>930</v>
      </c>
      <c r="CD14" s="1058" t="n">
        <v>13120</v>
      </c>
      <c r="CE14" s="1058" t="n">
        <v>8828.799999999999</v>
      </c>
      <c r="CF14" s="869" t="n"/>
      <c r="CG14" s="869" t="n"/>
      <c r="CH14" s="869" t="n"/>
      <c r="CI14" s="869" t="n"/>
      <c r="CJ14" s="869" t="n"/>
      <c r="CK14" s="869" t="n"/>
      <c r="CL14" s="869" t="n"/>
      <c r="CM14" s="869" t="n"/>
      <c r="CN14" s="869" t="n"/>
      <c r="CO14" s="869" t="n"/>
      <c r="CP14" s="869" t="n"/>
      <c r="CQ14" s="869" t="n"/>
      <c r="CR14" s="869" t="n"/>
      <c r="CS14" s="869" t="n"/>
      <c r="CT14" s="869" t="n"/>
      <c r="CU14" s="869" t="n"/>
      <c r="CV14" s="869" t="n"/>
      <c r="CW14" s="869" t="n"/>
      <c r="CX14" s="869" t="n"/>
      <c r="CY14" s="869" t="n"/>
      <c r="CZ14" s="869" t="n"/>
      <c r="DA14" s="869" t="n"/>
      <c r="DB14" s="869" t="n"/>
      <c r="DC14" s="869" t="n"/>
      <c r="DD14" s="869" t="n"/>
      <c r="DE14" s="869" t="n"/>
      <c r="DF14" s="869" t="n"/>
      <c r="DG14" s="869" t="n"/>
      <c r="DH14" s="869" t="n"/>
      <c r="DI14" s="869" t="n"/>
      <c r="DJ14" s="1116">
        <f>BZ14+CC14+CF14+CI14+CL14+CO14+CR14+CU14+CX14+DA14+DD14+DG14</f>
        <v/>
      </c>
      <c r="DK14" s="1116">
        <f>CA14+CD14+CG14+CJ14+CM14+CP14+CS14+CV14+CY14+DB14+DE14+DH14</f>
        <v/>
      </c>
      <c r="DL14" s="1116">
        <f>CB14+CE14+CH14+CK14+CN14+CQ14+CT14+CW14+CZ14+DC14+DF14+DI14</f>
        <v/>
      </c>
      <c r="DM14" s="1117">
        <f>DJ14/2</f>
        <v/>
      </c>
      <c r="DN14" s="1117">
        <f>DK14/2</f>
        <v/>
      </c>
      <c r="DO14" s="1118">
        <f>DL14/2</f>
        <v/>
      </c>
      <c r="DP14" s="1119">
        <f>DO14/BV14*100-100</f>
        <v/>
      </c>
      <c r="DQ14" s="1120">
        <f>DO14/BY14*100-100</f>
        <v/>
      </c>
      <c r="DR14" s="820" t="inlineStr">
        <is>
          <t>Must Grow</t>
        </is>
      </c>
    </row>
    <row r="15">
      <c r="A15" s="869" t="n">
        <v>12</v>
      </c>
      <c r="B15" s="869" t="inlineStr">
        <is>
          <t>ကောင်းထက်သူ</t>
        </is>
      </c>
      <c r="C15" s="869" t="inlineStr">
        <is>
          <t xml:space="preserve">Kaung Htet Thu </t>
        </is>
      </c>
      <c r="D15" s="869" t="inlineStr">
        <is>
          <t>ကျောက်ပန်းတောင်း</t>
        </is>
      </c>
      <c r="E15" s="869" t="inlineStr">
        <is>
          <t>Kyaukpadaung</t>
        </is>
      </c>
      <c r="F15" s="584" t="inlineStr">
        <is>
          <t>Contract</t>
        </is>
      </c>
      <c r="G15" s="1113" t="n">
        <v>700</v>
      </c>
      <c r="H15" s="1113" t="n">
        <v>9800</v>
      </c>
      <c r="I15" s="1113" t="n">
        <v>1130</v>
      </c>
      <c r="J15" s="1113" t="n">
        <v>16120</v>
      </c>
      <c r="K15" s="1113" t="n">
        <v>1150</v>
      </c>
      <c r="L15" s="1113" t="n">
        <v>16100</v>
      </c>
      <c r="M15" s="1113" t="n">
        <v>950</v>
      </c>
      <c r="N15" s="1113" t="n">
        <v>13800</v>
      </c>
      <c r="O15" s="1113" t="n">
        <v>1054</v>
      </c>
      <c r="P15" s="1113" t="n">
        <v>15236</v>
      </c>
      <c r="Q15" s="1113" t="n">
        <v>872</v>
      </c>
      <c r="R15" s="1113" t="n">
        <v>12916</v>
      </c>
      <c r="S15" s="1113" t="n">
        <v>1174</v>
      </c>
      <c r="T15" s="1113" t="n">
        <v>17426</v>
      </c>
      <c r="U15" s="1113" t="n">
        <v>1322</v>
      </c>
      <c r="V15" s="1113" t="n">
        <v>19476</v>
      </c>
      <c r="W15" s="1113" t="n">
        <v>1570</v>
      </c>
      <c r="X15" s="1113" t="n">
        <v>23980</v>
      </c>
      <c r="Y15" s="1113" t="n">
        <v>1355</v>
      </c>
      <c r="Z15" s="1113" t="n">
        <v>20478</v>
      </c>
      <c r="AA15" s="1113" t="n">
        <v>1225</v>
      </c>
      <c r="AB15" s="1113" t="n">
        <v>18780</v>
      </c>
      <c r="AC15" s="1113" t="n">
        <v>1237</v>
      </c>
      <c r="AD15" s="1113" t="n">
        <v>18298</v>
      </c>
      <c r="AE15" s="1114">
        <f>G15+I15+K15+M15+O15+Q15+S15+U15+W15+Y15+AA15+AC15</f>
        <v/>
      </c>
      <c r="AF15" s="1114">
        <f>H15+J15+L15+N15+P15+R15+T15+V15+X15+Z15+AB15+AD15</f>
        <v/>
      </c>
      <c r="AG15" s="1115" t="n">
        <v>1100</v>
      </c>
      <c r="AH15" s="1115" t="n">
        <v>15900</v>
      </c>
      <c r="AI15" s="1115" t="n">
        <v>10128</v>
      </c>
      <c r="AJ15" s="1115" t="n">
        <v>970</v>
      </c>
      <c r="AK15" s="1115" t="n">
        <v>14180</v>
      </c>
      <c r="AL15" s="1115" t="n">
        <v>9046.4</v>
      </c>
      <c r="AM15" s="1115" t="n">
        <v>590</v>
      </c>
      <c r="AN15" s="1115" t="n">
        <v>8660</v>
      </c>
      <c r="AO15" s="1115" t="n">
        <v>5523.2</v>
      </c>
      <c r="AP15" s="1115" t="n">
        <v>1060</v>
      </c>
      <c r="AQ15" s="1115" t="n">
        <v>15940</v>
      </c>
      <c r="AR15" s="1115" t="n">
        <v>10153.6</v>
      </c>
      <c r="AS15" s="1115" t="n">
        <v>1110.5</v>
      </c>
      <c r="AT15" s="1115" t="n">
        <v>16344</v>
      </c>
      <c r="AU15" s="1115" t="n">
        <v>10408.2</v>
      </c>
      <c r="AV15" s="1115" t="n">
        <v>1792.5</v>
      </c>
      <c r="AW15" s="1115" t="n">
        <v>25424</v>
      </c>
      <c r="AX15" s="1115" t="n">
        <v>16149.8</v>
      </c>
      <c r="AY15" s="1115" t="n">
        <v>550</v>
      </c>
      <c r="AZ15" s="1115" t="n">
        <v>7700</v>
      </c>
      <c r="BA15" s="1115" t="n">
        <v>4928</v>
      </c>
      <c r="BB15" s="1115" t="n">
        <v>1115</v>
      </c>
      <c r="BC15" s="1115" t="n">
        <v>16020</v>
      </c>
      <c r="BD15" s="1115" t="n">
        <v>10320</v>
      </c>
      <c r="BE15" s="1115" t="n">
        <v>868</v>
      </c>
      <c r="BF15" s="1115" t="n">
        <v>12612</v>
      </c>
      <c r="BG15" s="1115" t="n">
        <v>8110.08</v>
      </c>
      <c r="BH15" s="1115" t="n">
        <v>1200</v>
      </c>
      <c r="BI15" s="1115" t="n">
        <v>17320</v>
      </c>
      <c r="BJ15" s="1115" t="n">
        <v>11209.6</v>
      </c>
      <c r="BK15" s="1115" t="n">
        <v>885</v>
      </c>
      <c r="BL15" s="1115" t="n">
        <v>12480</v>
      </c>
      <c r="BM15" s="1115" t="n">
        <v>8116.799999999999</v>
      </c>
      <c r="BN15" s="1115" t="n">
        <v>1500</v>
      </c>
      <c r="BO15" s="1115" t="n">
        <v>21520</v>
      </c>
      <c r="BP15" s="1115" t="n">
        <v>13897.6</v>
      </c>
      <c r="BQ15" s="1114">
        <f>AG15+AJ15+AM15+AP15+AS15+AV15+AY15+BB15+BE15+BH15+BK15+BN15</f>
        <v/>
      </c>
      <c r="BR15" s="1114">
        <f>AH15+AK15+AN15+AQ15+AT15+AW15+AZ15+BC15+BF15+BI15+BL15+BO15</f>
        <v/>
      </c>
      <c r="BS15" s="1114">
        <f>AI15+AL15+AO15+AR15+AU15+AX15+BA15+BD15+BG15+BJ15+BM15+BP15</f>
        <v/>
      </c>
      <c r="BT15" s="1114">
        <f>(AG15+AJ15)/2</f>
        <v/>
      </c>
      <c r="BU15" s="1114">
        <f>(AH15+AK15)/2</f>
        <v/>
      </c>
      <c r="BV15" s="1114">
        <f>(AI15+AL15)/2</f>
        <v/>
      </c>
      <c r="BW15" s="1114">
        <f>BQ15/12</f>
        <v/>
      </c>
      <c r="BX15" s="1114">
        <f>BR15/12</f>
        <v/>
      </c>
      <c r="BY15" s="1114">
        <f>BS15/12</f>
        <v/>
      </c>
      <c r="BZ15" s="1115" t="n">
        <v>790</v>
      </c>
      <c r="CA15" s="869" t="n">
        <v>12220</v>
      </c>
      <c r="CB15" s="869" t="n">
        <v>7811.2</v>
      </c>
      <c r="CC15" s="1058" t="n">
        <v>1060</v>
      </c>
      <c r="CD15" s="1058" t="n">
        <v>15460</v>
      </c>
      <c r="CE15" s="1058" t="n">
        <v>10019.2</v>
      </c>
      <c r="CF15" s="869" t="n"/>
      <c r="CG15" s="869" t="n"/>
      <c r="CH15" s="869" t="n"/>
      <c r="CI15" s="869" t="n"/>
      <c r="CJ15" s="869" t="n"/>
      <c r="CK15" s="869" t="n"/>
      <c r="CL15" s="869" t="n"/>
      <c r="CM15" s="869" t="n"/>
      <c r="CN15" s="869" t="n"/>
      <c r="CO15" s="869" t="n"/>
      <c r="CP15" s="869" t="n"/>
      <c r="CQ15" s="869" t="n"/>
      <c r="CR15" s="869" t="n"/>
      <c r="CS15" s="869" t="n"/>
      <c r="CT15" s="869" t="n"/>
      <c r="CU15" s="869" t="n"/>
      <c r="CV15" s="869" t="n"/>
      <c r="CW15" s="869" t="n"/>
      <c r="CX15" s="869" t="n"/>
      <c r="CY15" s="869" t="n"/>
      <c r="CZ15" s="869" t="n"/>
      <c r="DA15" s="869" t="n"/>
      <c r="DB15" s="869" t="n"/>
      <c r="DC15" s="869" t="n"/>
      <c r="DD15" s="869" t="n"/>
      <c r="DE15" s="869" t="n"/>
      <c r="DF15" s="869" t="n"/>
      <c r="DG15" s="869" t="n"/>
      <c r="DH15" s="869" t="n"/>
      <c r="DI15" s="869" t="n"/>
      <c r="DJ15" s="1116">
        <f>BZ15+CC15+CF15+CI15+CL15+CO15+CR15+CU15+CX15+DA15+DD15+DG15</f>
        <v/>
      </c>
      <c r="DK15" s="1116">
        <f>CA15+CD15+CG15+CJ15+CM15+CP15+CS15+CV15+CY15+DB15+DE15+DH15</f>
        <v/>
      </c>
      <c r="DL15" s="1116">
        <f>CB15+CE15+CH15+CK15+CN15+CQ15+CT15+CW15+CZ15+DC15+DF15+DI15</f>
        <v/>
      </c>
      <c r="DM15" s="1117">
        <f>DJ15/2</f>
        <v/>
      </c>
      <c r="DN15" s="1117">
        <f>DK15/2</f>
        <v/>
      </c>
      <c r="DO15" s="1118">
        <f>DL15/2</f>
        <v/>
      </c>
      <c r="DP15" s="1119">
        <f>DO15/BV15*100-100</f>
        <v/>
      </c>
      <c r="DQ15" s="1120">
        <f>DO15/BY15*100-100</f>
        <v/>
      </c>
      <c r="DR15" s="820" t="inlineStr">
        <is>
          <t>Must Grow</t>
        </is>
      </c>
    </row>
    <row r="16">
      <c r="A16" s="869" t="n">
        <v>13</v>
      </c>
      <c r="B16" s="869" t="inlineStr">
        <is>
          <t>ကောင်းဆုဝေ</t>
        </is>
      </c>
      <c r="C16" s="869" t="inlineStr">
        <is>
          <t>Kaung Su Wai</t>
        </is>
      </c>
      <c r="D16" s="869" t="inlineStr">
        <is>
          <t>ကျောက်ပန်းတောင်း</t>
        </is>
      </c>
      <c r="E16" s="869" t="inlineStr">
        <is>
          <t>Kyaukpadaung</t>
        </is>
      </c>
      <c r="F16" s="584" t="inlineStr">
        <is>
          <t>Contract</t>
        </is>
      </c>
      <c r="G16" s="1113" t="n">
        <v>675</v>
      </c>
      <c r="H16" s="1113" t="n">
        <v>9450</v>
      </c>
      <c r="I16" s="1113" t="n">
        <v>450</v>
      </c>
      <c r="J16" s="1113" t="n">
        <v>6300</v>
      </c>
      <c r="K16" s="1113" t="n">
        <v>650</v>
      </c>
      <c r="L16" s="1113" t="n">
        <v>9100</v>
      </c>
      <c r="M16" s="1113" t="n">
        <v>600</v>
      </c>
      <c r="N16" s="1113" t="n">
        <v>8400</v>
      </c>
      <c r="O16" s="1113" t="n">
        <v>752</v>
      </c>
      <c r="P16" s="1113" t="n">
        <v>10536</v>
      </c>
      <c r="Q16" s="1113" t="n">
        <v>955</v>
      </c>
      <c r="R16" s="1113" t="n">
        <v>13420</v>
      </c>
      <c r="S16" s="1113" t="n">
        <v>650</v>
      </c>
      <c r="T16" s="1113" t="n">
        <v>9100</v>
      </c>
      <c r="U16" s="1113" t="n">
        <v>602</v>
      </c>
      <c r="V16" s="1113" t="n">
        <v>8436</v>
      </c>
      <c r="W16" s="1113" t="n">
        <v>702</v>
      </c>
      <c r="X16" s="1113" t="n">
        <v>9824</v>
      </c>
      <c r="Y16" s="1113" t="n">
        <v>503</v>
      </c>
      <c r="Z16" s="1113" t="n">
        <v>7068</v>
      </c>
      <c r="AA16" s="1113" t="n">
        <v>983</v>
      </c>
      <c r="AB16" s="1113" t="n">
        <v>13918</v>
      </c>
      <c r="AC16" s="1113" t="n">
        <v>800</v>
      </c>
      <c r="AD16" s="1113" t="n">
        <v>11200</v>
      </c>
      <c r="AE16" s="1114">
        <f>G16+I16+K16+M16+O16+Q16+S16+U16+W16+Y16+AA16+AC16</f>
        <v/>
      </c>
      <c r="AF16" s="1114">
        <f>H16+J16+L16+N16+P16+R16+T16+V16+X16+Z16+AB16+AD16</f>
        <v/>
      </c>
      <c r="AG16" s="1115" t="n">
        <v>1050</v>
      </c>
      <c r="AH16" s="1115" t="n">
        <v>15200</v>
      </c>
      <c r="AI16" s="1115" t="n">
        <v>9680</v>
      </c>
      <c r="AJ16" s="1115" t="n">
        <v>1050</v>
      </c>
      <c r="AK16" s="1115" t="n">
        <v>14700</v>
      </c>
      <c r="AL16" s="1115" t="n">
        <v>9408</v>
      </c>
      <c r="AM16" s="1115" t="n">
        <v>800</v>
      </c>
      <c r="AN16" s="1115" t="n">
        <v>11200</v>
      </c>
      <c r="AO16" s="1115" t="n">
        <v>7168</v>
      </c>
      <c r="AP16" s="1115" t="n">
        <v>720</v>
      </c>
      <c r="AQ16" s="1115" t="n">
        <v>10040</v>
      </c>
      <c r="AR16" s="1115" t="n">
        <v>6512</v>
      </c>
      <c r="AS16" s="1115" t="n">
        <v>782</v>
      </c>
      <c r="AT16" s="1115" t="n">
        <v>10756</v>
      </c>
      <c r="AU16" s="1115" t="n">
        <v>7309.6</v>
      </c>
      <c r="AV16" s="1115" t="n">
        <v>606</v>
      </c>
      <c r="AW16" s="1115" t="n">
        <v>8532</v>
      </c>
      <c r="AX16" s="1115" t="n">
        <v>5426.400000000001</v>
      </c>
      <c r="AY16" s="1115" t="n">
        <v>1375</v>
      </c>
      <c r="AZ16" s="1115" t="n">
        <v>19250</v>
      </c>
      <c r="BA16" s="1115" t="n">
        <v>12320</v>
      </c>
      <c r="BB16" s="1115" t="n">
        <v>880</v>
      </c>
      <c r="BC16" s="1115" t="n">
        <v>12320</v>
      </c>
      <c r="BD16" s="1115" t="n">
        <v>7884.8</v>
      </c>
      <c r="BE16" s="1115" t="n">
        <v>1300</v>
      </c>
      <c r="BF16" s="1115" t="n">
        <v>18200</v>
      </c>
      <c r="BG16" s="1115" t="n">
        <v>11648</v>
      </c>
      <c r="BH16" s="1115" t="n">
        <v>1025</v>
      </c>
      <c r="BI16" s="1115" t="n">
        <v>14250</v>
      </c>
      <c r="BJ16" s="1115" t="n">
        <v>9336</v>
      </c>
      <c r="BK16" s="1115" t="n">
        <v>1400</v>
      </c>
      <c r="BL16" s="1115" t="n">
        <v>19600</v>
      </c>
      <c r="BM16" s="1115" t="n">
        <v>12544</v>
      </c>
      <c r="BN16" s="1115" t="n">
        <v>800</v>
      </c>
      <c r="BO16" s="1115" t="n">
        <v>11200</v>
      </c>
      <c r="BP16" s="1115" t="n">
        <v>7168</v>
      </c>
      <c r="BQ16" s="1114">
        <f>AG16+AJ16+AM16+AP16+AS16+AV16+AY16+BB16+BE16+BH16+BK16+BN16</f>
        <v/>
      </c>
      <c r="BR16" s="1114">
        <f>AH16+AK16+AN16+AQ16+AT16+AW16+AZ16+BC16+BF16+BI16+BL16+BO16</f>
        <v/>
      </c>
      <c r="BS16" s="1114">
        <f>AI16+AL16+AO16+AR16+AU16+AX16+BA16+BD16+BG16+BJ16+BM16+BP16</f>
        <v/>
      </c>
      <c r="BT16" s="1114">
        <f>(AG16+AJ16)/2</f>
        <v/>
      </c>
      <c r="BU16" s="1114">
        <f>(AH16+AK16)/2</f>
        <v/>
      </c>
      <c r="BV16" s="1114">
        <f>(AI16+AL16)/2</f>
        <v/>
      </c>
      <c r="BW16" s="1114">
        <f>BQ16/12</f>
        <v/>
      </c>
      <c r="BX16" s="1114">
        <f>BR16/12</f>
        <v/>
      </c>
      <c r="BY16" s="1114">
        <f>BS16/12</f>
        <v/>
      </c>
      <c r="BZ16" s="1115" t="n">
        <v>1550</v>
      </c>
      <c r="CA16" s="869" t="n">
        <v>21700</v>
      </c>
      <c r="CB16" s="869" t="n">
        <v>13888</v>
      </c>
      <c r="CC16" s="1058" t="n">
        <v>700</v>
      </c>
      <c r="CD16" s="1058" t="n">
        <v>9750</v>
      </c>
      <c r="CE16" s="1058" t="n">
        <v>6348</v>
      </c>
      <c r="CF16" s="869" t="n"/>
      <c r="CG16" s="869" t="n"/>
      <c r="CH16" s="869" t="n"/>
      <c r="CI16" s="869" t="n"/>
      <c r="CJ16" s="869" t="n"/>
      <c r="CK16" s="869" t="n"/>
      <c r="CL16" s="869" t="n"/>
      <c r="CM16" s="869" t="n"/>
      <c r="CN16" s="869" t="n"/>
      <c r="CO16" s="869" t="n"/>
      <c r="CP16" s="869" t="n"/>
      <c r="CQ16" s="869" t="n"/>
      <c r="CR16" s="869" t="n"/>
      <c r="CS16" s="869" t="n"/>
      <c r="CT16" s="869" t="n"/>
      <c r="CU16" s="869" t="n"/>
      <c r="CV16" s="869" t="n"/>
      <c r="CW16" s="869" t="n"/>
      <c r="CX16" s="869" t="n"/>
      <c r="CY16" s="869" t="n"/>
      <c r="CZ16" s="869" t="n"/>
      <c r="DA16" s="869" t="n"/>
      <c r="DB16" s="869" t="n"/>
      <c r="DC16" s="869" t="n"/>
      <c r="DD16" s="869" t="n"/>
      <c r="DE16" s="869" t="n"/>
      <c r="DF16" s="869" t="n"/>
      <c r="DG16" s="869" t="n"/>
      <c r="DH16" s="869" t="n"/>
      <c r="DI16" s="869" t="n"/>
      <c r="DJ16" s="1116">
        <f>BZ16+CC16+CF16+CI16+CL16+CO16+CR16+CU16+CX16+DA16+DD16+DG16</f>
        <v/>
      </c>
      <c r="DK16" s="1116">
        <f>CA16+CD16+CG16+CJ16+CM16+CP16+CS16+CV16+CY16+DB16+DE16+DH16</f>
        <v/>
      </c>
      <c r="DL16" s="1116">
        <f>CB16+CE16+CH16+CK16+CN16+CQ16+CT16+CW16+CZ16+DC16+DF16+DI16</f>
        <v/>
      </c>
      <c r="DM16" s="1117">
        <f>DJ16/2</f>
        <v/>
      </c>
      <c r="DN16" s="1117">
        <f>DK16/2</f>
        <v/>
      </c>
      <c r="DO16" s="1118">
        <f>DL16/2</f>
        <v/>
      </c>
      <c r="DP16" s="1121">
        <f>DO16/BV16*100-100</f>
        <v/>
      </c>
      <c r="DQ16" s="1120">
        <f>DO16/BY16*100-100</f>
        <v/>
      </c>
    </row>
    <row r="17">
      <c r="A17" s="869" t="n">
        <v>14</v>
      </c>
      <c r="B17" s="869" t="inlineStr">
        <is>
          <t>မြို့မ</t>
        </is>
      </c>
      <c r="C17" s="869" t="inlineStr">
        <is>
          <t>MyoMa</t>
        </is>
      </c>
      <c r="D17" s="869" t="inlineStr">
        <is>
          <t>တောင်သာ</t>
        </is>
      </c>
      <c r="E17" s="869" t="inlineStr">
        <is>
          <t>Taungtha</t>
        </is>
      </c>
      <c r="F17" s="584" t="inlineStr">
        <is>
          <t>Contract</t>
        </is>
      </c>
      <c r="G17" s="1113" t="n">
        <v>700</v>
      </c>
      <c r="H17" s="1113" t="n">
        <v>9800</v>
      </c>
      <c r="I17" s="1113" t="n">
        <v>900</v>
      </c>
      <c r="J17" s="1113" t="n">
        <v>12600</v>
      </c>
      <c r="K17" s="1113" t="n">
        <v>600</v>
      </c>
      <c r="L17" s="1113" t="n">
        <v>8400</v>
      </c>
      <c r="M17" s="1113" t="n">
        <v>800</v>
      </c>
      <c r="N17" s="1113" t="n">
        <v>11200</v>
      </c>
      <c r="O17" s="1113" t="n">
        <v>850</v>
      </c>
      <c r="P17" s="1113" t="n">
        <v>11900</v>
      </c>
      <c r="Q17" s="1113" t="n">
        <v>750</v>
      </c>
      <c r="R17" s="1113" t="n">
        <v>11000</v>
      </c>
      <c r="S17" s="1113" t="n">
        <v>850</v>
      </c>
      <c r="T17" s="1113" t="n">
        <v>12650</v>
      </c>
      <c r="U17" s="1113" t="n">
        <v>800</v>
      </c>
      <c r="V17" s="1113" t="n">
        <v>11450</v>
      </c>
      <c r="W17" s="1113" t="n">
        <v>945</v>
      </c>
      <c r="X17" s="1113" t="n">
        <v>13190</v>
      </c>
      <c r="Y17" s="1113" t="n">
        <v>1248</v>
      </c>
      <c r="Z17" s="1113" t="n">
        <v>18392</v>
      </c>
      <c r="AA17" s="1113" t="n">
        <v>900</v>
      </c>
      <c r="AB17" s="1113" t="n">
        <v>13100</v>
      </c>
      <c r="AC17" s="1113" t="n">
        <v>1400</v>
      </c>
      <c r="AD17" s="1113" t="n">
        <v>20000</v>
      </c>
      <c r="AE17" s="1114">
        <f>G17+I17+K17+M17+O17+Q17+S17+U17+W17+Y17+AA17+AC17</f>
        <v/>
      </c>
      <c r="AF17" s="1114">
        <f>H17+J17+L17+N17+P17+R17+T17+V17+X17+Z17+AB17+AD17</f>
        <v/>
      </c>
      <c r="AG17" s="1115" t="n">
        <v>1460</v>
      </c>
      <c r="AH17" s="1115" t="n">
        <v>20980</v>
      </c>
      <c r="AI17" s="1115" t="n">
        <v>13960</v>
      </c>
      <c r="AJ17" s="1115" t="n">
        <v>1320</v>
      </c>
      <c r="AK17" s="1115" t="n">
        <v>18740</v>
      </c>
      <c r="AL17" s="1115" t="n">
        <v>12512</v>
      </c>
      <c r="AM17" s="1115" t="n">
        <v>950</v>
      </c>
      <c r="AN17" s="1115" t="n">
        <v>13300</v>
      </c>
      <c r="AO17" s="1115" t="n">
        <v>8512</v>
      </c>
      <c r="AP17" s="1115" t="n">
        <v>900</v>
      </c>
      <c r="AQ17" s="1115" t="n">
        <v>12900</v>
      </c>
      <c r="AR17" s="1115" t="n">
        <v>8256</v>
      </c>
      <c r="AS17" s="1115" t="n">
        <v>980</v>
      </c>
      <c r="AT17" s="1115" t="n">
        <v>14170</v>
      </c>
      <c r="AU17" s="1115" t="n">
        <v>9157.6</v>
      </c>
      <c r="AV17" s="1115" t="n">
        <v>1110</v>
      </c>
      <c r="AW17" s="1115" t="n">
        <v>16140</v>
      </c>
      <c r="AX17" s="1115" t="n">
        <v>10329.6</v>
      </c>
      <c r="AY17" s="1115" t="n">
        <v>450</v>
      </c>
      <c r="AZ17" s="1115" t="n">
        <v>6300</v>
      </c>
      <c r="BA17" s="1115" t="n">
        <v>4032</v>
      </c>
      <c r="BB17" s="1115" t="n">
        <v>1170</v>
      </c>
      <c r="BC17" s="1115" t="n">
        <v>16340</v>
      </c>
      <c r="BD17" s="1115" t="n">
        <v>10544</v>
      </c>
      <c r="BE17" s="1115" t="n">
        <v>290</v>
      </c>
      <c r="BF17" s="1115" t="n">
        <v>4240</v>
      </c>
      <c r="BG17" s="1115" t="n">
        <v>2972.8</v>
      </c>
      <c r="BH17" s="1115" t="n">
        <v>1277</v>
      </c>
      <c r="BI17" s="1115" t="n">
        <v>17338</v>
      </c>
      <c r="BJ17" s="1115" t="n">
        <v>12910.72</v>
      </c>
      <c r="BK17" s="1115" t="n">
        <v>980</v>
      </c>
      <c r="BL17" s="1115" t="n">
        <v>13960</v>
      </c>
      <c r="BM17" s="1115" t="n">
        <v>9064</v>
      </c>
      <c r="BN17" s="1115" t="n">
        <v>2480</v>
      </c>
      <c r="BO17" s="1115" t="n">
        <v>34960</v>
      </c>
      <c r="BP17" s="1115" t="n">
        <v>22916.8</v>
      </c>
      <c r="BQ17" s="1114">
        <f>AG17+AJ17+AM17+AP17+AS17+AV17+AY17+BB17+BE17+BH17+BK17+BN17</f>
        <v/>
      </c>
      <c r="BR17" s="1114">
        <f>AH17+AK17+AN17+AQ17+AT17+AW17+AZ17+BC17+BF17+BI17+BL17+BO17</f>
        <v/>
      </c>
      <c r="BS17" s="1114">
        <f>AI17+AL17+AO17+AR17+AU17+AX17+BA17+BD17+BG17+BJ17+BM17+BP17</f>
        <v/>
      </c>
      <c r="BT17" s="1114">
        <f>(AG17+AJ17)/2</f>
        <v/>
      </c>
      <c r="BU17" s="1114">
        <f>(AH17+AK17)/2</f>
        <v/>
      </c>
      <c r="BV17" s="1114">
        <f>(AI17+AL17)/2</f>
        <v/>
      </c>
      <c r="BW17" s="1114">
        <f>BQ17/12</f>
        <v/>
      </c>
      <c r="BX17" s="1114">
        <f>BR17/12</f>
        <v/>
      </c>
      <c r="BY17" s="1114">
        <f>BS17/12</f>
        <v/>
      </c>
      <c r="BZ17" s="1115" t="n">
        <v>100</v>
      </c>
      <c r="CA17" s="869" t="n">
        <v>1200</v>
      </c>
      <c r="CB17" s="869" t="n">
        <v>1200</v>
      </c>
      <c r="CC17" s="1058" t="n">
        <v>450</v>
      </c>
      <c r="CD17" s="1058" t="n">
        <v>5900</v>
      </c>
      <c r="CE17" s="1058" t="n">
        <v>4640</v>
      </c>
      <c r="CF17" s="869" t="n"/>
      <c r="CG17" s="869" t="n"/>
      <c r="CH17" s="869" t="n"/>
      <c r="CI17" s="869" t="n"/>
      <c r="CJ17" s="869" t="n"/>
      <c r="CK17" s="869" t="n"/>
      <c r="CL17" s="869" t="n"/>
      <c r="CM17" s="869" t="n"/>
      <c r="CN17" s="869" t="n"/>
      <c r="CO17" s="869" t="n"/>
      <c r="CP17" s="869" t="n"/>
      <c r="CQ17" s="869" t="n"/>
      <c r="CR17" s="869" t="n"/>
      <c r="CS17" s="869" t="n"/>
      <c r="CT17" s="869" t="n"/>
      <c r="CU17" s="869" t="n"/>
      <c r="CV17" s="869" t="n"/>
      <c r="CW17" s="869" t="n"/>
      <c r="CX17" s="869" t="n"/>
      <c r="CY17" s="869" t="n"/>
      <c r="CZ17" s="869" t="n"/>
      <c r="DA17" s="869" t="n"/>
      <c r="DB17" s="869" t="n"/>
      <c r="DC17" s="869" t="n"/>
      <c r="DD17" s="869" t="n"/>
      <c r="DE17" s="869" t="n"/>
      <c r="DF17" s="869" t="n"/>
      <c r="DG17" s="869" t="n"/>
      <c r="DH17" s="869" t="n"/>
      <c r="DI17" s="869" t="n"/>
      <c r="DJ17" s="1116">
        <f>BZ17+CC17+CF17+CI17+CL17+CO17+CR17+CU17+CX17+DA17+DD17+DG17</f>
        <v/>
      </c>
      <c r="DK17" s="1116">
        <f>CA17+CD17+CG17+CJ17+CM17+CP17+CS17+CV17+CY17+DB17+DE17+DH17</f>
        <v/>
      </c>
      <c r="DL17" s="1116">
        <f>CB17+CE17+CH17+CK17+CN17+CQ17+CT17+CW17+CZ17+DC17+DF17+DI17</f>
        <v/>
      </c>
      <c r="DM17" s="1117">
        <f>DJ17/2</f>
        <v/>
      </c>
      <c r="DN17" s="1117">
        <f>DK17/2</f>
        <v/>
      </c>
      <c r="DO17" s="1118">
        <f>DL17/2</f>
        <v/>
      </c>
      <c r="DP17" s="1119">
        <f>DO17/BV17*100-100</f>
        <v/>
      </c>
      <c r="DQ17" s="1120">
        <f>DO17/BY17*100-100</f>
        <v/>
      </c>
      <c r="DR17" s="820" t="inlineStr">
        <is>
          <t>Must Grow</t>
        </is>
      </c>
    </row>
    <row r="18">
      <c r="A18" s="869" t="n">
        <v>15</v>
      </c>
      <c r="B18" s="869" t="inlineStr">
        <is>
          <t>မိုးယံ</t>
        </is>
      </c>
      <c r="C18" s="869" t="inlineStr">
        <is>
          <t>Moe Yan</t>
        </is>
      </c>
      <c r="D18" s="869" t="inlineStr">
        <is>
          <t>ရမည်းသင်း</t>
        </is>
      </c>
      <c r="E18" s="869" t="inlineStr">
        <is>
          <t>Yamethin</t>
        </is>
      </c>
      <c r="F18" s="584" t="inlineStr">
        <is>
          <t>Contract</t>
        </is>
      </c>
      <c r="G18" s="869" t="n"/>
      <c r="H18" s="869" t="n"/>
      <c r="I18" s="869" t="n"/>
      <c r="J18" s="869" t="n"/>
      <c r="K18" s="869" t="n"/>
      <c r="L18" s="869" t="n"/>
      <c r="M18" s="869" t="n"/>
      <c r="N18" s="869" t="n"/>
      <c r="O18" s="869" t="n"/>
      <c r="P18" s="869" t="n"/>
      <c r="Q18" s="869" t="n"/>
      <c r="R18" s="869" t="n"/>
      <c r="S18" s="869" t="n"/>
      <c r="T18" s="869" t="n"/>
      <c r="U18" s="869" t="n"/>
      <c r="V18" s="869" t="n"/>
      <c r="W18" s="869" t="n"/>
      <c r="X18" s="869" t="n"/>
      <c r="Y18" s="869" t="n"/>
      <c r="Z18" s="869" t="n"/>
      <c r="AA18" s="869" t="n"/>
      <c r="AB18" s="869" t="n"/>
      <c r="AC18" s="869" t="n"/>
      <c r="AD18" s="869" t="n"/>
      <c r="AE18" s="1114">
        <f>G18+I18+K18+M18+O18+Q18+S18+U18+W18+Y18+AA18+AC18</f>
        <v/>
      </c>
      <c r="AF18" s="1114">
        <f>H18+J18+L18+N18+P18+R18+T18+V18+X18+Z18+AB18+AD18</f>
        <v/>
      </c>
      <c r="AG18" s="869" t="n"/>
      <c r="AH18" s="869" t="n"/>
      <c r="AI18" s="869" t="n"/>
      <c r="AJ18" s="869" t="n"/>
      <c r="AK18" s="869" t="n"/>
      <c r="AL18" s="869" t="n"/>
      <c r="AM18" s="869" t="n"/>
      <c r="AN18" s="869" t="n"/>
      <c r="AO18" s="869" t="n"/>
      <c r="AP18" s="869" t="n"/>
      <c r="AQ18" s="869" t="n"/>
      <c r="AR18" s="869" t="n"/>
      <c r="AS18" s="869" t="n"/>
      <c r="AT18" s="869" t="n"/>
      <c r="AU18" s="869" t="n"/>
      <c r="AV18" s="869" t="n"/>
      <c r="AW18" s="869" t="n"/>
      <c r="AX18" s="869" t="n"/>
      <c r="AY18" s="869" t="n"/>
      <c r="AZ18" s="869" t="n"/>
      <c r="BA18" s="869" t="n"/>
      <c r="BB18" s="869" t="n"/>
      <c r="BC18" s="869" t="n"/>
      <c r="BD18" s="869" t="n"/>
      <c r="BE18" s="869" t="n"/>
      <c r="BF18" s="869" t="n"/>
      <c r="BG18" s="869" t="n"/>
      <c r="BH18" s="869" t="n"/>
      <c r="BI18" s="869" t="n"/>
      <c r="BJ18" s="869" t="n"/>
      <c r="BK18" s="869" t="n"/>
      <c r="BL18" s="869" t="n"/>
      <c r="BM18" s="869" t="n"/>
      <c r="BN18" s="869" t="n"/>
      <c r="BO18" s="869" t="n"/>
      <c r="BP18" s="869" t="n"/>
      <c r="BQ18" s="1114">
        <f>AG18+AJ18+AM18+AP18+AS18+AV18+AY18+BB18+BE18+BH18+BK18+BN18</f>
        <v/>
      </c>
      <c r="BR18" s="1114">
        <f>AH18+AK18+AN18+AQ18+AT18+AW18+AZ18+BC18+BF18+BI18+BL18+BO18</f>
        <v/>
      </c>
      <c r="BS18" s="1114">
        <f>AI18+AL18+AO18+AR18+AU18+AX18+BA18+BD18+BG18+BJ18+BM18+BP18</f>
        <v/>
      </c>
      <c r="BT18" s="1114">
        <f>(AG18+AJ18)/2</f>
        <v/>
      </c>
      <c r="BU18" s="1114">
        <f>(AH18+AK18)/2</f>
        <v/>
      </c>
      <c r="BV18" s="1114">
        <f>(AI18+AL18)/2</f>
        <v/>
      </c>
      <c r="BW18" s="1114">
        <f>BQ18/12</f>
        <v/>
      </c>
      <c r="BX18" s="1114">
        <f>BR18/12</f>
        <v/>
      </c>
      <c r="BY18" s="1114">
        <f>BS18/12</f>
        <v/>
      </c>
      <c r="BZ18" s="869" t="n">
        <v>312</v>
      </c>
      <c r="CA18" s="869" t="n">
        <v>4248</v>
      </c>
      <c r="CB18" s="869" t="n">
        <v>3131.52</v>
      </c>
      <c r="CC18" s="1058" t="n">
        <v>350</v>
      </c>
      <c r="CD18" s="1058" t="n">
        <v>5000</v>
      </c>
      <c r="CE18" s="1058" t="n">
        <v>3603.2</v>
      </c>
      <c r="CF18" s="869" t="n"/>
      <c r="CG18" s="869" t="n"/>
      <c r="CH18" s="869" t="n"/>
      <c r="CI18" s="869" t="n"/>
      <c r="CJ18" s="869" t="n"/>
      <c r="CK18" s="869" t="n"/>
      <c r="CL18" s="869" t="n"/>
      <c r="CM18" s="869" t="n"/>
      <c r="CN18" s="869" t="n"/>
      <c r="CO18" s="869" t="n"/>
      <c r="CP18" s="869" t="n"/>
      <c r="CQ18" s="869" t="n"/>
      <c r="CR18" s="869" t="n"/>
      <c r="CS18" s="869" t="n"/>
      <c r="CT18" s="869" t="n"/>
      <c r="CU18" s="869" t="n"/>
      <c r="CV18" s="869" t="n"/>
      <c r="CW18" s="869" t="n"/>
      <c r="CX18" s="869" t="n"/>
      <c r="CY18" s="869" t="n"/>
      <c r="CZ18" s="869" t="n"/>
      <c r="DA18" s="869" t="n"/>
      <c r="DB18" s="869" t="n"/>
      <c r="DC18" s="869" t="n"/>
      <c r="DD18" s="869" t="n"/>
      <c r="DE18" s="869" t="n"/>
      <c r="DF18" s="869" t="n"/>
      <c r="DG18" s="869" t="n"/>
      <c r="DH18" s="869" t="n"/>
      <c r="DI18" s="869" t="n"/>
      <c r="DJ18" s="1116">
        <f>BZ18+CC18+CF18+CI18+CL18+CO18+CR18+CU18+CX18+DA18+DD18+DG18</f>
        <v/>
      </c>
      <c r="DK18" s="1116">
        <f>CA18+CD18+CG18+CJ18+CM18+CP18+CS18+CV18+CY18+DB18+DE18+DH18</f>
        <v/>
      </c>
      <c r="DL18" s="1116">
        <f>CB18+CE18+CH18+CK18+CN18+CQ18+CT18+CW18+CZ18+DC18+DF18+DI18</f>
        <v/>
      </c>
      <c r="DM18" s="1117">
        <f>DJ18/2</f>
        <v/>
      </c>
      <c r="DN18" s="1117">
        <f>DK18/2</f>
        <v/>
      </c>
      <c r="DO18" s="1118">
        <f>DL18/2</f>
        <v/>
      </c>
      <c r="DP18" s="1121" t="n"/>
      <c r="DQ18" s="1120" t="n"/>
    </row>
    <row r="19">
      <c r="A19" s="869" t="n">
        <v>16</v>
      </c>
      <c r="B19" s="869" t="inlineStr">
        <is>
          <t>ကောင်းဟိန်း</t>
        </is>
      </c>
      <c r="C19" s="869" t="inlineStr">
        <is>
          <t>Kaung Hein</t>
        </is>
      </c>
      <c r="D19" s="869" t="inlineStr">
        <is>
          <t>ပခုက္ကူ</t>
        </is>
      </c>
      <c r="E19" s="869" t="inlineStr">
        <is>
          <t>Pakokku</t>
        </is>
      </c>
      <c r="F19" s="584" t="inlineStr">
        <is>
          <t>Contract</t>
        </is>
      </c>
      <c r="G19" s="1113" t="n">
        <v>500</v>
      </c>
      <c r="H19" s="1113" t="n">
        <v>7000</v>
      </c>
      <c r="I19" s="1113" t="n"/>
      <c r="J19" s="1113" t="n"/>
      <c r="K19" s="1113" t="n">
        <v>300</v>
      </c>
      <c r="L19" s="1113" t="n">
        <v>4200</v>
      </c>
      <c r="M19" s="1113" t="n">
        <v>400</v>
      </c>
      <c r="N19" s="1113" t="n">
        <v>5600</v>
      </c>
      <c r="O19" s="1113" t="n"/>
      <c r="P19" s="1113" t="n"/>
      <c r="Q19" s="1113" t="n">
        <v>400</v>
      </c>
      <c r="R19" s="1113" t="n">
        <v>5600</v>
      </c>
      <c r="S19" s="1113" t="n">
        <v>400</v>
      </c>
      <c r="T19" s="1113" t="n">
        <v>5600</v>
      </c>
      <c r="U19" s="1113" t="n">
        <v>300</v>
      </c>
      <c r="V19" s="1113" t="n">
        <v>4200</v>
      </c>
      <c r="W19" s="1113" t="n">
        <v>100</v>
      </c>
      <c r="X19" s="1113" t="n">
        <v>1400</v>
      </c>
      <c r="Y19" s="1113" t="n">
        <v>317</v>
      </c>
      <c r="Z19" s="1113" t="n">
        <v>4438</v>
      </c>
      <c r="AA19" s="1113" t="n">
        <v>650</v>
      </c>
      <c r="AB19" s="1113" t="n">
        <v>9100</v>
      </c>
      <c r="AC19" s="1113" t="n">
        <v>200</v>
      </c>
      <c r="AD19" s="1113" t="n">
        <v>2800</v>
      </c>
      <c r="AE19" s="1114">
        <f>G19+I19+K19+M19+O19+Q19+S19+U19+W19+Y19+AA19+AC19</f>
        <v/>
      </c>
      <c r="AF19" s="1114">
        <f>H19+J19+L19+N19+P19+R19+T19+V19+X19+Z19+AB19+AD19</f>
        <v/>
      </c>
      <c r="AG19" s="1115" t="n"/>
      <c r="AH19" s="1115" t="n"/>
      <c r="AI19" s="1115" t="n"/>
      <c r="AJ19" s="1115" t="n"/>
      <c r="AK19" s="1115" t="n"/>
      <c r="AL19" s="1115" t="n"/>
      <c r="AM19" s="1115" t="n">
        <v>1060</v>
      </c>
      <c r="AN19" s="1115" t="n">
        <v>14320</v>
      </c>
      <c r="AO19" s="1115" t="n">
        <v>10288</v>
      </c>
      <c r="AP19" s="1115" t="n">
        <v>500</v>
      </c>
      <c r="AQ19" s="1115" t="n">
        <v>6400</v>
      </c>
      <c r="AR19" s="1115" t="n">
        <v>5392</v>
      </c>
      <c r="AS19" s="1115" t="n">
        <v>469</v>
      </c>
      <c r="AT19" s="1115" t="n">
        <v>6368</v>
      </c>
      <c r="AU19" s="1115" t="n">
        <v>4503.2</v>
      </c>
      <c r="AV19" s="1115" t="n">
        <v>450</v>
      </c>
      <c r="AW19" s="1115" t="n">
        <v>5900</v>
      </c>
      <c r="AX19" s="1115" t="n">
        <v>3680</v>
      </c>
      <c r="AY19" s="1115" t="n">
        <v>750</v>
      </c>
      <c r="AZ19" s="1115" t="n">
        <v>9900</v>
      </c>
      <c r="BA19" s="1115" t="n">
        <v>7632</v>
      </c>
      <c r="BB19" s="1115" t="n">
        <v>550</v>
      </c>
      <c r="BC19" s="1115" t="n">
        <v>7760</v>
      </c>
      <c r="BD19" s="1115" t="n">
        <v>5388.8</v>
      </c>
      <c r="BE19" s="1115" t="n">
        <v>1300</v>
      </c>
      <c r="BF19" s="1115" t="n">
        <v>15800</v>
      </c>
      <c r="BG19" s="1115" t="n">
        <v>15296</v>
      </c>
      <c r="BH19" s="1115" t="n">
        <v>300</v>
      </c>
      <c r="BI19" s="1115" t="n">
        <v>3800</v>
      </c>
      <c r="BJ19" s="1115" t="n">
        <v>3296</v>
      </c>
      <c r="BK19" s="1115" t="n">
        <v>1430</v>
      </c>
      <c r="BL19" s="1115" t="n">
        <v>17960</v>
      </c>
      <c r="BM19" s="1115" t="n">
        <v>15944</v>
      </c>
      <c r="BN19" s="1115" t="n">
        <v>600</v>
      </c>
      <c r="BO19" s="1115" t="n">
        <v>8000</v>
      </c>
      <c r="BP19" s="1115" t="n">
        <v>5984</v>
      </c>
      <c r="BQ19" s="1114">
        <f>AG19+AJ19+AM19+AP19+AS19+AV19+AY19+BB19+BE19+BH19+BK19+BN19</f>
        <v/>
      </c>
      <c r="BR19" s="1114">
        <f>AH19+AK19+AN19+AQ19+AT19+AW19+AZ19+BC19+BF19+BI19+BL19+BO19</f>
        <v/>
      </c>
      <c r="BS19" s="1114">
        <f>AI19+AL19+AO19+AR19+AU19+AX19+BA19+BD19+BG19+BJ19+BM19+BP19</f>
        <v/>
      </c>
      <c r="BT19" s="1114">
        <f>(AG19+AJ19)/2</f>
        <v/>
      </c>
      <c r="BU19" s="1114">
        <f>(AH19+AK19)/2</f>
        <v/>
      </c>
      <c r="BV19" s="1114">
        <f>(AI19+AL19)/2</f>
        <v/>
      </c>
      <c r="BW19" s="1114">
        <f>BQ19/12</f>
        <v/>
      </c>
      <c r="BX19" s="1114">
        <f>BR19/12</f>
        <v/>
      </c>
      <c r="BY19" s="1114">
        <f>BS19/12</f>
        <v/>
      </c>
      <c r="BZ19" s="1115" t="n">
        <v>250</v>
      </c>
      <c r="CA19" s="869" t="n">
        <v>3400</v>
      </c>
      <c r="CB19" s="869" t="n">
        <v>2392</v>
      </c>
      <c r="CC19" s="1058" t="n">
        <v>0</v>
      </c>
      <c r="CD19" s="1058" t="n">
        <v>0</v>
      </c>
      <c r="CE19" s="1058" t="n">
        <v>0</v>
      </c>
      <c r="CF19" s="869" t="n"/>
      <c r="CG19" s="869" t="n"/>
      <c r="CH19" s="869" t="n"/>
      <c r="CI19" s="869" t="n"/>
      <c r="CJ19" s="869" t="n"/>
      <c r="CK19" s="869" t="n"/>
      <c r="CL19" s="869" t="n"/>
      <c r="CM19" s="869" t="n"/>
      <c r="CN19" s="869" t="n"/>
      <c r="CO19" s="869" t="n"/>
      <c r="CP19" s="869" t="n"/>
      <c r="CQ19" s="869" t="n"/>
      <c r="CR19" s="869" t="n"/>
      <c r="CS19" s="869" t="n"/>
      <c r="CT19" s="869" t="n"/>
      <c r="CU19" s="869" t="n"/>
      <c r="CV19" s="869" t="n"/>
      <c r="CW19" s="869" t="n"/>
      <c r="CX19" s="869" t="n"/>
      <c r="CY19" s="869" t="n"/>
      <c r="CZ19" s="869" t="n"/>
      <c r="DA19" s="869" t="n"/>
      <c r="DB19" s="869" t="n"/>
      <c r="DC19" s="869" t="n"/>
      <c r="DD19" s="869" t="n"/>
      <c r="DE19" s="869" t="n"/>
      <c r="DF19" s="869" t="n"/>
      <c r="DG19" s="869" t="n"/>
      <c r="DH19" s="869" t="n"/>
      <c r="DI19" s="869" t="n"/>
      <c r="DJ19" s="1116">
        <f>BZ19+CC19+CF19+CI19+CL19+CO19+CR19+CU19+CX19+DA19+DD19+DG19</f>
        <v/>
      </c>
      <c r="DK19" s="1116">
        <f>CA19+CD19+CG19+CJ19+CM19+CP19+CS19+CV19+CY19+DB19+DE19+DH19</f>
        <v/>
      </c>
      <c r="DL19" s="1116">
        <f>CB19+CE19+CH19+CK19+CN19+CQ19+CT19+CW19+CZ19+DC19+DF19+DI19</f>
        <v/>
      </c>
      <c r="DM19" s="1117">
        <f>DJ19/2</f>
        <v/>
      </c>
      <c r="DN19" s="1117">
        <f>DK19/2</f>
        <v/>
      </c>
      <c r="DO19" s="1118">
        <f>DL19/2</f>
        <v/>
      </c>
      <c r="DP19" s="1121" t="n"/>
      <c r="DQ19" s="1120">
        <f>DO19/BY19*100-100</f>
        <v/>
      </c>
      <c r="DR19" s="820" t="inlineStr">
        <is>
          <t>Must Grow</t>
        </is>
      </c>
    </row>
    <row r="20">
      <c r="A20" s="869" t="n">
        <v>17</v>
      </c>
      <c r="B20" s="869" t="inlineStr">
        <is>
          <t>Summer-1</t>
        </is>
      </c>
      <c r="C20" s="869" t="inlineStr">
        <is>
          <t>Summer-1</t>
        </is>
      </c>
      <c r="D20" s="869" t="inlineStr">
        <is>
          <t>မိတ္ထီလာ</t>
        </is>
      </c>
      <c r="E20" s="869" t="inlineStr">
        <is>
          <t>Meikhtila</t>
        </is>
      </c>
      <c r="F20" s="869" t="inlineStr">
        <is>
          <t>Wholesale</t>
        </is>
      </c>
      <c r="G20" s="1113" t="n">
        <v>1984</v>
      </c>
      <c r="H20" s="1113" t="n">
        <v>33356</v>
      </c>
      <c r="I20" s="1113" t="n">
        <v>699</v>
      </c>
      <c r="J20" s="1113" t="n">
        <v>13206</v>
      </c>
      <c r="K20" s="1113" t="n">
        <v>1415</v>
      </c>
      <c r="L20" s="1113" t="n">
        <v>23520</v>
      </c>
      <c r="M20" s="1113" t="n">
        <v>930</v>
      </c>
      <c r="N20" s="1113" t="n">
        <v>15920</v>
      </c>
      <c r="O20" s="1113" t="n">
        <v>2040</v>
      </c>
      <c r="P20" s="1113" t="n">
        <v>35040</v>
      </c>
      <c r="Q20" s="1113" t="n">
        <v>665</v>
      </c>
      <c r="R20" s="1113" t="n">
        <v>9660</v>
      </c>
      <c r="S20" s="1113" t="n">
        <v>1290</v>
      </c>
      <c r="T20" s="1113" t="n">
        <v>22820</v>
      </c>
      <c r="U20" s="1113" t="n">
        <v>923</v>
      </c>
      <c r="V20" s="1113" t="n">
        <v>14922</v>
      </c>
      <c r="W20" s="1113" t="n">
        <v>865</v>
      </c>
      <c r="X20" s="1113" t="n">
        <v>15610</v>
      </c>
      <c r="Y20" s="1113" t="n">
        <v>1517</v>
      </c>
      <c r="Z20" s="1113" t="n">
        <v>24138</v>
      </c>
      <c r="AA20" s="1113" t="n">
        <v>1180</v>
      </c>
      <c r="AB20" s="1113" t="n">
        <v>22420</v>
      </c>
      <c r="AC20" s="1113" t="n">
        <v>1993</v>
      </c>
      <c r="AD20" s="1113" t="n">
        <v>31182</v>
      </c>
      <c r="AE20" s="1114">
        <f>G20+I20+K20+M20+O20+Q20+S20+U20+W20+Y20+AA20+AC20</f>
        <v/>
      </c>
      <c r="AF20" s="1114">
        <f>H20+J20+L20+N20+P20+R20+T20+V20+X20+Z20+AB20+AD20</f>
        <v/>
      </c>
      <c r="AG20" s="1115" t="n">
        <v>1030</v>
      </c>
      <c r="AH20" s="1115" t="n">
        <v>16720</v>
      </c>
      <c r="AI20" s="1115" t="n">
        <v>10700.8</v>
      </c>
      <c r="AJ20" s="1115" t="n">
        <v>1110</v>
      </c>
      <c r="AK20" s="1115" t="n">
        <v>18230</v>
      </c>
      <c r="AL20" s="1115" t="n">
        <v>11670.8</v>
      </c>
      <c r="AM20" s="1115" t="n">
        <v>2180</v>
      </c>
      <c r="AN20" s="1115" t="n">
        <v>37340</v>
      </c>
      <c r="AO20" s="1115" t="n">
        <v>23962.4</v>
      </c>
      <c r="AP20" s="1115" t="n">
        <v>485</v>
      </c>
      <c r="AQ20" s="1115" t="n">
        <v>6840</v>
      </c>
      <c r="AR20" s="1115" t="n">
        <v>4377.6</v>
      </c>
      <c r="AS20" s="1115" t="n">
        <v>973</v>
      </c>
      <c r="AT20" s="1115" t="n">
        <v>14622</v>
      </c>
      <c r="AU20" s="1115" t="n">
        <v>9358.08</v>
      </c>
      <c r="AV20" s="1115" t="n">
        <v>1035</v>
      </c>
      <c r="AW20" s="1115" t="n">
        <v>14960</v>
      </c>
      <c r="AX20" s="1115" t="n">
        <v>9771.200000000001</v>
      </c>
      <c r="AY20" s="1115" t="n">
        <v>1785</v>
      </c>
      <c r="AZ20" s="1115" t="n">
        <v>29580</v>
      </c>
      <c r="BA20" s="1115" t="n">
        <v>18916.8</v>
      </c>
      <c r="BB20" s="1115" t="n">
        <v>790</v>
      </c>
      <c r="BC20" s="1115" t="n">
        <v>15260</v>
      </c>
      <c r="BD20" s="1115" t="n">
        <v>9766.4</v>
      </c>
      <c r="BE20" s="1115" t="n">
        <v>2170</v>
      </c>
      <c r="BF20" s="1115" t="n">
        <v>38140</v>
      </c>
      <c r="BG20" s="1115" t="n">
        <v>24496</v>
      </c>
      <c r="BH20" s="1115" t="n">
        <v>1920</v>
      </c>
      <c r="BI20" s="1115" t="n">
        <v>33880</v>
      </c>
      <c r="BJ20" s="1115" t="n">
        <v>21683.2</v>
      </c>
      <c r="BK20" s="1115" t="n">
        <v>1990</v>
      </c>
      <c r="BL20" s="1115" t="n">
        <v>35660</v>
      </c>
      <c r="BM20" s="1115" t="n">
        <v>22822.4</v>
      </c>
      <c r="BN20" s="1115" t="n">
        <v>2130</v>
      </c>
      <c r="BO20" s="1115" t="n">
        <v>37840</v>
      </c>
      <c r="BP20" s="1115" t="n">
        <v>24390.4</v>
      </c>
      <c r="BQ20" s="1114">
        <f>AG20+AJ20+AM20+AP20+AS20+AV20+AY20+BB20+BE20+BH20+BK20+BN20</f>
        <v/>
      </c>
      <c r="BR20" s="1114">
        <f>AH20+AK20+AN20+AQ20+AT20+AW20+AZ20+BC20+BF20+BI20+BL20+BO20</f>
        <v/>
      </c>
      <c r="BS20" s="1114">
        <f>AI20+AL20+AO20+AR20+AU20+AX20+BA20+BD20+BG20+BJ20+BM20+BP20</f>
        <v/>
      </c>
      <c r="BT20" s="1114">
        <f>(AG20+AJ20)/2</f>
        <v/>
      </c>
      <c r="BU20" s="1114">
        <f>(AH20+AK20)/2</f>
        <v/>
      </c>
      <c r="BV20" s="1114">
        <f>(AI20+AL20)/2</f>
        <v/>
      </c>
      <c r="BW20" s="1114">
        <f>BQ20/12</f>
        <v/>
      </c>
      <c r="BX20" s="1114">
        <f>BR20/12</f>
        <v/>
      </c>
      <c r="BY20" s="1114">
        <f>BS20/12</f>
        <v/>
      </c>
      <c r="BZ20" s="1115" t="n">
        <v>2180</v>
      </c>
      <c r="CA20" s="869" t="n">
        <v>39280</v>
      </c>
      <c r="CB20" s="869" t="n">
        <v>25225.6</v>
      </c>
      <c r="CC20" s="1058" t="n">
        <v>2010</v>
      </c>
      <c r="CD20" s="1058" t="n">
        <v>34040</v>
      </c>
      <c r="CE20" s="1058" t="n">
        <v>22217.6</v>
      </c>
      <c r="CF20" s="869" t="n"/>
      <c r="CG20" s="869" t="n"/>
      <c r="CH20" s="869" t="n"/>
      <c r="CI20" s="869" t="n"/>
      <c r="CJ20" s="869" t="n"/>
      <c r="CK20" s="869" t="n"/>
      <c r="CL20" s="869" t="n"/>
      <c r="CM20" s="869" t="n"/>
      <c r="CN20" s="869" t="n"/>
      <c r="CO20" s="869" t="n"/>
      <c r="CP20" s="869" t="n"/>
      <c r="CQ20" s="869" t="n"/>
      <c r="CR20" s="869" t="n"/>
      <c r="CS20" s="869" t="n"/>
      <c r="CT20" s="869" t="n"/>
      <c r="CU20" s="869" t="n"/>
      <c r="CV20" s="869" t="n"/>
      <c r="CW20" s="869" t="n"/>
      <c r="CX20" s="869" t="n"/>
      <c r="CY20" s="869" t="n"/>
      <c r="CZ20" s="869" t="n"/>
      <c r="DA20" s="869" t="n"/>
      <c r="DB20" s="869" t="n"/>
      <c r="DC20" s="869" t="n"/>
      <c r="DD20" s="869" t="n"/>
      <c r="DE20" s="869" t="n"/>
      <c r="DF20" s="869" t="n"/>
      <c r="DG20" s="869" t="n"/>
      <c r="DH20" s="869" t="n"/>
      <c r="DI20" s="869" t="n"/>
      <c r="DJ20" s="1116">
        <f>BZ20+CC20+CF20+CI20+CL20+CO20+CR20+CU20+CX20+DA20+DD20+DG20</f>
        <v/>
      </c>
      <c r="DK20" s="1116">
        <f>CA20+CD20+CG20+CJ20+CM20+CP20+CS20+CV20+CY20+DB20+DE20+DH20</f>
        <v/>
      </c>
      <c r="DL20" s="1116">
        <f>CB20+CE20+CH20+CK20+CN20+CQ20+CT20+CW20+CZ20+DC20+DF20+DI20</f>
        <v/>
      </c>
      <c r="DM20" s="1117">
        <f>DJ20/2</f>
        <v/>
      </c>
      <c r="DN20" s="1117">
        <f>DK20/2</f>
        <v/>
      </c>
      <c r="DO20" s="1118">
        <f>DL20/2</f>
        <v/>
      </c>
      <c r="DP20" s="1121">
        <f>DO20/BV20*100-100</f>
        <v/>
      </c>
      <c r="DQ20" s="1120">
        <f>DO20/BY20*100-100</f>
        <v/>
      </c>
    </row>
    <row r="21">
      <c r="A21" s="869" t="n">
        <v>18</v>
      </c>
      <c r="B21" s="869" t="inlineStr">
        <is>
          <t>Summer-2</t>
        </is>
      </c>
      <c r="C21" s="869" t="inlineStr">
        <is>
          <t>Summer-2</t>
        </is>
      </c>
      <c r="D21" s="869" t="inlineStr">
        <is>
          <t>မိတ္ထီလာ</t>
        </is>
      </c>
      <c r="E21" s="869" t="inlineStr">
        <is>
          <t>Meikhtila</t>
        </is>
      </c>
      <c r="F21" s="869" t="inlineStr">
        <is>
          <t>Wholesale</t>
        </is>
      </c>
      <c r="G21" s="1113" t="n">
        <v>1805</v>
      </c>
      <c r="H21" s="1113" t="n">
        <v>31720</v>
      </c>
      <c r="I21" s="1113" t="n">
        <v>1590</v>
      </c>
      <c r="J21" s="1113" t="n">
        <v>28010</v>
      </c>
      <c r="K21" s="1113" t="n">
        <v>1280</v>
      </c>
      <c r="L21" s="1113" t="n">
        <v>22500</v>
      </c>
      <c r="M21" s="1113" t="n">
        <v>1555</v>
      </c>
      <c r="N21" s="1113" t="n">
        <v>26940</v>
      </c>
      <c r="O21" s="1113" t="n">
        <v>1365</v>
      </c>
      <c r="P21" s="1113" t="n">
        <v>23600</v>
      </c>
      <c r="Q21" s="1113" t="n">
        <v>1295</v>
      </c>
      <c r="R21" s="1113" t="n">
        <v>22900</v>
      </c>
      <c r="S21" s="1113" t="n">
        <v>1395</v>
      </c>
      <c r="T21" s="1113" t="n">
        <v>24420</v>
      </c>
      <c r="U21" s="1113" t="n">
        <v>1360</v>
      </c>
      <c r="V21" s="1113" t="n">
        <v>25120</v>
      </c>
      <c r="W21" s="1113" t="n">
        <v>1435</v>
      </c>
      <c r="X21" s="1113" t="n">
        <v>25200</v>
      </c>
      <c r="Y21" s="1113" t="n">
        <v>1495</v>
      </c>
      <c r="Z21" s="1113" t="n">
        <v>26440</v>
      </c>
      <c r="AA21" s="1113" t="n">
        <v>1530</v>
      </c>
      <c r="AB21" s="1113" t="n">
        <v>26680</v>
      </c>
      <c r="AC21" s="1113" t="n">
        <v>1665</v>
      </c>
      <c r="AD21" s="1113" t="n">
        <v>29220</v>
      </c>
      <c r="AE21" s="1114">
        <f>G21+I21+K21+M21+O21+Q21+S21+U21+W21+Y21+AA21+AC21</f>
        <v/>
      </c>
      <c r="AF21" s="1114">
        <f>H21+J21+L21+N21+P21+R21+T21+V21+X21+Z21+AB21+AD21</f>
        <v/>
      </c>
      <c r="AG21" s="1115" t="n">
        <v>1375</v>
      </c>
      <c r="AH21" s="1115" t="n">
        <v>24100</v>
      </c>
      <c r="AI21" s="1115" t="n">
        <v>16072</v>
      </c>
      <c r="AJ21" s="1115" t="n">
        <v>1230</v>
      </c>
      <c r="AK21" s="1115" t="n">
        <v>21740</v>
      </c>
      <c r="AL21" s="1115" t="n">
        <v>14302.4</v>
      </c>
      <c r="AM21" s="1115" t="n">
        <v>1485</v>
      </c>
      <c r="AN21" s="1115" t="n">
        <v>26340</v>
      </c>
      <c r="AO21" s="1115" t="n">
        <v>17505.6</v>
      </c>
      <c r="AP21" s="1115" t="n">
        <v>1303</v>
      </c>
      <c r="AQ21" s="1115" t="n">
        <v>23132</v>
      </c>
      <c r="AR21" s="1115" t="n">
        <v>15106.88</v>
      </c>
      <c r="AS21" s="1115" t="n">
        <v>1355</v>
      </c>
      <c r="AT21" s="1115" t="n">
        <v>23920</v>
      </c>
      <c r="AU21" s="1115" t="n">
        <v>15956.8</v>
      </c>
      <c r="AV21" s="1115" t="n">
        <v>905</v>
      </c>
      <c r="AW21" s="1115" t="n">
        <v>16520</v>
      </c>
      <c r="AX21" s="1115" t="n">
        <v>11004.8</v>
      </c>
      <c r="AY21" s="1115" t="n">
        <v>1205</v>
      </c>
      <c r="AZ21" s="1115" t="n">
        <v>20760</v>
      </c>
      <c r="BA21" s="1115" t="n">
        <v>13632</v>
      </c>
      <c r="BB21" s="1115" t="n">
        <v>1250</v>
      </c>
      <c r="BC21" s="1115" t="n">
        <v>21640</v>
      </c>
      <c r="BD21" s="1115" t="n">
        <v>14411.2</v>
      </c>
      <c r="BE21" s="1115" t="n">
        <v>1740</v>
      </c>
      <c r="BF21" s="1115" t="n">
        <v>29880</v>
      </c>
      <c r="BG21" s="1115" t="n">
        <v>20160</v>
      </c>
      <c r="BH21" s="1115" t="n">
        <v>1695</v>
      </c>
      <c r="BI21" s="1115" t="n">
        <v>28260</v>
      </c>
      <c r="BJ21" s="1115" t="n">
        <v>19641.60000000001</v>
      </c>
      <c r="BK21" s="1115" t="n">
        <v>1686</v>
      </c>
      <c r="BL21" s="1115" t="n">
        <v>29152</v>
      </c>
      <c r="BM21" s="1115" t="n">
        <v>19417.60000000001</v>
      </c>
      <c r="BN21" s="1115" t="n">
        <v>1910</v>
      </c>
      <c r="BO21" s="1115" t="n">
        <v>32560</v>
      </c>
      <c r="BP21" s="1115" t="n">
        <v>22091.2</v>
      </c>
      <c r="BQ21" s="1114">
        <f>AG21+AJ21+AM21+AP21+AS21+AV21+AY21+BB21+BE21+BH21+BK21+BN21</f>
        <v/>
      </c>
      <c r="BR21" s="1114">
        <f>AH21+AK21+AN21+AQ21+AT21+AW21+AZ21+BC21+BF21+BI21+BL21+BO21</f>
        <v/>
      </c>
      <c r="BS21" s="1114">
        <f>AI21+AL21+AO21+AR21+AU21+AX21+BA21+BD21+BG21+BJ21+BM21+BP21</f>
        <v/>
      </c>
      <c r="BT21" s="1114">
        <f>(AG21+AJ21)/2</f>
        <v/>
      </c>
      <c r="BU21" s="1114">
        <f>(AH21+AK21)/2</f>
        <v/>
      </c>
      <c r="BV21" s="1114">
        <f>(AI21+AL21)/2</f>
        <v/>
      </c>
      <c r="BW21" s="1114">
        <f>BQ21/12</f>
        <v/>
      </c>
      <c r="BX21" s="1114">
        <f>BR21/12</f>
        <v/>
      </c>
      <c r="BY21" s="1114">
        <f>BS21/12</f>
        <v/>
      </c>
      <c r="BZ21" s="1115" t="n">
        <v>1622</v>
      </c>
      <c r="CA21" s="869" t="n">
        <v>27388</v>
      </c>
      <c r="CB21" s="869" t="n">
        <v>18910.72</v>
      </c>
      <c r="CC21" s="1058" t="n">
        <v>1410</v>
      </c>
      <c r="CD21" s="1058" t="n">
        <v>24860</v>
      </c>
      <c r="CE21" s="1058" t="n">
        <v>16731.2</v>
      </c>
      <c r="CF21" s="869" t="n"/>
      <c r="CG21" s="869" t="n"/>
      <c r="CH21" s="869" t="n"/>
      <c r="CI21" s="869" t="n"/>
      <c r="CJ21" s="869" t="n"/>
      <c r="CK21" s="869" t="n"/>
      <c r="CL21" s="869" t="n"/>
      <c r="CM21" s="869" t="n"/>
      <c r="CN21" s="869" t="n"/>
      <c r="CO21" s="869" t="n"/>
      <c r="CP21" s="869" t="n"/>
      <c r="CQ21" s="869" t="n"/>
      <c r="CR21" s="869" t="n"/>
      <c r="CS21" s="869" t="n"/>
      <c r="CT21" s="869" t="n"/>
      <c r="CU21" s="869" t="n"/>
      <c r="CV21" s="869" t="n"/>
      <c r="CW21" s="869" t="n"/>
      <c r="CX21" s="869" t="n"/>
      <c r="CY21" s="869" t="n"/>
      <c r="CZ21" s="869" t="n"/>
      <c r="DA21" s="869" t="n"/>
      <c r="DB21" s="869" t="n"/>
      <c r="DC21" s="869" t="n"/>
      <c r="DD21" s="869" t="n"/>
      <c r="DE21" s="869" t="n"/>
      <c r="DF21" s="869" t="n"/>
      <c r="DG21" s="869" t="n"/>
      <c r="DH21" s="869" t="n"/>
      <c r="DI21" s="869" t="n"/>
      <c r="DJ21" s="1116">
        <f>BZ21+CC21+CF21+CI21+CL21+CO21+CR21+CU21+CX21+DA21+DD21+DG21</f>
        <v/>
      </c>
      <c r="DK21" s="1116">
        <f>CA21+CD21+CG21+CJ21+CM21+CP21+CS21+CV21+CY21+DB21+DE21+DH21</f>
        <v/>
      </c>
      <c r="DL21" s="1116">
        <f>CB21+CE21+CH21+CK21+CN21+CQ21+CT21+CW21+CZ21+DC21+DF21+DI21</f>
        <v/>
      </c>
      <c r="DM21" s="1117">
        <f>DJ21/2</f>
        <v/>
      </c>
      <c r="DN21" s="1117">
        <f>DK21/2</f>
        <v/>
      </c>
      <c r="DO21" s="1118">
        <f>DL21/2</f>
        <v/>
      </c>
      <c r="DP21" s="1121">
        <f>DO21/BV21*100-100</f>
        <v/>
      </c>
      <c r="DQ21" s="1120">
        <f>DO21/BY21*100-100</f>
        <v/>
      </c>
    </row>
    <row r="22">
      <c r="A22" s="869" t="n">
        <v>19</v>
      </c>
      <c r="B22" s="869" t="inlineStr">
        <is>
          <t>ဦးအေးခင်မောင်</t>
        </is>
      </c>
      <c r="C22" s="869" t="inlineStr">
        <is>
          <t>U Aye Khin Maung</t>
        </is>
      </c>
      <c r="D22" s="869" t="inlineStr">
        <is>
          <t>မိတ္ထီလာ</t>
        </is>
      </c>
      <c r="E22" s="869" t="inlineStr">
        <is>
          <t>Meikhtila</t>
        </is>
      </c>
      <c r="F22" s="869" t="inlineStr">
        <is>
          <t>Wholesale</t>
        </is>
      </c>
      <c r="G22" s="1113" t="n">
        <v>680</v>
      </c>
      <c r="H22" s="1113" t="n">
        <v>11720</v>
      </c>
      <c r="I22" s="1113" t="n">
        <v>550</v>
      </c>
      <c r="J22" s="1113" t="n">
        <v>9700</v>
      </c>
      <c r="K22" s="1113" t="n">
        <v>655</v>
      </c>
      <c r="L22" s="1113" t="n">
        <v>10920</v>
      </c>
      <c r="M22" s="1113" t="n">
        <v>500</v>
      </c>
      <c r="N22" s="1113" t="n">
        <v>8250</v>
      </c>
      <c r="O22" s="1113" t="n">
        <v>375</v>
      </c>
      <c r="P22" s="1113" t="n">
        <v>6850</v>
      </c>
      <c r="Q22" s="1113" t="n">
        <v>595</v>
      </c>
      <c r="R22" s="1113" t="n">
        <v>10030</v>
      </c>
      <c r="S22" s="1113" t="n">
        <v>635</v>
      </c>
      <c r="T22" s="1113" t="n">
        <v>10690</v>
      </c>
      <c r="U22" s="1113" t="n">
        <v>690</v>
      </c>
      <c r="V22" s="1113" t="n">
        <v>11360</v>
      </c>
      <c r="W22" s="1113" t="n">
        <v>530</v>
      </c>
      <c r="X22" s="1113" t="n">
        <v>9050</v>
      </c>
      <c r="Y22" s="1113" t="n">
        <v>610</v>
      </c>
      <c r="Z22" s="1113" t="n">
        <v>10340</v>
      </c>
      <c r="AA22" s="1113" t="n">
        <v>565</v>
      </c>
      <c r="AB22" s="1113" t="n">
        <v>9660</v>
      </c>
      <c r="AC22" s="1113" t="n">
        <v>655</v>
      </c>
      <c r="AD22" s="1113" t="n">
        <v>11220</v>
      </c>
      <c r="AE22" s="1114">
        <f>G22+I22+K22+M22+O22+Q22+S22+U22+W22+Y22+AA22+AC22</f>
        <v/>
      </c>
      <c r="AF22" s="1114">
        <f>H22+J22+L22+N22+P22+R22+T22+V22+X22+Z22+AB22+AD22</f>
        <v/>
      </c>
      <c r="AG22" s="1115" t="n">
        <v>515</v>
      </c>
      <c r="AH22" s="1115" t="n">
        <v>8860</v>
      </c>
      <c r="AI22" s="1115" t="n">
        <v>5670.4</v>
      </c>
      <c r="AJ22" s="1115" t="n">
        <v>670</v>
      </c>
      <c r="AK22" s="1115" t="n">
        <v>11080</v>
      </c>
      <c r="AL22" s="1115" t="n">
        <v>7091.199999999999</v>
      </c>
      <c r="AM22" s="1115" t="n">
        <v>495</v>
      </c>
      <c r="AN22" s="1115" t="n">
        <v>8630</v>
      </c>
      <c r="AO22" s="1115" t="n">
        <v>5523.200000000001</v>
      </c>
      <c r="AP22" s="1115" t="n">
        <v>410</v>
      </c>
      <c r="AQ22" s="1115" t="n">
        <v>7390</v>
      </c>
      <c r="AR22" s="1115" t="n">
        <v>4729.6</v>
      </c>
      <c r="AS22" s="1115" t="n">
        <v>605</v>
      </c>
      <c r="AT22" s="1115" t="n">
        <v>10970</v>
      </c>
      <c r="AU22" s="1115" t="n">
        <v>7280</v>
      </c>
      <c r="AV22" s="1115" t="n">
        <v>480</v>
      </c>
      <c r="AW22" s="1115" t="n">
        <v>8420</v>
      </c>
      <c r="AX22" s="1115" t="n">
        <v>5388.8</v>
      </c>
      <c r="AY22" s="1115" t="n">
        <v>595</v>
      </c>
      <c r="AZ22" s="1115" t="n">
        <v>10480</v>
      </c>
      <c r="BA22" s="1115" t="n">
        <v>6707.200000000001</v>
      </c>
      <c r="BB22" s="1115" t="n">
        <v>445</v>
      </c>
      <c r="BC22" s="1115" t="n">
        <v>7930</v>
      </c>
      <c r="BD22" s="1115" t="n">
        <v>5075.200000000001</v>
      </c>
      <c r="BE22" s="1115" t="n">
        <v>470</v>
      </c>
      <c r="BF22" s="1115" t="n">
        <v>8230</v>
      </c>
      <c r="BG22" s="1115" t="n">
        <v>5267.2</v>
      </c>
      <c r="BH22" s="1115" t="n">
        <v>500</v>
      </c>
      <c r="BI22" s="1115" t="n">
        <v>9000</v>
      </c>
      <c r="BJ22" s="1115" t="n">
        <v>5760</v>
      </c>
      <c r="BK22" s="1115" t="n">
        <v>615</v>
      </c>
      <c r="BL22" s="1115" t="n">
        <v>10460</v>
      </c>
      <c r="BM22" s="1115" t="n">
        <v>6694.400000000001</v>
      </c>
      <c r="BN22" s="1115" t="n">
        <v>410</v>
      </c>
      <c r="BO22" s="1115" t="n">
        <v>7340</v>
      </c>
      <c r="BP22" s="1115" t="n">
        <v>4697.6</v>
      </c>
      <c r="BQ22" s="1114">
        <f>AG22+AJ22+AM22+AP22+AS22+AV22+AY22+BB22+BE22+BH22+BK22+BN22</f>
        <v/>
      </c>
      <c r="BR22" s="1114">
        <f>AH22+AK22+AN22+AQ22+AT22+AW22+AZ22+BC22+BF22+BI22+BL22+BO22</f>
        <v/>
      </c>
      <c r="BS22" s="1114">
        <f>AI22+AL22+AO22+AR22+AU22+AX22+BA22+BD22+BG22+BJ22+BM22+BP22</f>
        <v/>
      </c>
      <c r="BT22" s="1114">
        <f>(AG22+AJ22)/2</f>
        <v/>
      </c>
      <c r="BU22" s="1114">
        <f>(AH22+AK22)/2</f>
        <v/>
      </c>
      <c r="BV22" s="1114">
        <f>(AI22+AL22)/2</f>
        <v/>
      </c>
      <c r="BW22" s="1114">
        <f>BQ22/12</f>
        <v/>
      </c>
      <c r="BX22" s="1114">
        <f>BR22/12</f>
        <v/>
      </c>
      <c r="BY22" s="1114">
        <f>BS22/12</f>
        <v/>
      </c>
      <c r="BZ22" s="1115" t="n">
        <v>510</v>
      </c>
      <c r="CA22" s="869" t="n">
        <v>9140</v>
      </c>
      <c r="CB22" s="869" t="n">
        <v>5849.6</v>
      </c>
      <c r="CC22" s="1058" t="n">
        <v>420</v>
      </c>
      <c r="CD22" s="1058" t="n">
        <v>7580</v>
      </c>
      <c r="CE22" s="1058" t="n">
        <v>4851.2</v>
      </c>
      <c r="CF22" s="869" t="n"/>
      <c r="CG22" s="869" t="n"/>
      <c r="CH22" s="869" t="n"/>
      <c r="CI22" s="869" t="n"/>
      <c r="CJ22" s="869" t="n"/>
      <c r="CK22" s="869" t="n"/>
      <c r="CL22" s="869" t="n"/>
      <c r="CM22" s="869" t="n"/>
      <c r="CN22" s="869" t="n"/>
      <c r="CO22" s="869" t="n"/>
      <c r="CP22" s="869" t="n"/>
      <c r="CQ22" s="869" t="n"/>
      <c r="CR22" s="869" t="n"/>
      <c r="CS22" s="869" t="n"/>
      <c r="CT22" s="869" t="n"/>
      <c r="CU22" s="869" t="n"/>
      <c r="CV22" s="869" t="n"/>
      <c r="CW22" s="869" t="n"/>
      <c r="CX22" s="869" t="n"/>
      <c r="CY22" s="869" t="n"/>
      <c r="CZ22" s="869" t="n"/>
      <c r="DA22" s="869" t="n"/>
      <c r="DB22" s="869" t="n"/>
      <c r="DC22" s="869" t="n"/>
      <c r="DD22" s="869" t="n"/>
      <c r="DE22" s="869" t="n"/>
      <c r="DF22" s="869" t="n"/>
      <c r="DG22" s="869" t="n"/>
      <c r="DH22" s="869" t="n"/>
      <c r="DI22" s="869" t="n"/>
      <c r="DJ22" s="1116">
        <f>BZ22+CC22+CF22+CI22+CL22+CO22+CR22+CU22+CX22+DA22+DD22+DG22</f>
        <v/>
      </c>
      <c r="DK22" s="1116">
        <f>CA22+CD22+CG22+CJ22+CM22+CP22+CS22+CV22+CY22+DB22+DE22+DH22</f>
        <v/>
      </c>
      <c r="DL22" s="1116">
        <f>CB22+CE22+CH22+CK22+CN22+CQ22+CT22+CW22+CZ22+DC22+DF22+DI22</f>
        <v/>
      </c>
      <c r="DM22" s="1117">
        <f>DJ22/2</f>
        <v/>
      </c>
      <c r="DN22" s="1117">
        <f>DK22/2</f>
        <v/>
      </c>
      <c r="DO22" s="1118">
        <f>DL22/2</f>
        <v/>
      </c>
      <c r="DP22" s="1119">
        <f>DO22/BV22*100-100</f>
        <v/>
      </c>
      <c r="DQ22" s="1120">
        <f>DO22/BY22*100-100</f>
        <v/>
      </c>
    </row>
    <row r="23">
      <c r="A23" s="869" t="n">
        <v>20</v>
      </c>
      <c r="B23" s="869" t="inlineStr">
        <is>
          <t>ဦးကျော်လှ</t>
        </is>
      </c>
      <c r="C23" s="869" t="inlineStr">
        <is>
          <t>U Kyaw Hla</t>
        </is>
      </c>
      <c r="D23" s="869" t="inlineStr">
        <is>
          <t>သာစည်</t>
        </is>
      </c>
      <c r="E23" s="869" t="inlineStr">
        <is>
          <t>Tharzi</t>
        </is>
      </c>
      <c r="F23" s="869" t="inlineStr">
        <is>
          <t>Wholesale</t>
        </is>
      </c>
      <c r="G23" s="1113" t="n">
        <v>820</v>
      </c>
      <c r="H23" s="1113" t="n">
        <v>12240</v>
      </c>
      <c r="I23" s="1113" t="n">
        <v>1091</v>
      </c>
      <c r="J23" s="1113" t="n">
        <v>15944</v>
      </c>
      <c r="K23" s="1113" t="n">
        <v>1010</v>
      </c>
      <c r="L23" s="1113" t="n">
        <v>14850</v>
      </c>
      <c r="M23" s="1113" t="n">
        <v>1210</v>
      </c>
      <c r="N23" s="1113" t="n">
        <v>17820</v>
      </c>
      <c r="O23" s="1113" t="n">
        <v>1050</v>
      </c>
      <c r="P23" s="1113" t="n">
        <v>15550</v>
      </c>
      <c r="Q23" s="1113" t="n">
        <v>830</v>
      </c>
      <c r="R23" s="1113" t="n">
        <v>12290</v>
      </c>
      <c r="S23" s="1113" t="n">
        <v>1315</v>
      </c>
      <c r="T23" s="1113" t="n">
        <v>19480</v>
      </c>
      <c r="U23" s="1113" t="n">
        <v>1150</v>
      </c>
      <c r="V23" s="1113" t="n">
        <v>17060</v>
      </c>
      <c r="W23" s="1113" t="n">
        <v>1185</v>
      </c>
      <c r="X23" s="1113" t="n">
        <v>17750</v>
      </c>
      <c r="Y23" s="1113" t="n">
        <v>1055</v>
      </c>
      <c r="Z23" s="1113" t="n">
        <v>15730</v>
      </c>
      <c r="AA23" s="1113" t="n">
        <v>880</v>
      </c>
      <c r="AB23" s="1113" t="n">
        <v>13380</v>
      </c>
      <c r="AC23" s="1113" t="n">
        <v>695</v>
      </c>
      <c r="AD23" s="1113" t="n">
        <v>10370</v>
      </c>
      <c r="AE23" s="1114">
        <f>G23+I23+K23+M23+O23+Q23+S23+U23+W23+Y23+AA23+AC23</f>
        <v/>
      </c>
      <c r="AF23" s="1114">
        <f>H23+J23+L23+N23+P23+R23+T23+V23+X23+Z23+AB23+AD23</f>
        <v/>
      </c>
      <c r="AG23" s="1115" t="n">
        <v>820</v>
      </c>
      <c r="AH23" s="1115" t="n">
        <v>12290</v>
      </c>
      <c r="AI23" s="1115" t="n">
        <v>7898</v>
      </c>
      <c r="AJ23" s="1115" t="n">
        <v>525</v>
      </c>
      <c r="AK23" s="1115" t="n">
        <v>8050</v>
      </c>
      <c r="AL23" s="1115" t="n">
        <v>5170</v>
      </c>
      <c r="AM23" s="1115" t="n">
        <v>790</v>
      </c>
      <c r="AN23" s="1115" t="n">
        <v>12280</v>
      </c>
      <c r="AO23" s="1115" t="n">
        <v>7870</v>
      </c>
      <c r="AP23" s="1115" t="n">
        <v>668</v>
      </c>
      <c r="AQ23" s="1115" t="n">
        <v>10932</v>
      </c>
      <c r="AR23" s="1115" t="n">
        <v>7003.68</v>
      </c>
      <c r="AS23" s="1115" t="n">
        <v>660</v>
      </c>
      <c r="AT23" s="1115" t="n">
        <v>10920</v>
      </c>
      <c r="AU23" s="1115" t="n">
        <v>7014.000000000001</v>
      </c>
      <c r="AV23" s="1115" t="n">
        <v>510</v>
      </c>
      <c r="AW23" s="1115" t="n">
        <v>7630</v>
      </c>
      <c r="AX23" s="1115" t="n">
        <v>4886.8</v>
      </c>
      <c r="AY23" s="1115" t="n">
        <v>595</v>
      </c>
      <c r="AZ23" s="1115" t="n">
        <v>8560</v>
      </c>
      <c r="BA23" s="1115" t="n">
        <v>5467.6</v>
      </c>
      <c r="BB23" s="1115" t="n">
        <v>575</v>
      </c>
      <c r="BC23" s="1115" t="n">
        <v>8500</v>
      </c>
      <c r="BD23" s="1115" t="n">
        <v>5440</v>
      </c>
      <c r="BE23" s="1115" t="n">
        <v>530</v>
      </c>
      <c r="BF23" s="1115" t="n">
        <v>7860</v>
      </c>
      <c r="BG23" s="1115" t="n">
        <v>5034</v>
      </c>
      <c r="BH23" s="1115" t="n">
        <v>695</v>
      </c>
      <c r="BI23" s="1115" t="n">
        <v>10220</v>
      </c>
      <c r="BJ23" s="1115" t="n">
        <v>6544.4</v>
      </c>
      <c r="BK23" s="1115" t="n">
        <v>535</v>
      </c>
      <c r="BL23" s="1115" t="n">
        <v>8090</v>
      </c>
      <c r="BM23" s="1115" t="n">
        <v>5177.6</v>
      </c>
      <c r="BN23" s="1115" t="n">
        <v>445</v>
      </c>
      <c r="BO23" s="1115" t="n">
        <v>6820</v>
      </c>
      <c r="BP23" s="1115" t="n">
        <v>4368.4</v>
      </c>
      <c r="BQ23" s="1114">
        <f>AG23+AJ23+AM23+AP23+AS23+AV23+AY23+BB23+BE23+BH23+BK23+BN23</f>
        <v/>
      </c>
      <c r="BR23" s="1114">
        <f>AH23+AK23+AN23+AQ23+AT23+AW23+AZ23+BC23+BF23+BI23+BL23+BO23</f>
        <v/>
      </c>
      <c r="BS23" s="1114">
        <f>AI23+AL23+AO23+AR23+AU23+AX23+BA23+BD23+BG23+BJ23+BM23+BP23</f>
        <v/>
      </c>
      <c r="BT23" s="1114">
        <f>(AG23+AJ23)/2</f>
        <v/>
      </c>
      <c r="BU23" s="1114">
        <f>(AH23+AK23)/2</f>
        <v/>
      </c>
      <c r="BV23" s="1114">
        <f>(AI23+AL23)/2</f>
        <v/>
      </c>
      <c r="BW23" s="1114">
        <f>BQ23/12</f>
        <v/>
      </c>
      <c r="BX23" s="1114">
        <f>BR23/12</f>
        <v/>
      </c>
      <c r="BY23" s="1114">
        <f>BS23/12</f>
        <v/>
      </c>
      <c r="BZ23" s="1115" t="n">
        <v>435</v>
      </c>
      <c r="CA23" s="869" t="n">
        <v>6740</v>
      </c>
      <c r="CB23" s="869" t="n">
        <v>4313.6</v>
      </c>
      <c r="CC23" s="1058" t="n">
        <v>375</v>
      </c>
      <c r="CD23" s="1058" t="n">
        <v>5850</v>
      </c>
      <c r="CE23" s="1058" t="n">
        <v>3744</v>
      </c>
      <c r="CF23" s="869" t="n"/>
      <c r="CG23" s="869" t="n"/>
      <c r="CH23" s="869" t="n"/>
      <c r="CI23" s="869" t="n"/>
      <c r="CJ23" s="869" t="n"/>
      <c r="CK23" s="869" t="n"/>
      <c r="CL23" s="869" t="n"/>
      <c r="CM23" s="869" t="n"/>
      <c r="CN23" s="869" t="n"/>
      <c r="CO23" s="869" t="n"/>
      <c r="CP23" s="869" t="n"/>
      <c r="CQ23" s="869" t="n"/>
      <c r="CR23" s="869" t="n"/>
      <c r="CS23" s="869" t="n"/>
      <c r="CT23" s="869" t="n"/>
      <c r="CU23" s="869" t="n"/>
      <c r="CV23" s="869" t="n"/>
      <c r="CW23" s="869" t="n"/>
      <c r="CX23" s="869" t="n"/>
      <c r="CY23" s="869" t="n"/>
      <c r="CZ23" s="869" t="n"/>
      <c r="DA23" s="869" t="n"/>
      <c r="DB23" s="869" t="n"/>
      <c r="DC23" s="869" t="n"/>
      <c r="DD23" s="869" t="n"/>
      <c r="DE23" s="869" t="n"/>
      <c r="DF23" s="869" t="n"/>
      <c r="DG23" s="869" t="n"/>
      <c r="DH23" s="869" t="n"/>
      <c r="DI23" s="869" t="n"/>
      <c r="DJ23" s="1116">
        <f>BZ23+CC23+CF23+CI23+CL23+CO23+CR23+CU23+CX23+DA23+DD23+DG23</f>
        <v/>
      </c>
      <c r="DK23" s="1116">
        <f>CA23+CD23+CG23+CJ23+CM23+CP23+CS23+CV23+CY23+DB23+DE23+DH23</f>
        <v/>
      </c>
      <c r="DL23" s="1116">
        <f>CB23+CE23+CH23+CK23+CN23+CQ23+CT23+CW23+CZ23+DC23+DF23+DI23</f>
        <v/>
      </c>
      <c r="DM23" s="1117">
        <f>DJ23/2</f>
        <v/>
      </c>
      <c r="DN23" s="1117">
        <f>DK23/2</f>
        <v/>
      </c>
      <c r="DO23" s="1118">
        <f>DL23/2</f>
        <v/>
      </c>
      <c r="DP23" s="1119">
        <f>DO23/BV23*100-100</f>
        <v/>
      </c>
      <c r="DQ23" s="1120">
        <f>DO23/BY23*100-100</f>
        <v/>
      </c>
      <c r="DR23" s="820" t="inlineStr">
        <is>
          <t>Must Grow</t>
        </is>
      </c>
    </row>
    <row r="24">
      <c r="A24" s="869" t="n">
        <v>21</v>
      </c>
      <c r="B24" s="869" t="inlineStr">
        <is>
          <t>ဦးဝင်းအောင်ကြွယ်</t>
        </is>
      </c>
      <c r="C24" s="869" t="inlineStr">
        <is>
          <t>U Win Aung Kyawe</t>
        </is>
      </c>
      <c r="D24" s="869" t="inlineStr">
        <is>
          <t>ပျော်ဘွယ်</t>
        </is>
      </c>
      <c r="E24" s="869" t="inlineStr">
        <is>
          <t>Pyawbwe</t>
        </is>
      </c>
      <c r="F24" s="869" t="inlineStr">
        <is>
          <t>Wholesale</t>
        </is>
      </c>
      <c r="G24" s="1113" t="n">
        <v>600</v>
      </c>
      <c r="H24" s="1113" t="n">
        <v>8000</v>
      </c>
      <c r="I24" s="1113" t="n">
        <v>420</v>
      </c>
      <c r="J24" s="1113" t="n">
        <v>6120</v>
      </c>
      <c r="K24" s="1113" t="n">
        <v>710</v>
      </c>
      <c r="L24" s="1113" t="n">
        <v>10520</v>
      </c>
      <c r="M24" s="1113" t="n">
        <v>530</v>
      </c>
      <c r="N24" s="1113" t="n">
        <v>7560</v>
      </c>
      <c r="O24" s="1113" t="n">
        <v>350</v>
      </c>
      <c r="P24" s="1113" t="n">
        <v>5300</v>
      </c>
      <c r="Q24" s="1113" t="n">
        <v>410</v>
      </c>
      <c r="R24" s="1113" t="n">
        <v>5580</v>
      </c>
      <c r="S24" s="1113" t="n">
        <v>600</v>
      </c>
      <c r="T24" s="1113" t="n">
        <v>8580</v>
      </c>
      <c r="U24" s="1113" t="n">
        <v>580</v>
      </c>
      <c r="V24" s="1113" t="n">
        <v>8380</v>
      </c>
      <c r="W24" s="1113" t="n">
        <v>590</v>
      </c>
      <c r="X24" s="1113" t="n">
        <v>8060</v>
      </c>
      <c r="Y24" s="1113" t="n">
        <v>540</v>
      </c>
      <c r="Z24" s="1113" t="n">
        <v>7680</v>
      </c>
      <c r="AA24" s="1113" t="n">
        <v>630</v>
      </c>
      <c r="AB24" s="1113" t="n">
        <v>8920</v>
      </c>
      <c r="AC24" s="1113" t="n">
        <v>580</v>
      </c>
      <c r="AD24" s="1113" t="n">
        <v>8480</v>
      </c>
      <c r="AE24" s="1114">
        <f>G24+I24+K24+M24+O24+Q24+S24+U24+W24+Y24+AA24+AC24</f>
        <v/>
      </c>
      <c r="AF24" s="1114">
        <f>H24+J24+L24+N24+P24+R24+T24+V24+X24+Z24+AB24+AD24</f>
        <v/>
      </c>
      <c r="AG24" s="1115" t="n">
        <v>710</v>
      </c>
      <c r="AH24" s="1115" t="n">
        <v>10540</v>
      </c>
      <c r="AI24" s="1115" t="n">
        <v>6817.6</v>
      </c>
      <c r="AJ24" s="1115" t="n">
        <v>410</v>
      </c>
      <c r="AK24" s="1115" t="n">
        <v>5580</v>
      </c>
      <c r="AL24" s="1115" t="n">
        <v>3664.8</v>
      </c>
      <c r="AM24" s="1115" t="n">
        <v>680</v>
      </c>
      <c r="AN24" s="1115" t="n">
        <v>9720</v>
      </c>
      <c r="AO24" s="1115" t="n">
        <v>6328.8</v>
      </c>
      <c r="AP24" s="1115" t="n">
        <v>490</v>
      </c>
      <c r="AQ24" s="1115" t="n">
        <v>7160</v>
      </c>
      <c r="AR24" s="1115" t="n">
        <v>4582.4</v>
      </c>
      <c r="AS24" s="1115" t="n">
        <v>200</v>
      </c>
      <c r="AT24" s="1115" t="n">
        <v>2900</v>
      </c>
      <c r="AU24" s="1115" t="n">
        <v>1892</v>
      </c>
      <c r="AV24" s="1115" t="n">
        <v>250</v>
      </c>
      <c r="AW24" s="1115" t="n">
        <v>3400</v>
      </c>
      <c r="AX24" s="1115" t="n">
        <v>2212</v>
      </c>
      <c r="AY24" s="1115" t="n">
        <v>250</v>
      </c>
      <c r="AZ24" s="1115" t="n">
        <v>3300</v>
      </c>
      <c r="BA24" s="1115" t="n">
        <v>2184</v>
      </c>
      <c r="BB24" s="1115" t="n">
        <v>270</v>
      </c>
      <c r="BC24" s="1115" t="n">
        <v>3980</v>
      </c>
      <c r="BD24" s="1115" t="n">
        <v>2547.2</v>
      </c>
      <c r="BE24" s="1115" t="n">
        <v>200</v>
      </c>
      <c r="BF24" s="1115" t="n">
        <v>2700</v>
      </c>
      <c r="BG24" s="1115" t="n">
        <v>1764</v>
      </c>
      <c r="BH24" s="1115" t="n">
        <v>540</v>
      </c>
      <c r="BI24" s="1115" t="n">
        <v>7510</v>
      </c>
      <c r="BJ24" s="1115" t="n">
        <v>4896.4</v>
      </c>
      <c r="BK24" s="1115" t="n">
        <v>570</v>
      </c>
      <c r="BL24" s="1115" t="n">
        <v>8080</v>
      </c>
      <c r="BM24" s="1115" t="n">
        <v>5207.2</v>
      </c>
      <c r="BN24" s="1115" t="n">
        <v>350</v>
      </c>
      <c r="BO24" s="1115" t="n">
        <v>4800</v>
      </c>
      <c r="BP24" s="1115" t="n">
        <v>3108</v>
      </c>
      <c r="BQ24" s="1114">
        <f>AG24+AJ24+AM24+AP24+AS24+AV24+AY24+BB24+BE24+BH24+BK24+BN24</f>
        <v/>
      </c>
      <c r="BR24" s="1114">
        <f>AH24+AK24+AN24+AQ24+AT24+AW24+AZ24+BC24+BF24+BI24+BL24+BO24</f>
        <v/>
      </c>
      <c r="BS24" s="1114">
        <f>AI24+AL24+AO24+AR24+AU24+AX24+BA24+BD24+BG24+BJ24+BM24+BP24</f>
        <v/>
      </c>
      <c r="BT24" s="1114">
        <f>(AG24+AJ24)/2</f>
        <v/>
      </c>
      <c r="BU24" s="1114">
        <f>(AH24+AK24)/2</f>
        <v/>
      </c>
      <c r="BV24" s="1114">
        <f>(AI24+AL24)/2</f>
        <v/>
      </c>
      <c r="BW24" s="1114">
        <f>BQ24/12</f>
        <v/>
      </c>
      <c r="BX24" s="1114">
        <f>BR24/12</f>
        <v/>
      </c>
      <c r="BY24" s="1114">
        <f>BS24/12</f>
        <v/>
      </c>
      <c r="BZ24" s="1115" t="n">
        <v>370</v>
      </c>
      <c r="CA24" s="869" t="n">
        <v>5080</v>
      </c>
      <c r="CB24" s="869" t="n">
        <v>3287.2</v>
      </c>
      <c r="CC24" s="1058" t="n">
        <v>550</v>
      </c>
      <c r="CD24" s="1058" t="n">
        <v>7660</v>
      </c>
      <c r="CE24" s="1058" t="n">
        <v>4988.799999999999</v>
      </c>
      <c r="CF24" s="869" t="n"/>
      <c r="CG24" s="869" t="n"/>
      <c r="CH24" s="869" t="n"/>
      <c r="CI24" s="869" t="n"/>
      <c r="CJ24" s="869" t="n"/>
      <c r="CK24" s="869" t="n"/>
      <c r="CL24" s="869" t="n"/>
      <c r="CM24" s="869" t="n"/>
      <c r="CN24" s="869" t="n"/>
      <c r="CO24" s="869" t="n"/>
      <c r="CP24" s="869" t="n"/>
      <c r="CQ24" s="869" t="n"/>
      <c r="CR24" s="869" t="n"/>
      <c r="CS24" s="869" t="n"/>
      <c r="CT24" s="869" t="n"/>
      <c r="CU24" s="869" t="n"/>
      <c r="CV24" s="869" t="n"/>
      <c r="CW24" s="869" t="n"/>
      <c r="CX24" s="869" t="n"/>
      <c r="CY24" s="869" t="n"/>
      <c r="CZ24" s="869" t="n"/>
      <c r="DA24" s="869" t="n"/>
      <c r="DB24" s="869" t="n"/>
      <c r="DC24" s="869" t="n"/>
      <c r="DD24" s="869" t="n"/>
      <c r="DE24" s="869" t="n"/>
      <c r="DF24" s="869" t="n"/>
      <c r="DG24" s="869" t="n"/>
      <c r="DH24" s="869" t="n"/>
      <c r="DI24" s="869" t="n"/>
      <c r="DJ24" s="1116">
        <f>BZ24+CC24+CF24+CI24+CL24+CO24+CR24+CU24+CX24+DA24+DD24+DG24</f>
        <v/>
      </c>
      <c r="DK24" s="1116">
        <f>CA24+CD24+CG24+CJ24+CM24+CP24+CS24+CV24+CY24+DB24+DE24+DH24</f>
        <v/>
      </c>
      <c r="DL24" s="1116">
        <f>CB24+CE24+CH24+CK24+CN24+CQ24+CT24+CW24+CZ24+DC24+DF24+DI24</f>
        <v/>
      </c>
      <c r="DM24" s="1117">
        <f>DJ24/2</f>
        <v/>
      </c>
      <c r="DN24" s="1117">
        <f>DK24/2</f>
        <v/>
      </c>
      <c r="DO24" s="1118">
        <f>DL24/2</f>
        <v/>
      </c>
      <c r="DP24" s="1119">
        <f>DO24/BV24*100-100</f>
        <v/>
      </c>
      <c r="DQ24" s="1120">
        <f>DO24/BY24*100-100</f>
        <v/>
      </c>
      <c r="DR24" s="820" t="inlineStr">
        <is>
          <t>Must Grow</t>
        </is>
      </c>
    </row>
    <row r="25">
      <c r="A25" s="869" t="n">
        <v>22</v>
      </c>
      <c r="B25" s="869" t="inlineStr">
        <is>
          <t>ဦးအောင်မိုး</t>
        </is>
      </c>
      <c r="C25" s="869" t="inlineStr">
        <is>
          <t>U Aung Moe</t>
        </is>
      </c>
      <c r="D25" s="869" t="inlineStr">
        <is>
          <t>ရမည်းသင်း</t>
        </is>
      </c>
      <c r="E25" s="869" t="inlineStr">
        <is>
          <t>Yamethin</t>
        </is>
      </c>
      <c r="F25" s="869" t="inlineStr">
        <is>
          <t>Wholesale</t>
        </is>
      </c>
      <c r="G25" s="1113" t="n">
        <v>600</v>
      </c>
      <c r="H25" s="1113" t="n">
        <v>8200</v>
      </c>
      <c r="I25" s="1113" t="n">
        <v>400</v>
      </c>
      <c r="J25" s="1113" t="n">
        <v>5600</v>
      </c>
      <c r="K25" s="1113" t="n">
        <v>900</v>
      </c>
      <c r="L25" s="1113" t="n">
        <v>12600</v>
      </c>
      <c r="M25" s="1113" t="n">
        <v>300</v>
      </c>
      <c r="N25" s="1113" t="n">
        <v>5600</v>
      </c>
      <c r="O25" s="1113" t="n">
        <v>400</v>
      </c>
      <c r="P25" s="1113" t="n">
        <v>5600</v>
      </c>
      <c r="Q25" s="1113" t="n">
        <v>400</v>
      </c>
      <c r="R25" s="1113" t="n">
        <v>5600</v>
      </c>
      <c r="S25" s="1113" t="n">
        <v>200</v>
      </c>
      <c r="T25" s="1113" t="n">
        <v>2800</v>
      </c>
      <c r="U25" s="1113" t="n">
        <v>300</v>
      </c>
      <c r="V25" s="1113" t="n">
        <v>4200</v>
      </c>
      <c r="W25" s="1113" t="n">
        <v>300</v>
      </c>
      <c r="X25" s="1113" t="n">
        <v>4200</v>
      </c>
      <c r="Y25" s="1113" t="n">
        <v>400</v>
      </c>
      <c r="Z25" s="1113" t="n">
        <v>5600</v>
      </c>
      <c r="AA25" s="1113" t="n">
        <v>300</v>
      </c>
      <c r="AB25" s="1113" t="n">
        <v>4200</v>
      </c>
      <c r="AC25" s="1113" t="n">
        <v>500</v>
      </c>
      <c r="AD25" s="1113" t="n">
        <v>8000</v>
      </c>
      <c r="AE25" s="1114">
        <f>G25+I25+K25+M25+O25+Q25+S25+U25+W25+Y25+AA25+AC25</f>
        <v/>
      </c>
      <c r="AF25" s="1114">
        <f>H25+J25+L25+N25+P25+R25+T25+V25+X25+Z25+AB25+AD25</f>
        <v/>
      </c>
      <c r="AG25" s="1115" t="n">
        <v>200</v>
      </c>
      <c r="AH25" s="1115" t="n">
        <v>2800</v>
      </c>
      <c r="AI25" s="1115" t="n">
        <v>1792</v>
      </c>
      <c r="AJ25" s="1115" t="n">
        <v>550</v>
      </c>
      <c r="AK25" s="1115" t="n">
        <v>8700</v>
      </c>
      <c r="AL25" s="1115" t="n">
        <v>5472</v>
      </c>
      <c r="AM25" s="1115" t="n">
        <v>300</v>
      </c>
      <c r="AN25" s="1115" t="n">
        <v>4200</v>
      </c>
      <c r="AO25" s="1115" t="n">
        <v>2688</v>
      </c>
      <c r="AP25" s="1115" t="n">
        <v>100</v>
      </c>
      <c r="AQ25" s="1115" t="n">
        <v>2400</v>
      </c>
      <c r="AR25" s="1115" t="n">
        <v>1440</v>
      </c>
      <c r="AS25" s="1115" t="n">
        <v>270</v>
      </c>
      <c r="AT25" s="1115" t="n">
        <v>4740</v>
      </c>
      <c r="AU25" s="1115" t="n">
        <v>2947.2</v>
      </c>
      <c r="AV25" s="1115" t="n">
        <v>200</v>
      </c>
      <c r="AW25" s="1115" t="n">
        <v>2700</v>
      </c>
      <c r="AX25" s="1115" t="n">
        <v>1944</v>
      </c>
      <c r="AY25" s="1115" t="n">
        <v>400</v>
      </c>
      <c r="AZ25" s="1115" t="n">
        <v>6600</v>
      </c>
      <c r="BA25" s="1115" t="n">
        <v>4128</v>
      </c>
      <c r="BB25" s="1115" t="n">
        <v>280</v>
      </c>
      <c r="BC25" s="1115" t="n">
        <v>4920</v>
      </c>
      <c r="BD25" s="1115" t="n">
        <v>3052.8</v>
      </c>
      <c r="BE25" s="1115" t="n">
        <v>330</v>
      </c>
      <c r="BF25" s="1115" t="n">
        <v>5060</v>
      </c>
      <c r="BG25" s="1115" t="n">
        <v>3204.8</v>
      </c>
      <c r="BH25" s="1115" t="n">
        <v>250</v>
      </c>
      <c r="BI25" s="1115" t="n">
        <v>4000</v>
      </c>
      <c r="BJ25" s="1115" t="n">
        <v>2512</v>
      </c>
      <c r="BK25" s="1115" t="n">
        <v>330</v>
      </c>
      <c r="BL25" s="1115" t="n">
        <v>6620</v>
      </c>
      <c r="BM25" s="1115" t="n">
        <v>4044.8</v>
      </c>
      <c r="BN25" s="1115" t="n">
        <v>200</v>
      </c>
      <c r="BO25" s="1115" t="n">
        <v>2800</v>
      </c>
      <c r="BP25" s="1115" t="n">
        <v>1792</v>
      </c>
      <c r="BQ25" s="1114">
        <f>AG25+AJ25+AM25+AP25+AS25+AV25+AY25+BB25+BE25+BH25+BK25+BN25</f>
        <v/>
      </c>
      <c r="BR25" s="1114">
        <f>AH25+AK25+AN25+AQ25+AT25+AW25+AZ25+BC25+BF25+BI25+BL25+BO25</f>
        <v/>
      </c>
      <c r="BS25" s="1114">
        <f>AI25+AL25+AO25+AR25+AU25+AX25+BA25+BD25+BG25+BJ25+BM25+BP25</f>
        <v/>
      </c>
      <c r="BT25" s="1114">
        <f>(AG25+AJ25)/2</f>
        <v/>
      </c>
      <c r="BU25" s="1114">
        <f>(AH25+AK25)/2</f>
        <v/>
      </c>
      <c r="BV25" s="1114">
        <f>(AI25+AL25)/2</f>
        <v/>
      </c>
      <c r="BW25" s="1114">
        <f>BQ25/12</f>
        <v/>
      </c>
      <c r="BX25" s="1114">
        <f>BR25/12</f>
        <v/>
      </c>
      <c r="BY25" s="1114">
        <f>BS25/12</f>
        <v/>
      </c>
      <c r="BZ25" s="1115" t="n">
        <v>500</v>
      </c>
      <c r="CA25" s="869" t="n">
        <v>7800</v>
      </c>
      <c r="CB25" s="869" t="n">
        <v>5328</v>
      </c>
      <c r="CC25" s="1058" t="n">
        <v>450</v>
      </c>
      <c r="CD25" s="1058" t="n">
        <v>8300</v>
      </c>
      <c r="CE25" s="1058" t="n">
        <v>5120</v>
      </c>
      <c r="CF25" s="869" t="n"/>
      <c r="CG25" s="869" t="n"/>
      <c r="CH25" s="869" t="n"/>
      <c r="CI25" s="869" t="n"/>
      <c r="CJ25" s="869" t="n"/>
      <c r="CK25" s="869" t="n"/>
      <c r="CL25" s="869" t="n"/>
      <c r="CM25" s="869" t="n"/>
      <c r="CN25" s="869" t="n"/>
      <c r="CO25" s="869" t="n"/>
      <c r="CP25" s="869" t="n"/>
      <c r="CQ25" s="869" t="n"/>
      <c r="CR25" s="869" t="n"/>
      <c r="CS25" s="869" t="n"/>
      <c r="CT25" s="869" t="n"/>
      <c r="CU25" s="869" t="n"/>
      <c r="CV25" s="869" t="n"/>
      <c r="CW25" s="869" t="n"/>
      <c r="CX25" s="869" t="n"/>
      <c r="CY25" s="869" t="n"/>
      <c r="CZ25" s="869" t="n"/>
      <c r="DA25" s="869" t="n"/>
      <c r="DB25" s="869" t="n"/>
      <c r="DC25" s="869" t="n"/>
      <c r="DD25" s="869" t="n"/>
      <c r="DE25" s="869" t="n"/>
      <c r="DF25" s="869" t="n"/>
      <c r="DG25" s="869" t="n"/>
      <c r="DH25" s="869" t="n"/>
      <c r="DI25" s="869" t="n"/>
      <c r="DJ25" s="1116">
        <f>BZ25+CC25+CF25+CI25+CL25+CO25+CR25+CU25+CX25+DA25+DD25+DG25</f>
        <v/>
      </c>
      <c r="DK25" s="1116">
        <f>CA25+CD25+CG25+CJ25+CM25+CP25+CS25+CV25+CY25+DB25+DE25+DH25</f>
        <v/>
      </c>
      <c r="DL25" s="1116">
        <f>CB25+CE25+CH25+CK25+CN25+CQ25+CT25+CW25+CZ25+DC25+DF25+DI25</f>
        <v/>
      </c>
      <c r="DM25" s="1117">
        <f>DJ25/2</f>
        <v/>
      </c>
      <c r="DN25" s="1117">
        <f>DK25/2</f>
        <v/>
      </c>
      <c r="DO25" s="1118">
        <f>DL25/2</f>
        <v/>
      </c>
      <c r="DP25" s="1121">
        <f>DO25/BV25*100-100</f>
        <v/>
      </c>
      <c r="DQ25" s="1120">
        <f>DO25/BY25*100-100</f>
        <v/>
      </c>
    </row>
    <row r="26">
      <c r="A26" s="869" t="n">
        <v>23</v>
      </c>
      <c r="B26" s="869" t="inlineStr">
        <is>
          <t>ဒေါ်ခင်စန်းမြင့်</t>
        </is>
      </c>
      <c r="C26" s="869" t="inlineStr">
        <is>
          <t>Daw Khin San Myint</t>
        </is>
      </c>
      <c r="D26" s="869" t="inlineStr">
        <is>
          <t>ကျောက်ပန်းတောင်း</t>
        </is>
      </c>
      <c r="E26" s="869" t="inlineStr">
        <is>
          <t>Kyaukpadaung</t>
        </is>
      </c>
      <c r="F26" s="869" t="inlineStr">
        <is>
          <t>Wholesale</t>
        </is>
      </c>
      <c r="G26" s="1113" t="n">
        <v>500</v>
      </c>
      <c r="H26" s="1113" t="n">
        <v>7000</v>
      </c>
      <c r="I26" s="1113" t="n">
        <v>500</v>
      </c>
      <c r="J26" s="1113" t="n">
        <v>7000</v>
      </c>
      <c r="K26" s="1113" t="n">
        <v>500</v>
      </c>
      <c r="L26" s="1113" t="n">
        <v>7000</v>
      </c>
      <c r="M26" s="1113" t="n">
        <v>500</v>
      </c>
      <c r="N26" s="1113" t="n">
        <v>7000</v>
      </c>
      <c r="O26" s="1113" t="n">
        <v>652</v>
      </c>
      <c r="P26" s="1113" t="n">
        <v>9136</v>
      </c>
      <c r="Q26" s="1113" t="n">
        <v>499</v>
      </c>
      <c r="R26" s="1113" t="n">
        <v>7116</v>
      </c>
      <c r="S26" s="1113" t="n">
        <v>400</v>
      </c>
      <c r="T26" s="1113" t="n">
        <v>5900</v>
      </c>
      <c r="U26" s="1113" t="n">
        <v>750</v>
      </c>
      <c r="V26" s="1113" t="n">
        <v>10500</v>
      </c>
      <c r="W26" s="1113" t="n">
        <v>360</v>
      </c>
      <c r="X26" s="1113" t="n">
        <v>5540</v>
      </c>
      <c r="Y26" s="1113" t="n">
        <v>660</v>
      </c>
      <c r="Z26" s="1113" t="n">
        <v>9780</v>
      </c>
      <c r="AA26" s="1113" t="n">
        <v>311</v>
      </c>
      <c r="AB26" s="1113" t="n">
        <v>4406</v>
      </c>
      <c r="AC26" s="1113" t="n">
        <v>400</v>
      </c>
      <c r="AD26" s="1113" t="n">
        <v>5600</v>
      </c>
      <c r="AE26" s="1114">
        <f>G26+I26+K26+M26+O26+Q26+S26+U26+W26+Y26+AA26+AC26</f>
        <v/>
      </c>
      <c r="AF26" s="1114">
        <f>H26+J26+L26+N26+P26+R26+T26+V26+X26+Z26+AB26+AD26</f>
        <v/>
      </c>
      <c r="AG26" s="1115" t="n">
        <v>600</v>
      </c>
      <c r="AH26" s="1115" t="n">
        <v>8400</v>
      </c>
      <c r="AI26" s="1115" t="n">
        <v>5376</v>
      </c>
      <c r="AJ26" s="1115" t="n">
        <v>250</v>
      </c>
      <c r="AK26" s="1115" t="n">
        <v>3500</v>
      </c>
      <c r="AL26" s="1115" t="n">
        <v>2240</v>
      </c>
      <c r="AM26" s="1115" t="n">
        <v>600</v>
      </c>
      <c r="AN26" s="1115" t="n">
        <v>8400</v>
      </c>
      <c r="AO26" s="1115" t="n">
        <v>5376</v>
      </c>
      <c r="AP26" s="1115" t="n">
        <v>650</v>
      </c>
      <c r="AQ26" s="1115" t="n">
        <v>9100</v>
      </c>
      <c r="AR26" s="1115" t="n">
        <v>5824</v>
      </c>
      <c r="AS26" s="1115" t="n">
        <v>301.4583333333333</v>
      </c>
      <c r="AT26" s="1115" t="n">
        <v>4229</v>
      </c>
      <c r="AU26" s="1115" t="n">
        <v>2700.25</v>
      </c>
      <c r="AV26" s="1115" t="n">
        <v>500</v>
      </c>
      <c r="AW26" s="1115" t="n">
        <v>7000</v>
      </c>
      <c r="AX26" s="1115" t="n">
        <v>4480</v>
      </c>
      <c r="AY26" s="1115" t="n">
        <v>550</v>
      </c>
      <c r="AZ26" s="1115" t="n">
        <v>7700</v>
      </c>
      <c r="BA26" s="1115" t="n">
        <v>4928</v>
      </c>
      <c r="BB26" s="1115" t="n">
        <v>300</v>
      </c>
      <c r="BC26" s="1115" t="n">
        <v>4200</v>
      </c>
      <c r="BD26" s="1115" t="n">
        <v>2688</v>
      </c>
      <c r="BE26" s="1115" t="n">
        <v>530</v>
      </c>
      <c r="BF26" s="1115" t="n">
        <v>7720</v>
      </c>
      <c r="BG26" s="1115" t="n">
        <v>4912</v>
      </c>
      <c r="BH26" s="1115" t="n">
        <v>300</v>
      </c>
      <c r="BI26" s="1115" t="n">
        <v>4200</v>
      </c>
      <c r="BJ26" s="1115" t="n">
        <v>2688</v>
      </c>
      <c r="BK26" s="1115" t="n">
        <v>550</v>
      </c>
      <c r="BL26" s="1115" t="n">
        <v>7700</v>
      </c>
      <c r="BM26" s="1115" t="n">
        <v>4928</v>
      </c>
      <c r="BN26" s="1115" t="n">
        <v>280</v>
      </c>
      <c r="BO26" s="1115" t="n">
        <v>4220</v>
      </c>
      <c r="BP26" s="1115" t="n">
        <v>2672</v>
      </c>
      <c r="BQ26" s="1114">
        <f>AG26+AJ26+AM26+AP26+AS26+AV26+AY26+BB26+BE26+BH26+BK26+BN26</f>
        <v/>
      </c>
      <c r="BR26" s="1114">
        <f>AH26+AK26+AN26+AQ26+AT26+AW26+AZ26+BC26+BF26+BI26+BL26+BO26</f>
        <v/>
      </c>
      <c r="BS26" s="1114">
        <f>AI26+AL26+AO26+AR26+AU26+AX26+BA26+BD26+BG26+BJ26+BM26+BP26</f>
        <v/>
      </c>
      <c r="BT26" s="1114">
        <f>(AG26+AJ26)/2</f>
        <v/>
      </c>
      <c r="BU26" s="1114">
        <f>(AH26+AK26)/2</f>
        <v/>
      </c>
      <c r="BV26" s="1114">
        <f>(AI26+AL26)/2</f>
        <v/>
      </c>
      <c r="BW26" s="1114">
        <f>BQ26/12</f>
        <v/>
      </c>
      <c r="BX26" s="1114">
        <f>BR26/12</f>
        <v/>
      </c>
      <c r="BY26" s="1114">
        <f>BS26/12</f>
        <v/>
      </c>
      <c r="BZ26" s="1115" t="n">
        <v>510</v>
      </c>
      <c r="CA26" s="869" t="n">
        <v>7440</v>
      </c>
      <c r="CB26" s="869" t="n">
        <v>4732.8</v>
      </c>
      <c r="CC26" s="1058" t="n">
        <v>280</v>
      </c>
      <c r="CD26" s="1058" t="n">
        <v>4220</v>
      </c>
      <c r="CE26" s="1058" t="n">
        <v>2672</v>
      </c>
      <c r="CF26" s="869" t="n"/>
      <c r="CG26" s="869" t="n"/>
      <c r="CH26" s="869" t="n"/>
      <c r="CI26" s="869" t="n"/>
      <c r="CJ26" s="869" t="n"/>
      <c r="CK26" s="869" t="n"/>
      <c r="CL26" s="869" t="n"/>
      <c r="CM26" s="869" t="n"/>
      <c r="CN26" s="869" t="n"/>
      <c r="CO26" s="869" t="n"/>
      <c r="CP26" s="869" t="n"/>
      <c r="CQ26" s="869" t="n"/>
      <c r="CR26" s="869" t="n"/>
      <c r="CS26" s="869" t="n"/>
      <c r="CT26" s="869" t="n"/>
      <c r="CU26" s="869" t="n"/>
      <c r="CV26" s="869" t="n"/>
      <c r="CW26" s="869" t="n"/>
      <c r="CX26" s="869" t="n"/>
      <c r="CY26" s="869" t="n"/>
      <c r="CZ26" s="869" t="n"/>
      <c r="DA26" s="869" t="n"/>
      <c r="DB26" s="869" t="n"/>
      <c r="DC26" s="869" t="n"/>
      <c r="DD26" s="869" t="n"/>
      <c r="DE26" s="869" t="n"/>
      <c r="DF26" s="869" t="n"/>
      <c r="DG26" s="869" t="n"/>
      <c r="DH26" s="869" t="n"/>
      <c r="DI26" s="869" t="n"/>
      <c r="DJ26" s="1116">
        <f>BZ26+CC26+CF26+CI26+CL26+CO26+CR26+CU26+CX26+DA26+DD26+DG26</f>
        <v/>
      </c>
      <c r="DK26" s="1116">
        <f>CA26+CD26+CG26+CJ26+CM26+CP26+CS26+CV26+CY26+DB26+DE26+DH26</f>
        <v/>
      </c>
      <c r="DL26" s="1116">
        <f>CB26+CE26+CH26+CK26+CN26+CQ26+CT26+CW26+CZ26+DC26+DF26+DI26</f>
        <v/>
      </c>
      <c r="DM26" s="1117">
        <f>DJ26/2</f>
        <v/>
      </c>
      <c r="DN26" s="1117">
        <f>DK26/2</f>
        <v/>
      </c>
      <c r="DO26" s="1118">
        <f>DL26/2</f>
        <v/>
      </c>
      <c r="DP26" s="1119">
        <f>DO26/BV26*100-100</f>
        <v/>
      </c>
      <c r="DQ26" s="1120">
        <f>DO26/BY26*100-100</f>
        <v/>
      </c>
    </row>
    <row r="27">
      <c r="A27" s="869" t="n">
        <v>24</v>
      </c>
      <c r="B27" s="869" t="inlineStr">
        <is>
          <t>ရတနာ</t>
        </is>
      </c>
      <c r="C27" s="869" t="inlineStr">
        <is>
          <t>Yadana</t>
        </is>
      </c>
      <c r="D27" s="869" t="inlineStr">
        <is>
          <t>ပုဂံ</t>
        </is>
      </c>
      <c r="E27" s="869" t="inlineStr">
        <is>
          <t>Bagan</t>
        </is>
      </c>
      <c r="F27" s="869" t="inlineStr">
        <is>
          <t>Wholesale</t>
        </is>
      </c>
      <c r="G27" s="1113" t="n">
        <v>100</v>
      </c>
      <c r="H27" s="1113" t="n">
        <v>1400</v>
      </c>
      <c r="I27" s="1113" t="n">
        <v>250</v>
      </c>
      <c r="J27" s="1113" t="n">
        <v>3300</v>
      </c>
      <c r="K27" s="1113" t="n">
        <v>300</v>
      </c>
      <c r="L27" s="1113" t="n">
        <v>4100</v>
      </c>
      <c r="M27" s="1113" t="n">
        <v>1000</v>
      </c>
      <c r="N27" s="1113" t="n">
        <v>13000</v>
      </c>
      <c r="O27" s="1113" t="n">
        <v>525</v>
      </c>
      <c r="P27" s="1113" t="n">
        <v>7600</v>
      </c>
      <c r="Q27" s="1113" t="n">
        <v>300</v>
      </c>
      <c r="R27" s="1113" t="n">
        <v>5200</v>
      </c>
      <c r="S27" s="1113" t="n">
        <v>600</v>
      </c>
      <c r="T27" s="1113" t="n">
        <v>8000</v>
      </c>
      <c r="U27" s="1113" t="n">
        <v>650</v>
      </c>
      <c r="V27" s="1113" t="n">
        <v>9200</v>
      </c>
      <c r="W27" s="1113" t="n">
        <v>600</v>
      </c>
      <c r="X27" s="1113" t="n">
        <v>8400</v>
      </c>
      <c r="Y27" s="1113" t="n">
        <v>600</v>
      </c>
      <c r="Z27" s="1113" t="n">
        <v>8040</v>
      </c>
      <c r="AA27" s="1113" t="n">
        <v>300</v>
      </c>
      <c r="AB27" s="1113" t="n">
        <v>4800</v>
      </c>
      <c r="AC27" s="1113" t="n">
        <v>250</v>
      </c>
      <c r="AD27" s="1113" t="n">
        <v>3760</v>
      </c>
      <c r="AE27" s="1114">
        <f>G27+I27+K27+M27+O27+Q27+S27+U27+W27+Y27+AA27+AC27</f>
        <v/>
      </c>
      <c r="AF27" s="1114">
        <f>H27+J27+L27+N27+P27+R27+T27+V27+X27+Z27+AB27+AD27</f>
        <v/>
      </c>
      <c r="AG27" s="1115" t="n">
        <v>0</v>
      </c>
      <c r="AH27" s="1115" t="n">
        <v>0</v>
      </c>
      <c r="AI27" s="1115" t="n">
        <v>0</v>
      </c>
      <c r="AJ27" s="1115" t="n">
        <v>90</v>
      </c>
      <c r="AK27" s="1115" t="n">
        <v>1080</v>
      </c>
      <c r="AL27" s="1115" t="n">
        <v>1080</v>
      </c>
      <c r="AM27" s="1115" t="n">
        <v>2100</v>
      </c>
      <c r="AN27" s="1115" t="n">
        <v>28930</v>
      </c>
      <c r="AO27" s="1115" t="n">
        <v>21690.4</v>
      </c>
      <c r="AP27" s="1115" t="n">
        <v>0</v>
      </c>
      <c r="AQ27" s="1115" t="n">
        <v>0</v>
      </c>
      <c r="AR27" s="1115" t="n">
        <v>0</v>
      </c>
      <c r="AS27" s="1115" t="n">
        <v>100</v>
      </c>
      <c r="AT27" s="1115" t="n">
        <v>2400</v>
      </c>
      <c r="AU27" s="1115" t="n">
        <v>1536</v>
      </c>
      <c r="AV27" s="1115" t="n">
        <v>114</v>
      </c>
      <c r="AW27" s="1115" t="n">
        <v>1576</v>
      </c>
      <c r="AX27" s="1115" t="n">
        <v>1003.84</v>
      </c>
      <c r="AY27" s="1115" t="n">
        <v>597</v>
      </c>
      <c r="AZ27" s="1115" t="n">
        <v>8328</v>
      </c>
      <c r="BA27" s="1115" t="n">
        <v>7489.92</v>
      </c>
      <c r="BB27" s="1115" t="n">
        <v>450</v>
      </c>
      <c r="BC27" s="1115" t="n">
        <v>6300</v>
      </c>
      <c r="BD27" s="1115" t="n">
        <v>4032</v>
      </c>
      <c r="BE27" s="1115" t="n">
        <v>550</v>
      </c>
      <c r="BF27" s="1115" t="n">
        <v>7100</v>
      </c>
      <c r="BG27" s="1115" t="n">
        <v>5840</v>
      </c>
      <c r="BH27" s="1115" t="n">
        <v>1550</v>
      </c>
      <c r="BI27" s="1115" t="n">
        <v>20700</v>
      </c>
      <c r="BJ27" s="1115" t="n">
        <v>17568</v>
      </c>
      <c r="BK27" s="1115" t="n">
        <v>50</v>
      </c>
      <c r="BL27" s="1115" t="n">
        <v>1200</v>
      </c>
      <c r="BM27" s="1115" t="n">
        <v>768</v>
      </c>
      <c r="BN27" s="1115" t="n">
        <v>200</v>
      </c>
      <c r="BO27" s="1115" t="n">
        <v>2800</v>
      </c>
      <c r="BP27" s="1115" t="n">
        <v>1792</v>
      </c>
      <c r="BQ27" s="1114">
        <f>AG27+AJ27+AM27+AP27+AS27+AV27+AY27+BB27+BE27+BH27+BK27+BN27</f>
        <v/>
      </c>
      <c r="BR27" s="1114">
        <f>AH27+AK27+AN27+AQ27+AT27+AW27+AZ27+BC27+BF27+BI27+BL27+BO27</f>
        <v/>
      </c>
      <c r="BS27" s="1114">
        <f>AI27+AL27+AO27+AR27+AU27+AX27+BA27+BD27+BG27+BJ27+BM27+BP27</f>
        <v/>
      </c>
      <c r="BT27" s="1114">
        <f>(AG27+AJ27)/2</f>
        <v/>
      </c>
      <c r="BU27" s="1114">
        <f>(AH27+AK27)/2</f>
        <v/>
      </c>
      <c r="BV27" s="1114">
        <f>(AI27+AL27)/2</f>
        <v/>
      </c>
      <c r="BW27" s="1114">
        <f>BQ27/12</f>
        <v/>
      </c>
      <c r="BX27" s="1114">
        <f>BR27/12</f>
        <v/>
      </c>
      <c r="BY27" s="1114">
        <f>BS27/12</f>
        <v/>
      </c>
      <c r="BZ27" s="1115" t="n">
        <v>0</v>
      </c>
      <c r="CA27" s="869" t="n">
        <v>0</v>
      </c>
      <c r="CB27" s="869" t="n">
        <v>0</v>
      </c>
      <c r="CC27" s="1058" t="n">
        <v>580</v>
      </c>
      <c r="CD27" s="1058" t="n">
        <v>8920</v>
      </c>
      <c r="CE27" s="1058" t="n">
        <v>5708.8</v>
      </c>
      <c r="CF27" s="869" t="n"/>
      <c r="CG27" s="869" t="n"/>
      <c r="CH27" s="869" t="n"/>
      <c r="CI27" s="869" t="n"/>
      <c r="CJ27" s="869" t="n"/>
      <c r="CK27" s="869" t="n"/>
      <c r="CL27" s="869" t="n"/>
      <c r="CM27" s="869" t="n"/>
      <c r="CN27" s="869" t="n"/>
      <c r="CO27" s="869" t="n"/>
      <c r="CP27" s="869" t="n"/>
      <c r="CQ27" s="869" t="n"/>
      <c r="CR27" s="869" t="n"/>
      <c r="CS27" s="869" t="n"/>
      <c r="CT27" s="869" t="n"/>
      <c r="CU27" s="869" t="n"/>
      <c r="CV27" s="869" t="n"/>
      <c r="CW27" s="869" t="n"/>
      <c r="CX27" s="869" t="n"/>
      <c r="CY27" s="869" t="n"/>
      <c r="CZ27" s="869" t="n"/>
      <c r="DA27" s="869" t="n"/>
      <c r="DB27" s="869" t="n"/>
      <c r="DC27" s="869" t="n"/>
      <c r="DD27" s="869" t="n"/>
      <c r="DE27" s="869" t="n"/>
      <c r="DF27" s="869" t="n"/>
      <c r="DG27" s="869" t="n"/>
      <c r="DH27" s="869" t="n"/>
      <c r="DI27" s="869" t="n"/>
      <c r="DJ27" s="1116">
        <f>BZ27+CC27+CF27+CI27+CL27+CO27+CR27+CU27+CX27+DA27+DD27+DG27</f>
        <v/>
      </c>
      <c r="DK27" s="1116">
        <f>CA27+CD27+CG27+CJ27+CM27+CP27+CS27+CV27+CY27+DB27+DE27+DH27</f>
        <v/>
      </c>
      <c r="DL27" s="1116">
        <f>CB27+CE27+CH27+CK27+CN27+CQ27+CT27+CW27+CZ27+DC27+DF27+DI27</f>
        <v/>
      </c>
      <c r="DM27" s="1117">
        <f>DJ27/2</f>
        <v/>
      </c>
      <c r="DN27" s="1117">
        <f>DK27/2</f>
        <v/>
      </c>
      <c r="DO27" s="1118">
        <f>DL27/2</f>
        <v/>
      </c>
      <c r="DP27" s="1121" t="n"/>
      <c r="DQ27" s="1120">
        <f>DO27/BY27*100-100</f>
        <v/>
      </c>
      <c r="DR27" s="820" t="inlineStr">
        <is>
          <t>Must Grow</t>
        </is>
      </c>
    </row>
    <row r="28">
      <c r="A28" s="869" t="n">
        <v>25</v>
      </c>
      <c r="B28" s="869" t="inlineStr">
        <is>
          <t>ဦးတင်မောင်</t>
        </is>
      </c>
      <c r="C28" s="869" t="inlineStr">
        <is>
          <t>U Tin Maung</t>
        </is>
      </c>
      <c r="D28" s="869" t="inlineStr">
        <is>
          <t>ပခုက္ကူ</t>
        </is>
      </c>
      <c r="E28" s="869" t="inlineStr">
        <is>
          <t>Pakokku</t>
        </is>
      </c>
      <c r="F28" s="869" t="inlineStr">
        <is>
          <t>Wholesale</t>
        </is>
      </c>
      <c r="G28" s="1113" t="n">
        <v>1100</v>
      </c>
      <c r="H28" s="1113" t="n">
        <v>15400</v>
      </c>
      <c r="I28" s="1113" t="n">
        <v>1000</v>
      </c>
      <c r="J28" s="1113" t="n">
        <v>14000</v>
      </c>
      <c r="K28" s="1113" t="n">
        <v>450</v>
      </c>
      <c r="L28" s="1113" t="n">
        <v>6300</v>
      </c>
      <c r="M28" s="1113" t="n">
        <v>400</v>
      </c>
      <c r="N28" s="1113" t="n">
        <v>5600</v>
      </c>
      <c r="O28" s="1113" t="n">
        <v>300</v>
      </c>
      <c r="P28" s="1113" t="n">
        <v>4200</v>
      </c>
      <c r="Q28" s="1113" t="n">
        <v>600</v>
      </c>
      <c r="R28" s="1113" t="n">
        <v>8400</v>
      </c>
      <c r="S28" s="1113" t="n">
        <v>300</v>
      </c>
      <c r="T28" s="1113" t="n">
        <v>4200</v>
      </c>
      <c r="U28" s="1113" t="n">
        <v>399</v>
      </c>
      <c r="V28" s="1113" t="n">
        <v>5586</v>
      </c>
      <c r="W28" s="1113" t="n">
        <v>650</v>
      </c>
      <c r="X28" s="1113" t="n">
        <v>9100</v>
      </c>
      <c r="Y28" s="1113" t="n">
        <v>212</v>
      </c>
      <c r="Z28" s="1113" t="n">
        <v>2968</v>
      </c>
      <c r="AA28" s="1113" t="n">
        <v>500</v>
      </c>
      <c r="AB28" s="1113" t="n">
        <v>7000</v>
      </c>
      <c r="AC28" s="1113" t="n">
        <v>850</v>
      </c>
      <c r="AD28" s="1113" t="n">
        <v>11900</v>
      </c>
      <c r="AE28" s="1114">
        <f>G28+I28+K28+M28+O28+Q28+S28+U28+W28+Y28+AA28+AC28</f>
        <v/>
      </c>
      <c r="AF28" s="1114">
        <f>H28+J28+L28+N28+P28+R28+T28+V28+X28+Z28+AB28+AD28</f>
        <v/>
      </c>
      <c r="AG28" s="1115" t="n">
        <v>750</v>
      </c>
      <c r="AH28" s="1115" t="n">
        <v>10400</v>
      </c>
      <c r="AI28" s="1115" t="n">
        <v>6872</v>
      </c>
      <c r="AJ28" s="1115" t="n">
        <v>765</v>
      </c>
      <c r="AK28" s="1115" t="n">
        <v>11910</v>
      </c>
      <c r="AL28" s="1115" t="n">
        <v>7838.4</v>
      </c>
      <c r="AM28" s="1115" t="n">
        <v>500</v>
      </c>
      <c r="AN28" s="1115" t="n">
        <v>7400</v>
      </c>
      <c r="AO28" s="1115" t="n">
        <v>4952</v>
      </c>
      <c r="AP28" s="1115" t="n">
        <v>780</v>
      </c>
      <c r="AQ28" s="1115" t="n">
        <v>10920</v>
      </c>
      <c r="AR28" s="1115" t="n">
        <v>6988.8</v>
      </c>
      <c r="AS28" s="1115" t="n">
        <v>800</v>
      </c>
      <c r="AT28" s="1115" t="n">
        <v>12000</v>
      </c>
      <c r="AU28" s="1115" t="n">
        <v>8112</v>
      </c>
      <c r="AV28" s="1115" t="n">
        <v>905</v>
      </c>
      <c r="AW28" s="1115" t="n">
        <v>12670</v>
      </c>
      <c r="AX28" s="1115" t="n">
        <v>8108.800000000001</v>
      </c>
      <c r="AY28" s="1115" t="n">
        <v>300</v>
      </c>
      <c r="AZ28" s="1115" t="n">
        <v>4200</v>
      </c>
      <c r="BA28" s="1115" t="n">
        <v>2688</v>
      </c>
      <c r="BB28" s="1115" t="n">
        <v>380</v>
      </c>
      <c r="BC28" s="1115" t="n">
        <v>5320</v>
      </c>
      <c r="BD28" s="1115" t="n">
        <v>3404.8</v>
      </c>
      <c r="BE28" s="1115" t="n">
        <v>300</v>
      </c>
      <c r="BF28" s="1115" t="n">
        <v>4200</v>
      </c>
      <c r="BG28" s="1115" t="n">
        <v>2688</v>
      </c>
      <c r="BH28" s="1115" t="n">
        <v>720</v>
      </c>
      <c r="BI28" s="1115" t="n">
        <v>10080</v>
      </c>
      <c r="BJ28" s="1115" t="n">
        <v>6451.2</v>
      </c>
      <c r="BK28" s="1115" t="n">
        <v>380</v>
      </c>
      <c r="BL28" s="1115" t="n">
        <v>5320</v>
      </c>
      <c r="BM28" s="1115" t="n">
        <v>3404.8</v>
      </c>
      <c r="BN28" s="1115" t="n">
        <v>375</v>
      </c>
      <c r="BO28" s="1115" t="n">
        <v>4850</v>
      </c>
      <c r="BP28" s="1115" t="n">
        <v>3968</v>
      </c>
      <c r="BQ28" s="1114">
        <f>AG28+AJ28+AM28+AP28+AS28+AV28+AY28+BB28+BE28+BH28+BK28+BN28</f>
        <v/>
      </c>
      <c r="BR28" s="1114">
        <f>AH28+AK28+AN28+AQ28+AT28+AW28+AZ28+BC28+BF28+BI28+BL28+BO28</f>
        <v/>
      </c>
      <c r="BS28" s="1114">
        <f>AI28+AL28+AO28+AR28+AU28+AX28+BA28+BD28+BG28+BJ28+BM28+BP28</f>
        <v/>
      </c>
      <c r="BT28" s="1114">
        <f>(AG28+AJ28)/2</f>
        <v/>
      </c>
      <c r="BU28" s="1114">
        <f>(AH28+AK28)/2</f>
        <v/>
      </c>
      <c r="BV28" s="1114">
        <f>(AI28+AL28)/2</f>
        <v/>
      </c>
      <c r="BW28" s="1114">
        <f>BQ28/12</f>
        <v/>
      </c>
      <c r="BX28" s="1114">
        <f>BR28/12</f>
        <v/>
      </c>
      <c r="BY28" s="1114">
        <f>BS28/12</f>
        <v/>
      </c>
      <c r="BZ28" s="1115" t="n">
        <v>550</v>
      </c>
      <c r="CA28" s="869" t="n">
        <v>7700</v>
      </c>
      <c r="CB28" s="869" t="n">
        <v>4928</v>
      </c>
      <c r="CC28" s="1058" t="n">
        <v>0</v>
      </c>
      <c r="CD28" s="1058" t="n">
        <v>0</v>
      </c>
      <c r="CE28" s="1058" t="n">
        <v>0</v>
      </c>
      <c r="CF28" s="869" t="n"/>
      <c r="CG28" s="869" t="n"/>
      <c r="CH28" s="869" t="n"/>
      <c r="CI28" s="869" t="n"/>
      <c r="CJ28" s="869" t="n"/>
      <c r="CK28" s="869" t="n"/>
      <c r="CL28" s="869" t="n"/>
      <c r="CM28" s="869" t="n"/>
      <c r="CN28" s="869" t="n"/>
      <c r="CO28" s="869" t="n"/>
      <c r="CP28" s="869" t="n"/>
      <c r="CQ28" s="869" t="n"/>
      <c r="CR28" s="869" t="n"/>
      <c r="CS28" s="869" t="n"/>
      <c r="CT28" s="869" t="n"/>
      <c r="CU28" s="869" t="n"/>
      <c r="CV28" s="869" t="n"/>
      <c r="CW28" s="869" t="n"/>
      <c r="CX28" s="869" t="n"/>
      <c r="CY28" s="869" t="n"/>
      <c r="CZ28" s="869" t="n"/>
      <c r="DA28" s="869" t="n"/>
      <c r="DB28" s="869" t="n"/>
      <c r="DC28" s="869" t="n"/>
      <c r="DD28" s="869" t="n"/>
      <c r="DE28" s="869" t="n"/>
      <c r="DF28" s="869" t="n"/>
      <c r="DG28" s="869" t="n"/>
      <c r="DH28" s="869" t="n"/>
      <c r="DI28" s="869" t="n"/>
      <c r="DJ28" s="1116">
        <f>BZ28+CC28+CF28+CI28+CL28+CO28+CR28+CU28+CX28+DA28+DD28+DG28</f>
        <v/>
      </c>
      <c r="DK28" s="1116">
        <f>CA28+CD28+CG28+CJ28+CM28+CP28+CS28+CV28+CY28+DB28+DE28+DH28</f>
        <v/>
      </c>
      <c r="DL28" s="1116">
        <f>CB28+CE28+CH28+CK28+CN28+CQ28+CT28+CW28+CZ28+DC28+DF28+DI28</f>
        <v/>
      </c>
      <c r="DM28" s="1117">
        <f>DJ28/2</f>
        <v/>
      </c>
      <c r="DN28" s="1117">
        <f>DK28/2</f>
        <v/>
      </c>
      <c r="DO28" s="1118">
        <f>DL28/2</f>
        <v/>
      </c>
      <c r="DP28" s="1119">
        <f>DO28/BV28*100-100</f>
        <v/>
      </c>
      <c r="DQ28" s="1120">
        <f>DO28/BY28*100-100</f>
        <v/>
      </c>
      <c r="DR28" s="820" t="inlineStr">
        <is>
          <t>Must Grow</t>
        </is>
      </c>
    </row>
    <row r="29">
      <c r="A29" s="869" t="n">
        <v>24</v>
      </c>
      <c r="B29" s="869" t="inlineStr">
        <is>
          <t>ရွှေတောင်</t>
        </is>
      </c>
      <c r="C29" s="869" t="inlineStr">
        <is>
          <t>Shwe Taung</t>
        </is>
      </c>
      <c r="D29" s="869" t="inlineStr">
        <is>
          <t>ပုဂံ</t>
        </is>
      </c>
      <c r="E29" s="869" t="inlineStr">
        <is>
          <t>Bagan</t>
        </is>
      </c>
      <c r="F29" s="869" t="inlineStr">
        <is>
          <t>Wholesales</t>
        </is>
      </c>
      <c r="G29" s="1113" t="n">
        <v>305</v>
      </c>
      <c r="H29" s="1113" t="n">
        <v>4160</v>
      </c>
      <c r="I29" s="1113" t="n">
        <v>625</v>
      </c>
      <c r="J29" s="1113" t="n">
        <v>8480</v>
      </c>
      <c r="K29" s="1113" t="n">
        <v>300</v>
      </c>
      <c r="L29" s="1113" t="n">
        <v>4140</v>
      </c>
      <c r="M29" s="1113" t="n">
        <v>100</v>
      </c>
      <c r="N29" s="1113" t="n">
        <v>2400</v>
      </c>
      <c r="O29" s="1113" t="n">
        <v>300</v>
      </c>
      <c r="P29" s="1113" t="n">
        <v>4200</v>
      </c>
      <c r="Q29" s="1113" t="n">
        <v>300</v>
      </c>
      <c r="R29" s="1113" t="n">
        <v>4100</v>
      </c>
      <c r="S29" s="1113" t="n">
        <v>605</v>
      </c>
      <c r="T29" s="1113" t="n">
        <v>8340</v>
      </c>
      <c r="U29" s="1113" t="n">
        <v>305</v>
      </c>
      <c r="V29" s="1113" t="n">
        <v>4100</v>
      </c>
      <c r="W29" s="1113" t="n">
        <v>300</v>
      </c>
      <c r="X29" s="1113" t="n">
        <v>4140</v>
      </c>
      <c r="Y29" s="1113" t="n">
        <v>600</v>
      </c>
      <c r="Z29" s="1113" t="n">
        <v>8180</v>
      </c>
      <c r="AA29" s="1113" t="n">
        <v>300</v>
      </c>
      <c r="AB29" s="1113" t="n">
        <v>4020</v>
      </c>
      <c r="AC29" s="1113" t="n">
        <v>250</v>
      </c>
      <c r="AD29" s="1113" t="n">
        <v>3760</v>
      </c>
      <c r="AE29" s="1114">
        <f>G29+I29+K29+M29+O29+Q29+S29+U29+W29+Y29+AA29+AC29</f>
        <v/>
      </c>
      <c r="AF29" s="1114">
        <f>H29+J29+L29+N29+P29+R29+T29+V29+X29+Z29+AB29+AD29</f>
        <v/>
      </c>
      <c r="AG29" s="1115" t="n">
        <v>575</v>
      </c>
      <c r="AH29" s="1115" t="n">
        <v>8920</v>
      </c>
      <c r="AI29" s="1115" t="n">
        <v>5971.6</v>
      </c>
      <c r="AJ29" s="1115" t="n">
        <v>305</v>
      </c>
      <c r="AK29" s="1115" t="n">
        <v>4140</v>
      </c>
      <c r="AL29" s="1115" t="n">
        <v>2912.4</v>
      </c>
      <c r="AM29" s="1115" t="n">
        <v>565</v>
      </c>
      <c r="AN29" s="1115" t="n">
        <v>8580</v>
      </c>
      <c r="AO29" s="1115" t="n">
        <v>6150</v>
      </c>
      <c r="AP29" s="1115" t="n">
        <v>200</v>
      </c>
      <c r="AQ29" s="1115" t="n">
        <v>3300</v>
      </c>
      <c r="AR29" s="1115" t="n">
        <v>2112</v>
      </c>
      <c r="AS29" s="1115" t="n">
        <v>240</v>
      </c>
      <c r="AT29" s="1115" t="n">
        <v>4140</v>
      </c>
      <c r="AU29" s="1115" t="n">
        <v>3088.8</v>
      </c>
      <c r="AV29" s="1115" t="n">
        <v>0</v>
      </c>
      <c r="AW29" s="1115" t="n">
        <v>0</v>
      </c>
      <c r="AX29" s="1115" t="n">
        <v>0</v>
      </c>
      <c r="AY29" s="1115" t="n">
        <v>370</v>
      </c>
      <c r="AZ29" s="1115" t="n">
        <v>5290</v>
      </c>
      <c r="BA29" s="1115" t="n">
        <v>4132</v>
      </c>
      <c r="BB29" s="1115" t="n">
        <v>300</v>
      </c>
      <c r="BC29" s="1115" t="n">
        <v>4000</v>
      </c>
      <c r="BD29" s="1115" t="n">
        <v>2992</v>
      </c>
      <c r="BE29" s="1115" t="n">
        <v>85</v>
      </c>
      <c r="BF29" s="1115" t="n">
        <v>1680</v>
      </c>
      <c r="BG29" s="1115" t="n">
        <v>1078.8</v>
      </c>
      <c r="BH29" s="1115" t="n">
        <v>0</v>
      </c>
      <c r="BI29" s="1115" t="n">
        <v>0</v>
      </c>
      <c r="BJ29" s="1115" t="n">
        <v>0</v>
      </c>
      <c r="BK29" s="1115" t="n">
        <v>135</v>
      </c>
      <c r="BL29" s="1115" t="n">
        <v>2180</v>
      </c>
      <c r="BM29" s="1115" t="n">
        <v>1416.8</v>
      </c>
      <c r="BN29" s="1115" t="n">
        <v>250</v>
      </c>
      <c r="BO29" s="1115" t="n">
        <v>3200</v>
      </c>
      <c r="BP29" s="1115" t="n">
        <v>2696</v>
      </c>
      <c r="BQ29" s="1114">
        <f>AG29+AJ29+AM29+AP29+AS29+AV29+AY29+BB29+BE29+BH29+BK29+BN29</f>
        <v/>
      </c>
      <c r="BR29" s="1114">
        <f>AH29+AK29+AN29+AQ29+AT29+AW29+AZ29+BC29+BF29+BI29+BL29+BO29</f>
        <v/>
      </c>
      <c r="BS29" s="1114">
        <f>AI29+AL29+AO29+AR29+AU29+AX29+BA29+BD29+BG29+BJ29+BM29+BP29</f>
        <v/>
      </c>
      <c r="BT29" s="1114">
        <f>(AG29+AJ29)/2</f>
        <v/>
      </c>
      <c r="BU29" s="1114">
        <f>(AH29+AK29)/2</f>
        <v/>
      </c>
      <c r="BV29" s="1114">
        <f>(AI29+AL29)/2</f>
        <v/>
      </c>
      <c r="BW29" s="1114">
        <f>BQ29/12</f>
        <v/>
      </c>
      <c r="BX29" s="1114">
        <f>BR29/12</f>
        <v/>
      </c>
      <c r="BY29" s="1114">
        <f>BS29/12</f>
        <v/>
      </c>
      <c r="BZ29" s="1114" t="n"/>
      <c r="CA29" s="869" t="n"/>
      <c r="CB29" s="869" t="n"/>
      <c r="CC29" s="1058" t="n"/>
      <c r="CD29" s="1058" t="n"/>
      <c r="CE29" s="1058" t="n"/>
      <c r="CF29" s="869" t="n"/>
      <c r="CG29" s="869" t="n"/>
      <c r="CH29" s="869" t="n"/>
      <c r="CI29" s="869" t="n"/>
      <c r="CJ29" s="869" t="n"/>
      <c r="CK29" s="869" t="n"/>
      <c r="CL29" s="869" t="n"/>
      <c r="CM29" s="869" t="n"/>
      <c r="CN29" s="869" t="n"/>
      <c r="CO29" s="869" t="n"/>
      <c r="CP29" s="869" t="n"/>
      <c r="CQ29" s="869" t="n"/>
      <c r="CR29" s="869" t="n"/>
      <c r="CS29" s="869" t="n"/>
      <c r="CT29" s="869" t="n"/>
      <c r="CU29" s="869" t="n"/>
      <c r="CV29" s="869" t="n"/>
      <c r="CW29" s="869" t="n"/>
      <c r="CX29" s="869" t="n"/>
      <c r="CY29" s="869" t="n"/>
      <c r="CZ29" s="869" t="n"/>
      <c r="DA29" s="869" t="n"/>
      <c r="DB29" s="869" t="n"/>
      <c r="DC29" s="869" t="n"/>
      <c r="DD29" s="869" t="n"/>
      <c r="DE29" s="869" t="n"/>
      <c r="DF29" s="869" t="n"/>
      <c r="DG29" s="869" t="n"/>
      <c r="DH29" s="869" t="n"/>
      <c r="DI29" s="869" t="n"/>
      <c r="DJ29" s="1116">
        <f>BZ29+CC29+CF29+CI29+CL29+CO29+CR29+CU29+CX29+DA29+DD29+DG29</f>
        <v/>
      </c>
      <c r="DK29" s="1116">
        <f>CA29+CD29+CG29+CJ29+CM29+CP29+CS29+CV29+CY29+DB29+DE29+DH29</f>
        <v/>
      </c>
      <c r="DL29" s="1116">
        <f>CB29+CE29+CH29+CK29+CN29+CQ29+CT29+CW29+CZ29+DC29+DF29+DI29</f>
        <v/>
      </c>
      <c r="DM29" s="1117">
        <f>DJ29/2</f>
        <v/>
      </c>
      <c r="DN29" s="1117">
        <f>DK29/2</f>
        <v/>
      </c>
      <c r="DO29" s="1118">
        <f>DL29/2</f>
        <v/>
      </c>
      <c r="DP29" s="1119">
        <f>DO29/BV29*100-100</f>
        <v/>
      </c>
      <c r="DQ29" s="1120">
        <f>DO29/BY29*100-100</f>
        <v/>
      </c>
      <c r="DR29" s="820" t="inlineStr">
        <is>
          <t>Must Grow</t>
        </is>
      </c>
    </row>
    <row r="30" customFormat="1" s="587">
      <c r="A30" s="866" t="inlineStr">
        <is>
          <t>Total Wholesales</t>
        </is>
      </c>
      <c r="B30" s="970" t="n"/>
      <c r="C30" s="970" t="n"/>
      <c r="D30" s="970" t="n"/>
      <c r="E30" s="970" t="n"/>
      <c r="F30" s="971" t="n"/>
      <c r="G30" s="1122">
        <f>SUM(G4:G29)</f>
        <v/>
      </c>
      <c r="H30" s="1122">
        <f>SUM(H4:H29)</f>
        <v/>
      </c>
      <c r="I30" s="1122">
        <f>SUM(I4:I29)</f>
        <v/>
      </c>
      <c r="J30" s="1122">
        <f>SUM(J4:J29)</f>
        <v/>
      </c>
      <c r="K30" s="1122">
        <f>SUM(K4:K29)</f>
        <v/>
      </c>
      <c r="L30" s="1122">
        <f>SUM(L4:L29)</f>
        <v/>
      </c>
      <c r="M30" s="1122">
        <f>SUM(M4:M29)</f>
        <v/>
      </c>
      <c r="N30" s="1122">
        <f>SUM(N4:N29)</f>
        <v/>
      </c>
      <c r="O30" s="1122">
        <f>SUM(O4:O29)</f>
        <v/>
      </c>
      <c r="P30" s="1122">
        <f>SUM(P4:P29)</f>
        <v/>
      </c>
      <c r="Q30" s="1122">
        <f>SUM(Q4:Q29)</f>
        <v/>
      </c>
      <c r="R30" s="1122">
        <f>SUM(R4:R29)</f>
        <v/>
      </c>
      <c r="S30" s="1122">
        <f>SUM(S4:S29)</f>
        <v/>
      </c>
      <c r="T30" s="1122">
        <f>SUM(T4:T29)</f>
        <v/>
      </c>
      <c r="U30" s="1122">
        <f>SUM(U4:U29)</f>
        <v/>
      </c>
      <c r="V30" s="1122">
        <f>SUM(V4:V29)</f>
        <v/>
      </c>
      <c r="W30" s="1122">
        <f>SUM(W4:W29)</f>
        <v/>
      </c>
      <c r="X30" s="1122">
        <f>SUM(X4:X29)</f>
        <v/>
      </c>
      <c r="Y30" s="1122">
        <f>SUM(Y4:Y29)</f>
        <v/>
      </c>
      <c r="Z30" s="1122">
        <f>SUM(Z4:Z29)</f>
        <v/>
      </c>
      <c r="AA30" s="1122">
        <f>SUM(AA4:AA29)</f>
        <v/>
      </c>
      <c r="AB30" s="1122">
        <f>SUM(AB4:AB29)</f>
        <v/>
      </c>
      <c r="AC30" s="1122">
        <f>SUM(AC4:AC29)</f>
        <v/>
      </c>
      <c r="AD30" s="1122">
        <f>SUM(AD4:AD29)</f>
        <v/>
      </c>
      <c r="AE30" s="1123">
        <f>G30+I30+K30+M30+O30+Q30+S30+U30+W30+Y30+AA30+AC30</f>
        <v/>
      </c>
      <c r="AF30" s="1123">
        <f>H30+J30+L30+N30+P30+R30+T30+V30+X30+Z30+AB30+AD30</f>
        <v/>
      </c>
      <c r="AG30" s="1122">
        <f>SUM(AG4:AG29)</f>
        <v/>
      </c>
      <c r="AH30" s="1122">
        <f>SUM(AH4:AH29)</f>
        <v/>
      </c>
      <c r="AI30" s="1122">
        <f>SUM(AI4:AI29)</f>
        <v/>
      </c>
      <c r="AJ30" s="1122">
        <f>SUM(AJ4:AJ29)</f>
        <v/>
      </c>
      <c r="AK30" s="1122">
        <f>SUM(AK4:AK29)</f>
        <v/>
      </c>
      <c r="AL30" s="1122">
        <f>SUM(AL4:AL29)</f>
        <v/>
      </c>
      <c r="AM30" s="1122">
        <f>SUM(AM4:AM29)</f>
        <v/>
      </c>
      <c r="AN30" s="1122">
        <f>SUM(AN4:AN29)</f>
        <v/>
      </c>
      <c r="AO30" s="1122">
        <f>SUM(AO4:AO29)</f>
        <v/>
      </c>
      <c r="AP30" s="1122">
        <f>SUM(AP4:AP29)</f>
        <v/>
      </c>
      <c r="AQ30" s="1122">
        <f>SUM(AQ4:AQ29)</f>
        <v/>
      </c>
      <c r="AR30" s="1122">
        <f>SUM(AR4:AR29)</f>
        <v/>
      </c>
      <c r="AS30" s="1122">
        <f>SUM(AS4:AS29)</f>
        <v/>
      </c>
      <c r="AT30" s="1122">
        <f>SUM(AT4:AT29)</f>
        <v/>
      </c>
      <c r="AU30" s="1122">
        <f>SUM(AU4:AU29)</f>
        <v/>
      </c>
      <c r="AV30" s="1122">
        <f>SUM(AV4:AV29)</f>
        <v/>
      </c>
      <c r="AW30" s="1122">
        <f>SUM(AW4:AW29)</f>
        <v/>
      </c>
      <c r="AX30" s="1122">
        <f>SUM(AX4:AX29)</f>
        <v/>
      </c>
      <c r="AY30" s="1122">
        <f>SUM(AY4:AY29)</f>
        <v/>
      </c>
      <c r="AZ30" s="1122">
        <f>SUM(AZ4:AZ29)</f>
        <v/>
      </c>
      <c r="BA30" s="1122">
        <f>SUM(BA4:BA29)</f>
        <v/>
      </c>
      <c r="BB30" s="1122">
        <f>SUM(BB4:BB29)</f>
        <v/>
      </c>
      <c r="BC30" s="1122">
        <f>SUM(BC4:BC29)</f>
        <v/>
      </c>
      <c r="BD30" s="1122">
        <f>SUM(BD4:BD29)</f>
        <v/>
      </c>
      <c r="BE30" s="1122">
        <f>SUM(BE4:BE29)</f>
        <v/>
      </c>
      <c r="BF30" s="1122">
        <f>SUM(BF4:BF29)</f>
        <v/>
      </c>
      <c r="BG30" s="1122">
        <f>SUM(BG4:BG29)</f>
        <v/>
      </c>
      <c r="BH30" s="1122">
        <f>SUM(BH4:BH29)</f>
        <v/>
      </c>
      <c r="BI30" s="1122">
        <f>SUM(BI4:BI29)</f>
        <v/>
      </c>
      <c r="BJ30" s="1122">
        <f>SUM(BJ4:BJ29)</f>
        <v/>
      </c>
      <c r="BK30" s="1122">
        <f>SUM(BK4:BK29)</f>
        <v/>
      </c>
      <c r="BL30" s="1122">
        <f>SUM(BL4:BL29)</f>
        <v/>
      </c>
      <c r="BM30" s="1122">
        <f>SUM(BM4:BM29)</f>
        <v/>
      </c>
      <c r="BN30" s="1122">
        <f>SUM(BN4:BN29)</f>
        <v/>
      </c>
      <c r="BO30" s="1122">
        <f>SUM(BO4:BO29)</f>
        <v/>
      </c>
      <c r="BP30" s="1122">
        <f>SUM(BP4:BP29)</f>
        <v/>
      </c>
      <c r="BQ30" s="1123">
        <f>AG30+AJ30+AM30+AP30+AS30+AV30+AY30+BB30+BE30+BH30+BK30+BN30</f>
        <v/>
      </c>
      <c r="BR30" s="1123">
        <f>AH30+AK30+AN30+AQ30+AT30+AW30+AZ30+BC30+BF30+BI30+BL30+BO30</f>
        <v/>
      </c>
      <c r="BS30" s="1123">
        <f>AI30+AL30+AO30+AR30+AU30+AX30+BA30+BD30+BG30+BJ30+BM30+BP30</f>
        <v/>
      </c>
      <c r="BT30" s="1123">
        <f>SUM(BT4:BT29)</f>
        <v/>
      </c>
      <c r="BU30" s="1123">
        <f>SUM(BU4:BU29)</f>
        <v/>
      </c>
      <c r="BV30" s="1123">
        <f>SUM(BV4:BV29)</f>
        <v/>
      </c>
      <c r="BW30" s="1123">
        <f>SUM(BW4:BW29)</f>
        <v/>
      </c>
      <c r="BX30" s="1123">
        <f>SUM(BX4:BX29)</f>
        <v/>
      </c>
      <c r="BY30" s="1123">
        <f>SUM(BY4:BY29)</f>
        <v/>
      </c>
      <c r="BZ30" s="1123">
        <f>SUM(BZ4:BZ29)</f>
        <v/>
      </c>
      <c r="CA30" s="1123">
        <f>SUM(CA4:CA29)</f>
        <v/>
      </c>
      <c r="CB30" s="1123">
        <f>SUM(CB4:CB29)</f>
        <v/>
      </c>
      <c r="CC30" s="1123">
        <f>SUM(CC4:CC29)</f>
        <v/>
      </c>
      <c r="CD30" s="1123">
        <f>SUM(CD4:CD29)</f>
        <v/>
      </c>
      <c r="CE30" s="1123">
        <f>SUM(CE4:CE29)</f>
        <v/>
      </c>
      <c r="CF30" s="1123">
        <f>SUM(CF4:CF29)</f>
        <v/>
      </c>
      <c r="CG30" s="1123">
        <f>SUM(CG4:CG29)</f>
        <v/>
      </c>
      <c r="CH30" s="1123">
        <f>SUM(CH4:CH29)</f>
        <v/>
      </c>
      <c r="CI30" s="1123">
        <f>SUM(CI4:CI29)</f>
        <v/>
      </c>
      <c r="CJ30" s="1123">
        <f>SUM(CJ4:CJ29)</f>
        <v/>
      </c>
      <c r="CK30" s="1123">
        <f>SUM(CK4:CK29)</f>
        <v/>
      </c>
      <c r="CL30" s="1123">
        <f>SUM(CL4:CL29)</f>
        <v/>
      </c>
      <c r="CM30" s="1123">
        <f>SUM(CM4:CM29)</f>
        <v/>
      </c>
      <c r="CN30" s="1123">
        <f>SUM(CN4:CN29)</f>
        <v/>
      </c>
      <c r="CO30" s="1123">
        <f>SUM(CO4:CO29)</f>
        <v/>
      </c>
      <c r="CP30" s="1123">
        <f>SUM(CP4:CP29)</f>
        <v/>
      </c>
      <c r="CQ30" s="1123">
        <f>SUM(CQ4:CQ29)</f>
        <v/>
      </c>
      <c r="CR30" s="1123">
        <f>SUM(CR4:CR29)</f>
        <v/>
      </c>
      <c r="CS30" s="1123">
        <f>SUM(CS4:CS29)</f>
        <v/>
      </c>
      <c r="CT30" s="1123">
        <f>SUM(CT4:CT29)</f>
        <v/>
      </c>
      <c r="CU30" s="1123">
        <f>SUM(CU4:CU29)</f>
        <v/>
      </c>
      <c r="CV30" s="1123">
        <f>SUM(CV4:CV29)</f>
        <v/>
      </c>
      <c r="CW30" s="1123">
        <f>SUM(CW4:CW29)</f>
        <v/>
      </c>
      <c r="CX30" s="1123">
        <f>SUM(CX4:CX29)</f>
        <v/>
      </c>
      <c r="CY30" s="1123">
        <f>SUM(CY4:CY29)</f>
        <v/>
      </c>
      <c r="CZ30" s="1123">
        <f>SUM(CZ4:CZ29)</f>
        <v/>
      </c>
      <c r="DA30" s="1123">
        <f>SUM(DA4:DA29)</f>
        <v/>
      </c>
      <c r="DB30" s="1123">
        <f>SUM(DB4:DB29)</f>
        <v/>
      </c>
      <c r="DC30" s="1123">
        <f>SUM(DC4:DC29)</f>
        <v/>
      </c>
      <c r="DD30" s="1123">
        <f>SUM(DD4:DD29)</f>
        <v/>
      </c>
      <c r="DE30" s="1123">
        <f>SUM(DE4:DE29)</f>
        <v/>
      </c>
      <c r="DF30" s="1123">
        <f>SUM(DF4:DF29)</f>
        <v/>
      </c>
      <c r="DG30" s="1123">
        <f>SUM(DG4:DG29)</f>
        <v/>
      </c>
      <c r="DH30" s="1123">
        <f>SUM(DH4:DH29)</f>
        <v/>
      </c>
      <c r="DI30" s="1123">
        <f>SUM(DI4:DI29)</f>
        <v/>
      </c>
      <c r="DJ30" s="1123">
        <f>SUM(DJ4:DJ29)</f>
        <v/>
      </c>
      <c r="DK30" s="1123">
        <f>SUM(DK4:DK29)</f>
        <v/>
      </c>
      <c r="DL30" s="1123">
        <f>SUM(DL4:DL29)</f>
        <v/>
      </c>
      <c r="DM30" s="1123">
        <f>SUM(DM4:DM29)</f>
        <v/>
      </c>
      <c r="DN30" s="1123">
        <f>SUM(DN4:DN29)</f>
        <v/>
      </c>
      <c r="DO30" s="1123">
        <f>SUM(DO4:DO29)</f>
        <v/>
      </c>
      <c r="DP30" s="1119">
        <f>DO30/BV30*100-100</f>
        <v/>
      </c>
      <c r="DQ30" s="1120">
        <f>DO30/BY30*100-100</f>
        <v/>
      </c>
      <c r="DR30" s="820" t="inlineStr">
        <is>
          <t>Must Grow</t>
        </is>
      </c>
    </row>
    <row r="31">
      <c r="A31" s="869" t="n">
        <v>1</v>
      </c>
      <c r="B31" s="869" t="inlineStr">
        <is>
          <t>ရွှေကမ္ဘာ</t>
        </is>
      </c>
      <c r="C31" s="869" t="inlineStr">
        <is>
          <t>Golden World</t>
        </is>
      </c>
      <c r="D31" s="869" t="inlineStr">
        <is>
          <t>မိတ္ထီလာ</t>
        </is>
      </c>
      <c r="E31" s="869" t="inlineStr">
        <is>
          <t>Meikhtila</t>
        </is>
      </c>
      <c r="F31" s="869" t="inlineStr">
        <is>
          <t>SemiWS</t>
        </is>
      </c>
      <c r="G31" s="1113" t="n">
        <v>325</v>
      </c>
      <c r="H31" s="1113" t="n">
        <v>5500</v>
      </c>
      <c r="I31" s="1113" t="n">
        <v>45</v>
      </c>
      <c r="J31" s="1113" t="n">
        <v>1080</v>
      </c>
      <c r="K31" s="1113" t="n">
        <v>165</v>
      </c>
      <c r="L31" s="1113" t="n">
        <v>360</v>
      </c>
      <c r="M31" s="1113" t="n">
        <v>125</v>
      </c>
      <c r="N31" s="1113" t="n">
        <v>2300</v>
      </c>
      <c r="O31" s="1113" t="n">
        <v>65</v>
      </c>
      <c r="P31" s="1113" t="n">
        <v>1160</v>
      </c>
      <c r="Q31" s="1113" t="n">
        <v>130</v>
      </c>
      <c r="R31" s="1113" t="n">
        <v>2320</v>
      </c>
      <c r="S31" s="1113" t="n">
        <v>55</v>
      </c>
      <c r="T31" s="1113" t="n">
        <v>1120</v>
      </c>
      <c r="U31" s="1113" t="n">
        <v>60</v>
      </c>
      <c r="V31" s="1113" t="n">
        <v>1140</v>
      </c>
      <c r="W31" s="1113" t="n">
        <v>130</v>
      </c>
      <c r="X31" s="1113" t="n">
        <v>2320</v>
      </c>
      <c r="Y31" s="1113" t="n">
        <v>135</v>
      </c>
      <c r="Z31" s="1113" t="n">
        <v>2340</v>
      </c>
      <c r="AA31" s="1113" t="n">
        <v>135</v>
      </c>
      <c r="AB31" s="1113" t="n">
        <v>2340</v>
      </c>
      <c r="AC31" s="1113" t="n">
        <v>165</v>
      </c>
      <c r="AD31" s="1113" t="n">
        <v>3160</v>
      </c>
      <c r="AE31" s="1114">
        <f>G31+I31+K31+M31+O31+Q31+S31+U31+W31+Y31+AA31+AC31</f>
        <v/>
      </c>
      <c r="AF31" s="1114">
        <f>H31+J31+L31+N31+P31+R31+T31+V31+X31+Z31+AB31+AD31</f>
        <v/>
      </c>
      <c r="AG31" s="1115" t="n"/>
      <c r="AH31" s="1115" t="n"/>
      <c r="AI31" s="1115" t="n"/>
      <c r="AJ31" s="1115" t="n"/>
      <c r="AK31" s="1115" t="n"/>
      <c r="AL31" s="1115" t="n"/>
      <c r="AM31" s="1115" t="n">
        <v>270</v>
      </c>
      <c r="AN31" s="1115" t="n">
        <v>5280</v>
      </c>
      <c r="AO31" s="1115" t="n">
        <v>3379.2</v>
      </c>
      <c r="AP31" s="1115" t="n">
        <v>190</v>
      </c>
      <c r="AQ31" s="1115" t="n">
        <v>3210</v>
      </c>
      <c r="AR31" s="1115" t="n">
        <v>2054.4</v>
      </c>
      <c r="AS31" s="1115" t="n">
        <v>259</v>
      </c>
      <c r="AT31" s="1115" t="n">
        <v>5126</v>
      </c>
      <c r="AU31" s="1115" t="n">
        <v>3280.640000000001</v>
      </c>
      <c r="AV31" s="1115" t="n">
        <v>115</v>
      </c>
      <c r="AW31" s="1115" t="n">
        <v>2060</v>
      </c>
      <c r="AX31" s="1115" t="n">
        <v>1318.4</v>
      </c>
      <c r="AY31" s="1115" t="n">
        <v>150</v>
      </c>
      <c r="AZ31" s="1115" t="n">
        <v>2700</v>
      </c>
      <c r="BA31" s="1115" t="n">
        <v>1728</v>
      </c>
      <c r="BB31" s="1115" t="n">
        <v>141</v>
      </c>
      <c r="BC31" s="1115" t="n">
        <v>2684</v>
      </c>
      <c r="BD31" s="1115" t="n">
        <v>1717.76</v>
      </c>
      <c r="BE31" s="1115" t="n">
        <v>95</v>
      </c>
      <c r="BF31" s="1115" t="n">
        <v>2130</v>
      </c>
      <c r="BG31" s="1115" t="n">
        <v>1363.2</v>
      </c>
      <c r="BH31" s="1115" t="n">
        <v>85</v>
      </c>
      <c r="BI31" s="1115" t="n">
        <v>1640</v>
      </c>
      <c r="BJ31" s="1115" t="n">
        <v>1049.6</v>
      </c>
      <c r="BK31" s="1115" t="n">
        <v>150</v>
      </c>
      <c r="BL31" s="1115" t="n">
        <v>3000</v>
      </c>
      <c r="BM31" s="1115" t="n">
        <v>1920</v>
      </c>
      <c r="BN31" s="1115" t="n">
        <v>130</v>
      </c>
      <c r="BO31" s="1115" t="n">
        <v>2320</v>
      </c>
      <c r="BP31" s="1115" t="n">
        <v>1484.8</v>
      </c>
      <c r="BQ31" s="1114">
        <f>AG31+AJ31+AM31+AP31+AS31+AV31+AY31+BB31+BE31+BH31+BK31+BN31</f>
        <v/>
      </c>
      <c r="BR31" s="1114">
        <f>AH31+AK31+AN31+AQ31+AT31+AW31+AZ31+BC31+BF31+BI31+BL31+BO31</f>
        <v/>
      </c>
      <c r="BS31" s="1114">
        <f>AI31+AL31+AO31+AR31+AU31+AX31+BA31+BD31+BG31+BJ31+BM31+BP31</f>
        <v/>
      </c>
      <c r="BT31" s="1114">
        <f>(AG31+AJ31)/2</f>
        <v/>
      </c>
      <c r="BU31" s="1114">
        <f>(AH31+AK31)/2</f>
        <v/>
      </c>
      <c r="BV31" s="1114">
        <f>(AI31+AL31)/2</f>
        <v/>
      </c>
      <c r="BW31" s="1124">
        <f>BQ31/12</f>
        <v/>
      </c>
      <c r="BX31" s="1114">
        <f>BR31/12</f>
        <v/>
      </c>
      <c r="BY31" s="1114">
        <f>BS31/12</f>
        <v/>
      </c>
      <c r="BZ31" s="1115" t="n">
        <v>180</v>
      </c>
      <c r="CA31" s="869" t="n">
        <v>3420</v>
      </c>
      <c r="CB31" s="869" t="n">
        <v>2188.8</v>
      </c>
      <c r="CC31" s="1058" t="n">
        <v>10</v>
      </c>
      <c r="CD31" s="1058" t="n">
        <v>240</v>
      </c>
      <c r="CE31" s="1058" t="n">
        <v>153.6</v>
      </c>
      <c r="CF31" s="869" t="n"/>
      <c r="CG31" s="869" t="n"/>
      <c r="CH31" s="869" t="n"/>
      <c r="CI31" s="869" t="n"/>
      <c r="CJ31" s="869" t="n"/>
      <c r="CK31" s="869" t="n"/>
      <c r="CL31" s="869" t="n"/>
      <c r="CM31" s="869" t="n"/>
      <c r="CN31" s="869" t="n"/>
      <c r="CO31" s="869" t="n"/>
      <c r="CP31" s="869" t="n"/>
      <c r="CQ31" s="869" t="n"/>
      <c r="CR31" s="869" t="n"/>
      <c r="CS31" s="869" t="n"/>
      <c r="CT31" s="869" t="n"/>
      <c r="CU31" s="869" t="n"/>
      <c r="CV31" s="869" t="n"/>
      <c r="CW31" s="869" t="n"/>
      <c r="CX31" s="869" t="n"/>
      <c r="CY31" s="869" t="n"/>
      <c r="CZ31" s="869" t="n"/>
      <c r="DA31" s="869" t="n"/>
      <c r="DB31" s="869" t="n"/>
      <c r="DC31" s="869" t="n"/>
      <c r="DD31" s="869" t="n"/>
      <c r="DE31" s="869" t="n"/>
      <c r="DF31" s="869" t="n"/>
      <c r="DG31" s="869" t="n"/>
      <c r="DH31" s="869" t="n"/>
      <c r="DI31" s="869" t="n"/>
      <c r="DJ31" s="1116">
        <f>BZ31+CC31+CF31+CI31+CL31+CO31+CR31+CU31+CX31+DA31+DD31+DG31</f>
        <v/>
      </c>
      <c r="DK31" s="1116">
        <f>CA31+CD31+CG31+CJ31+CM31+CP31+CS31+CV31+CY31+DB31+DE31+DH31</f>
        <v/>
      </c>
      <c r="DL31" s="1116">
        <f>CB31+CE31+CH31+CK31+CN31+CQ31+CT31+CW31+CZ31+DC31+DF31+DI31</f>
        <v/>
      </c>
      <c r="DM31" s="1117">
        <f>DJ31/2</f>
        <v/>
      </c>
      <c r="DN31" s="1117">
        <f>DK31/2</f>
        <v/>
      </c>
      <c r="DO31" s="1118">
        <f>DL31/2</f>
        <v/>
      </c>
      <c r="DP31" s="1121" t="n"/>
      <c r="DQ31" s="1120">
        <f>DO31/BY31*100-100</f>
        <v/>
      </c>
    </row>
    <row r="32">
      <c r="A32" s="869" t="n">
        <v>2</v>
      </c>
      <c r="B32" s="869" t="inlineStr">
        <is>
          <t>ဦးမောင်ငယ်</t>
        </is>
      </c>
      <c r="C32" s="869" t="inlineStr">
        <is>
          <t>U Mg Ngwe</t>
        </is>
      </c>
      <c r="D32" s="869" t="inlineStr">
        <is>
          <t>ရမည်းသင်း</t>
        </is>
      </c>
      <c r="E32" s="869" t="inlineStr">
        <is>
          <t>Yamethin</t>
        </is>
      </c>
      <c r="F32" s="869" t="inlineStr">
        <is>
          <t>SemiWS</t>
        </is>
      </c>
      <c r="G32" s="1113" t="n">
        <v>200</v>
      </c>
      <c r="H32" s="1113" t="n">
        <v>2800</v>
      </c>
      <c r="I32" s="1113" t="n">
        <v>200</v>
      </c>
      <c r="J32" s="1113" t="n">
        <v>2800</v>
      </c>
      <c r="K32" s="1113" t="n">
        <v>200</v>
      </c>
      <c r="L32" s="1113" t="n">
        <v>2800</v>
      </c>
      <c r="M32" s="1113" t="n">
        <v>200</v>
      </c>
      <c r="N32" s="1113" t="n">
        <v>2800</v>
      </c>
      <c r="O32" s="1113" t="n"/>
      <c r="P32" s="1113" t="n"/>
      <c r="Q32" s="1113" t="n">
        <v>440</v>
      </c>
      <c r="R32" s="1113" t="n">
        <v>6160</v>
      </c>
      <c r="S32" s="1113" t="n">
        <v>200</v>
      </c>
      <c r="T32" s="1113" t="n">
        <v>2800</v>
      </c>
      <c r="U32" s="1113" t="n">
        <v>218</v>
      </c>
      <c r="V32" s="1113" t="n">
        <v>3232</v>
      </c>
      <c r="W32" s="1113" t="n">
        <v>200</v>
      </c>
      <c r="X32" s="1113" t="n">
        <v>2800</v>
      </c>
      <c r="Y32" s="1113" t="n">
        <v>200</v>
      </c>
      <c r="Z32" s="1113" t="n">
        <v>2800</v>
      </c>
      <c r="AA32" s="1113" t="n">
        <v>300</v>
      </c>
      <c r="AB32" s="1113" t="n">
        <v>4200</v>
      </c>
      <c r="AC32" s="1113" t="n">
        <v>200</v>
      </c>
      <c r="AD32" s="1113" t="n">
        <v>2800</v>
      </c>
      <c r="AE32" s="1114">
        <f>G32+I32+K32+M32+O32+Q32+S32+U32+W32+Y32+AA32+AC32</f>
        <v/>
      </c>
      <c r="AF32" s="1114">
        <f>H32+J32+L32+N32+P32+R32+T32+V32+X32+Z32+AB32+AD32</f>
        <v/>
      </c>
      <c r="AG32" s="1115" t="n"/>
      <c r="AH32" s="1115" t="n"/>
      <c r="AI32" s="1115" t="n"/>
      <c r="AJ32" s="1115" t="n"/>
      <c r="AK32" s="1115" t="n"/>
      <c r="AL32" s="1115" t="n"/>
      <c r="AM32" s="1115" t="n">
        <v>200</v>
      </c>
      <c r="AN32" s="1115" t="n">
        <v>2800</v>
      </c>
      <c r="AO32" s="1115" t="n">
        <v>1792</v>
      </c>
      <c r="AP32" s="1115" t="n">
        <v>300</v>
      </c>
      <c r="AQ32" s="1115" t="n">
        <v>4200</v>
      </c>
      <c r="AR32" s="1115" t="n">
        <v>2688</v>
      </c>
      <c r="AS32" s="1115" t="n">
        <v>160</v>
      </c>
      <c r="AT32" s="1115" t="n">
        <v>2340</v>
      </c>
      <c r="AU32" s="1115" t="n">
        <v>1488</v>
      </c>
      <c r="AV32" s="1115" t="n">
        <v>100</v>
      </c>
      <c r="AW32" s="1115" t="n">
        <v>1400</v>
      </c>
      <c r="AX32" s="1115" t="n">
        <v>896</v>
      </c>
      <c r="AY32" s="1115" t="n">
        <v>100</v>
      </c>
      <c r="AZ32" s="1115" t="n">
        <v>1400</v>
      </c>
      <c r="BA32" s="1115" t="n">
        <v>896</v>
      </c>
      <c r="BB32" s="1115" t="n">
        <v>200</v>
      </c>
      <c r="BC32" s="1115" t="n">
        <v>2800</v>
      </c>
      <c r="BD32" s="1115" t="n">
        <v>1792</v>
      </c>
      <c r="BE32" s="1115" t="n">
        <v>100</v>
      </c>
      <c r="BF32" s="1115" t="n">
        <v>1400</v>
      </c>
      <c r="BG32" s="1115" t="n">
        <v>896</v>
      </c>
      <c r="BH32" s="1115" t="n">
        <v>0</v>
      </c>
      <c r="BI32" s="1115" t="n">
        <v>0</v>
      </c>
      <c r="BJ32" s="1115" t="n">
        <v>0</v>
      </c>
      <c r="BK32" s="1115" t="n">
        <v>0</v>
      </c>
      <c r="BL32" s="1115" t="n">
        <v>0</v>
      </c>
      <c r="BM32" s="1115" t="n">
        <v>0</v>
      </c>
      <c r="BN32" s="1115" t="n"/>
      <c r="BO32" s="1115" t="n"/>
      <c r="BP32" s="1115" t="n"/>
      <c r="BQ32" s="1114">
        <f>AG32+AJ32+AM32+AP32+AS32+AV32+AY32+BB32+BE32+BH32+BK32+BN32</f>
        <v/>
      </c>
      <c r="BR32" s="1114">
        <f>AH32+AK32+AN32+AQ32+AT32+AW32+AZ32+BC32+BF32+BI32+BL32+BO32</f>
        <v/>
      </c>
      <c r="BS32" s="1114">
        <f>AI32+AL32+AO32+AR32+AU32+AX32+BA32+BD32+BG32+BJ32+BM32+BP32</f>
        <v/>
      </c>
      <c r="BT32" s="1114">
        <f>(AG32+AJ32)/2</f>
        <v/>
      </c>
      <c r="BU32" s="1114">
        <f>(AH32+AK32)/2</f>
        <v/>
      </c>
      <c r="BV32" s="1114">
        <f>(AI32+AL32)/2</f>
        <v/>
      </c>
      <c r="BW32" s="1114">
        <f>BQ32/12</f>
        <v/>
      </c>
      <c r="BX32" s="1114">
        <f>BR32/12</f>
        <v/>
      </c>
      <c r="BY32" s="1114">
        <f>BS32/12</f>
        <v/>
      </c>
      <c r="BZ32" s="1115" t="n">
        <v>0</v>
      </c>
      <c r="CA32" s="869" t="n">
        <v>0</v>
      </c>
      <c r="CB32" s="869" t="n">
        <v>0</v>
      </c>
      <c r="CC32" s="1058" t="n">
        <v>55</v>
      </c>
      <c r="CD32" s="1058" t="n">
        <v>820</v>
      </c>
      <c r="CE32" s="1058" t="n">
        <v>520</v>
      </c>
      <c r="CF32" s="869" t="n"/>
      <c r="CG32" s="869" t="n"/>
      <c r="CH32" s="869" t="n"/>
      <c r="CI32" s="869" t="n"/>
      <c r="CJ32" s="869" t="n"/>
      <c r="CK32" s="869" t="n"/>
      <c r="CL32" s="869" t="n"/>
      <c r="CM32" s="869" t="n"/>
      <c r="CN32" s="869" t="n"/>
      <c r="CO32" s="869" t="n"/>
      <c r="CP32" s="869" t="n"/>
      <c r="CQ32" s="869" t="n"/>
      <c r="CR32" s="869" t="n"/>
      <c r="CS32" s="869" t="n"/>
      <c r="CT32" s="869" t="n"/>
      <c r="CU32" s="869" t="n"/>
      <c r="CV32" s="869" t="n"/>
      <c r="CW32" s="869" t="n"/>
      <c r="CX32" s="869" t="n"/>
      <c r="CY32" s="869" t="n"/>
      <c r="CZ32" s="869" t="n"/>
      <c r="DA32" s="869" t="n"/>
      <c r="DB32" s="869" t="n"/>
      <c r="DC32" s="869" t="n"/>
      <c r="DD32" s="869" t="n"/>
      <c r="DE32" s="869" t="n"/>
      <c r="DF32" s="869" t="n"/>
      <c r="DG32" s="869" t="n"/>
      <c r="DH32" s="869" t="n"/>
      <c r="DI32" s="869" t="n"/>
      <c r="DJ32" s="1116">
        <f>BZ32+CC32+CF32+CI32+CL32+CO32+CR32+CU32+CX32+DA32+DD32+DG32</f>
        <v/>
      </c>
      <c r="DK32" s="1116">
        <f>CA32+CD32+CG32+CJ32+CM32+CP32+CS32+CV32+CY32+DB32+DE32+DH32</f>
        <v/>
      </c>
      <c r="DL32" s="1116">
        <f>CB32+CE32+CH32+CK32+CN32+CQ32+CT32+CW32+CZ32+DC32+DF32+DI32</f>
        <v/>
      </c>
      <c r="DM32" s="1117">
        <f>DJ32/2</f>
        <v/>
      </c>
      <c r="DN32" s="1117">
        <f>DK32/2</f>
        <v/>
      </c>
      <c r="DO32" s="1118">
        <f>DL32/2</f>
        <v/>
      </c>
      <c r="DP32" s="1121" t="n"/>
      <c r="DQ32" s="1120">
        <f>DO32/BY32*100-100</f>
        <v/>
      </c>
      <c r="DR32" s="820" t="inlineStr">
        <is>
          <t>Must Grow</t>
        </is>
      </c>
    </row>
    <row r="33">
      <c r="A33" s="869" t="n">
        <v>3</v>
      </c>
      <c r="B33" s="869" t="inlineStr">
        <is>
          <t>ကိုလှဌေးအောင်</t>
        </is>
      </c>
      <c r="C33" s="869" t="inlineStr">
        <is>
          <t>Ko Hla Htay Aung</t>
        </is>
      </c>
      <c r="D33" s="869" t="inlineStr">
        <is>
          <t>မြင်းခြံ</t>
        </is>
      </c>
      <c r="E33" s="869" t="inlineStr">
        <is>
          <t>Myingyan</t>
        </is>
      </c>
      <c r="F33" s="869" t="inlineStr">
        <is>
          <t>SemiWS</t>
        </is>
      </c>
      <c r="G33" s="1113" t="n">
        <v>130</v>
      </c>
      <c r="H33" s="1113" t="n">
        <v>2120</v>
      </c>
      <c r="I33" s="1113" t="n">
        <v>149</v>
      </c>
      <c r="J33" s="1113" t="n">
        <v>2096</v>
      </c>
      <c r="K33" s="1113" t="n">
        <v>280</v>
      </c>
      <c r="L33" s="1113" t="n">
        <v>4220</v>
      </c>
      <c r="M33" s="1113" t="n">
        <v>180</v>
      </c>
      <c r="N33" s="1113" t="n">
        <v>2820</v>
      </c>
      <c r="O33" s="1113" t="n">
        <v>170</v>
      </c>
      <c r="P33" s="1113" t="n">
        <v>2580</v>
      </c>
      <c r="Q33" s="1113" t="n">
        <v>180</v>
      </c>
      <c r="R33" s="1113" t="n">
        <v>2820</v>
      </c>
      <c r="S33" s="1113" t="n">
        <v>440</v>
      </c>
      <c r="T33" s="1113" t="n">
        <v>7060</v>
      </c>
      <c r="U33" s="1113" t="n">
        <v>310</v>
      </c>
      <c r="V33" s="1113" t="n">
        <v>5440</v>
      </c>
      <c r="W33" s="1113" t="n">
        <v>30</v>
      </c>
      <c r="X33" s="1113" t="n">
        <v>420</v>
      </c>
      <c r="Y33" s="1113" t="n">
        <v>290</v>
      </c>
      <c r="Z33" s="1113" t="n">
        <v>4960</v>
      </c>
      <c r="AA33" s="1113" t="n">
        <v>180</v>
      </c>
      <c r="AB33" s="1113" t="n">
        <v>2820</v>
      </c>
      <c r="AC33" s="1113" t="n">
        <v>210</v>
      </c>
      <c r="AD33" s="1113" t="n">
        <v>3540</v>
      </c>
      <c r="AE33" s="1114">
        <f>G33+I33+K33+M33+O33+Q33+S33+U33+W33+Y33+AA33+AC33</f>
        <v/>
      </c>
      <c r="AF33" s="1114">
        <f>H33+J33+L33+N33+P33+R33+T33+V33+X33+Z33+AB33+AD33</f>
        <v/>
      </c>
      <c r="AG33" s="1115" t="n"/>
      <c r="AH33" s="1115" t="n"/>
      <c r="AI33" s="1115" t="n"/>
      <c r="AJ33" s="1115" t="n"/>
      <c r="AK33" s="1115" t="n"/>
      <c r="AL33" s="1115" t="n"/>
      <c r="AM33" s="1115" t="n">
        <v>470</v>
      </c>
      <c r="AN33" s="1115" t="n">
        <v>7780</v>
      </c>
      <c r="AO33" s="1115" t="n">
        <v>4979.2</v>
      </c>
      <c r="AP33" s="1115" t="n">
        <v>0</v>
      </c>
      <c r="AQ33" s="1115" t="n">
        <v>0</v>
      </c>
      <c r="AR33" s="1115" t="n">
        <v>0</v>
      </c>
      <c r="AS33" s="1115" t="n">
        <v>370</v>
      </c>
      <c r="AT33" s="1115" t="n">
        <v>6280</v>
      </c>
      <c r="AU33" s="1115" t="n">
        <v>4019.2</v>
      </c>
      <c r="AV33" s="1115" t="n">
        <v>210</v>
      </c>
      <c r="AW33" s="1115" t="n">
        <v>3540</v>
      </c>
      <c r="AX33" s="1115" t="n">
        <v>2265.6</v>
      </c>
      <c r="AY33" s="1115" t="n">
        <v>210</v>
      </c>
      <c r="AZ33" s="1115" t="n">
        <v>3540</v>
      </c>
      <c r="BA33" s="1115" t="n">
        <v>2265.6</v>
      </c>
      <c r="BB33" s="1115" t="n">
        <v>100</v>
      </c>
      <c r="BC33" s="1115" t="n">
        <v>1400</v>
      </c>
      <c r="BD33" s="1115" t="n">
        <v>896</v>
      </c>
      <c r="BE33" s="1115" t="n">
        <v>250</v>
      </c>
      <c r="BF33" s="1115" t="n">
        <v>4000</v>
      </c>
      <c r="BG33" s="1115" t="n">
        <v>2560</v>
      </c>
      <c r="BH33" s="1115" t="n">
        <v>250</v>
      </c>
      <c r="BI33" s="1115" t="n">
        <v>3500</v>
      </c>
      <c r="BJ33" s="1115" t="n">
        <v>2240</v>
      </c>
      <c r="BK33" s="1115" t="n">
        <v>0</v>
      </c>
      <c r="BL33" s="1115" t="n">
        <v>0</v>
      </c>
      <c r="BM33" s="1115" t="n">
        <v>0</v>
      </c>
      <c r="BN33" s="1115" t="n">
        <v>209</v>
      </c>
      <c r="BO33" s="1115" t="n">
        <v>3016</v>
      </c>
      <c r="BP33" s="1115" t="n">
        <v>1930.24</v>
      </c>
      <c r="BQ33" s="1114">
        <f>AG33+AJ33+AM33+AP33+AS33+AV33+AY33+BB33+BE33+BH33+BK33+BN33</f>
        <v/>
      </c>
      <c r="BR33" s="1114">
        <f>AH33+AK33+AN33+AQ33+AT33+AW33+AZ33+BC33+BF33+BI33+BL33+BO33</f>
        <v/>
      </c>
      <c r="BS33" s="1114">
        <f>AI33+AL33+AO33+AR33+AU33+AX33+BA33+BD33+BG33+BJ33+BM33+BP33</f>
        <v/>
      </c>
      <c r="BT33" s="1114">
        <f>(AG33+AJ33)/2</f>
        <v/>
      </c>
      <c r="BU33" s="1114">
        <f>(AH33+AK33)/2</f>
        <v/>
      </c>
      <c r="BV33" s="1114">
        <f>(AI33+AL33)/2</f>
        <v/>
      </c>
      <c r="BW33" s="1114">
        <f>BQ33/12</f>
        <v/>
      </c>
      <c r="BX33" s="1114">
        <f>BR33/12</f>
        <v/>
      </c>
      <c r="BY33" s="1114">
        <f>BS33/12</f>
        <v/>
      </c>
      <c r="BZ33" s="1115" t="n">
        <v>200</v>
      </c>
      <c r="CA33" s="869" t="n">
        <v>3300</v>
      </c>
      <c r="CB33" s="869" t="n">
        <v>2112</v>
      </c>
      <c r="CC33" s="1058" t="n">
        <v>130</v>
      </c>
      <c r="CD33" s="1058" t="n">
        <v>2120</v>
      </c>
      <c r="CE33" s="1058" t="n">
        <v>1356.8</v>
      </c>
      <c r="CF33" s="869" t="n"/>
      <c r="CG33" s="869" t="n"/>
      <c r="CH33" s="869" t="n"/>
      <c r="CI33" s="869" t="n"/>
      <c r="CJ33" s="869" t="n"/>
      <c r="CK33" s="869" t="n"/>
      <c r="CL33" s="869" t="n"/>
      <c r="CM33" s="869" t="n"/>
      <c r="CN33" s="869" t="n"/>
      <c r="CO33" s="869" t="n"/>
      <c r="CP33" s="869" t="n"/>
      <c r="CQ33" s="869" t="n"/>
      <c r="CR33" s="869" t="n"/>
      <c r="CS33" s="869" t="n"/>
      <c r="CT33" s="869" t="n"/>
      <c r="CU33" s="869" t="n"/>
      <c r="CV33" s="869" t="n"/>
      <c r="CW33" s="869" t="n"/>
      <c r="CX33" s="869" t="n"/>
      <c r="CY33" s="869" t="n"/>
      <c r="CZ33" s="869" t="n"/>
      <c r="DA33" s="869" t="n"/>
      <c r="DB33" s="869" t="n"/>
      <c r="DC33" s="869" t="n"/>
      <c r="DD33" s="869" t="n"/>
      <c r="DE33" s="869" t="n"/>
      <c r="DF33" s="869" t="n"/>
      <c r="DG33" s="869" t="n"/>
      <c r="DH33" s="869" t="n"/>
      <c r="DI33" s="869" t="n"/>
      <c r="DJ33" s="1116">
        <f>BZ33+CC33+CF33+CI33+CL33+CO33+CR33+CU33+CX33+DA33+DD33+DG33</f>
        <v/>
      </c>
      <c r="DK33" s="1116">
        <f>CA33+CD33+CG33+CJ33+CM33+CP33+CS33+CV33+CY33+DB33+DE33+DH33</f>
        <v/>
      </c>
      <c r="DL33" s="1116">
        <f>CB33+CE33+CH33+CK33+CN33+CQ33+CT33+CW33+CZ33+DC33+DF33+DI33</f>
        <v/>
      </c>
      <c r="DM33" s="1117">
        <f>DJ33/2</f>
        <v/>
      </c>
      <c r="DN33" s="1117">
        <f>DK33/2</f>
        <v/>
      </c>
      <c r="DO33" s="1118">
        <f>DL33/2</f>
        <v/>
      </c>
      <c r="DP33" s="1121" t="n"/>
      <c r="DQ33" s="1120">
        <f>DO33/BY33*100-100</f>
        <v/>
      </c>
    </row>
    <row r="34">
      <c r="A34" s="869" t="n">
        <v>4</v>
      </c>
      <c r="B34" s="869" t="inlineStr">
        <is>
          <t>ပြည့်ဖြိုးကြွယ်</t>
        </is>
      </c>
      <c r="C34" s="869" t="inlineStr">
        <is>
          <t>Pyae Phyo Kywe</t>
        </is>
      </c>
      <c r="D34" s="869" t="inlineStr">
        <is>
          <t>မြင်းခြံ</t>
        </is>
      </c>
      <c r="E34" s="869" t="inlineStr">
        <is>
          <t>Myingyan</t>
        </is>
      </c>
      <c r="F34" s="869" t="inlineStr">
        <is>
          <t>SemiWS</t>
        </is>
      </c>
      <c r="G34" s="1113" t="n">
        <v>150</v>
      </c>
      <c r="H34" s="1113" t="n">
        <v>2100</v>
      </c>
      <c r="I34" s="1113" t="n">
        <v>460</v>
      </c>
      <c r="J34" s="1113" t="n">
        <v>7040</v>
      </c>
      <c r="K34" s="1113" t="n">
        <v>420</v>
      </c>
      <c r="L34" s="1113" t="n">
        <v>6880</v>
      </c>
      <c r="M34" s="1113" t="n">
        <v>299</v>
      </c>
      <c r="N34" s="1113" t="n">
        <v>4186</v>
      </c>
      <c r="O34" s="1113" t="n">
        <v>708</v>
      </c>
      <c r="P34" s="1113" t="n">
        <v>10412</v>
      </c>
      <c r="Q34" s="1113" t="n">
        <v>260</v>
      </c>
      <c r="R34" s="1113" t="n">
        <v>4240</v>
      </c>
      <c r="S34" s="1113" t="n">
        <v>410</v>
      </c>
      <c r="T34" s="1113" t="n">
        <v>6240</v>
      </c>
      <c r="U34" s="1113" t="n">
        <v>365</v>
      </c>
      <c r="V34" s="1113" t="n">
        <v>6310</v>
      </c>
      <c r="W34" s="1113" t="n">
        <v>730</v>
      </c>
      <c r="X34" s="1113" t="n">
        <v>10720</v>
      </c>
      <c r="Y34" s="1113" t="n">
        <v>370</v>
      </c>
      <c r="Z34" s="1113" t="n">
        <v>5780</v>
      </c>
      <c r="AA34" s="1113" t="n"/>
      <c r="AB34" s="1113" t="n"/>
      <c r="AC34" s="1113" t="n">
        <v>460</v>
      </c>
      <c r="AD34" s="1113" t="n">
        <v>6840</v>
      </c>
      <c r="AE34" s="1114">
        <f>G34+I34+K34+M34+O34+Q34+S34+U34+W34+Y34+AA34+AC34</f>
        <v/>
      </c>
      <c r="AF34" s="1114">
        <f>H34+J34+L34+N34+P34+R34+T34+V34+X34+Z34+AB34+AD34</f>
        <v/>
      </c>
      <c r="AG34" s="1115" t="n"/>
      <c r="AH34" s="1115" t="n"/>
      <c r="AI34" s="1115" t="n"/>
      <c r="AJ34" s="1115" t="n"/>
      <c r="AK34" s="1115" t="n"/>
      <c r="AL34" s="1115" t="n"/>
      <c r="AM34" s="1115" t="n">
        <v>420</v>
      </c>
      <c r="AN34" s="1115" t="n">
        <v>7080</v>
      </c>
      <c r="AO34" s="1115" t="n">
        <v>4531.2</v>
      </c>
      <c r="AP34" s="1115" t="n">
        <v>0</v>
      </c>
      <c r="AQ34" s="1115" t="n">
        <v>0</v>
      </c>
      <c r="AR34" s="1115" t="n">
        <v>0</v>
      </c>
      <c r="AS34" s="1115" t="n">
        <v>740</v>
      </c>
      <c r="AT34" s="1115" t="n">
        <v>11320</v>
      </c>
      <c r="AU34" s="1115" t="n">
        <v>7331.2</v>
      </c>
      <c r="AV34" s="1115" t="n">
        <v>365</v>
      </c>
      <c r="AW34" s="1115" t="n">
        <v>6310</v>
      </c>
      <c r="AX34" s="1115" t="n">
        <v>4038.400000000001</v>
      </c>
      <c r="AY34" s="1115" t="n">
        <v>160</v>
      </c>
      <c r="AZ34" s="1115" t="n">
        <v>2840</v>
      </c>
      <c r="BA34" s="1115" t="n">
        <v>1817.6</v>
      </c>
      <c r="BB34" s="1115" t="n">
        <v>119</v>
      </c>
      <c r="BC34" s="1115" t="n">
        <v>1646</v>
      </c>
      <c r="BD34" s="1115" t="n">
        <v>1060.64</v>
      </c>
      <c r="BE34" s="1115" t="n">
        <v>0</v>
      </c>
      <c r="BF34" s="1115" t="n">
        <v>0</v>
      </c>
      <c r="BG34" s="1115" t="n">
        <v>0</v>
      </c>
      <c r="BH34" s="1115" t="n">
        <v>0</v>
      </c>
      <c r="BI34" s="1115" t="n">
        <v>0</v>
      </c>
      <c r="BJ34" s="1115" t="n">
        <v>0</v>
      </c>
      <c r="BK34" s="1115" t="n">
        <v>0</v>
      </c>
      <c r="BL34" s="1115" t="n">
        <v>0</v>
      </c>
      <c r="BM34" s="1115" t="n">
        <v>0</v>
      </c>
      <c r="BN34" s="1115" t="n">
        <v>245</v>
      </c>
      <c r="BO34" s="1115" t="n">
        <v>3600</v>
      </c>
      <c r="BP34" s="1115" t="n">
        <v>2350.8</v>
      </c>
      <c r="BQ34" s="1114">
        <f>AG34+AJ34+AM34+AP34+AS34+AV34+AY34+BB34+BE34+BH34+BK34+BN34</f>
        <v/>
      </c>
      <c r="BR34" s="1114">
        <f>AH34+AK34+AN34+AQ34+AT34+AW34+AZ34+BC34+BF34+BI34+BL34+BO34</f>
        <v/>
      </c>
      <c r="BS34" s="1114">
        <f>AI34+AL34+AO34+AR34+AU34+AX34+BA34+BD34+BG34+BJ34+BM34+BP34</f>
        <v/>
      </c>
      <c r="BT34" s="1114">
        <f>(AG34+AJ34)/2</f>
        <v/>
      </c>
      <c r="BU34" s="1114">
        <f>(AH34+AK34)/2</f>
        <v/>
      </c>
      <c r="BV34" s="1114">
        <f>(AI34+AL34)/2</f>
        <v/>
      </c>
      <c r="BW34" s="1114">
        <f>BQ34/12</f>
        <v/>
      </c>
      <c r="BX34" s="1114">
        <f>BR34/12</f>
        <v/>
      </c>
      <c r="BY34" s="1114">
        <f>BS34/12</f>
        <v/>
      </c>
      <c r="BZ34" s="1115" t="n">
        <v>220</v>
      </c>
      <c r="CA34" s="869" t="n">
        <v>4280</v>
      </c>
      <c r="CB34" s="869" t="n">
        <v>2739.2</v>
      </c>
      <c r="CC34" s="1058" t="n">
        <v>245</v>
      </c>
      <c r="CD34" s="1058" t="n">
        <v>4580</v>
      </c>
      <c r="CE34" s="1058" t="n">
        <v>2949.2</v>
      </c>
      <c r="CF34" s="869" t="n"/>
      <c r="CG34" s="869" t="n"/>
      <c r="CH34" s="869" t="n"/>
      <c r="CI34" s="869" t="n"/>
      <c r="CJ34" s="869" t="n"/>
      <c r="CK34" s="869" t="n"/>
      <c r="CL34" s="869" t="n"/>
      <c r="CM34" s="869" t="n"/>
      <c r="CN34" s="869" t="n"/>
      <c r="CO34" s="869" t="n"/>
      <c r="CP34" s="869" t="n"/>
      <c r="CQ34" s="869" t="n"/>
      <c r="CR34" s="869" t="n"/>
      <c r="CS34" s="869" t="n"/>
      <c r="CT34" s="869" t="n"/>
      <c r="CU34" s="869" t="n"/>
      <c r="CV34" s="869" t="n"/>
      <c r="CW34" s="869" t="n"/>
      <c r="CX34" s="869" t="n"/>
      <c r="CY34" s="869" t="n"/>
      <c r="CZ34" s="869" t="n"/>
      <c r="DA34" s="869" t="n"/>
      <c r="DB34" s="869" t="n"/>
      <c r="DC34" s="869" t="n"/>
      <c r="DD34" s="869" t="n"/>
      <c r="DE34" s="869" t="n"/>
      <c r="DF34" s="869" t="n"/>
      <c r="DG34" s="869" t="n"/>
      <c r="DH34" s="869" t="n"/>
      <c r="DI34" s="869" t="n"/>
      <c r="DJ34" s="1116">
        <f>BZ34+CC34+CF34+CI34+CL34+CO34+CR34+CU34+CX34+DA34+DD34+DG34</f>
        <v/>
      </c>
      <c r="DK34" s="1116">
        <f>CA34+CD34+CG34+CJ34+CM34+CP34+CS34+CV34+CY34+DB34+DE34+DH34</f>
        <v/>
      </c>
      <c r="DL34" s="1116">
        <f>CB34+CE34+CH34+CK34+CN34+CQ34+CT34+CW34+CZ34+DC34+DF34+DI34</f>
        <v/>
      </c>
      <c r="DM34" s="1117">
        <f>DJ34/2</f>
        <v/>
      </c>
      <c r="DN34" s="1117">
        <f>DK34/2</f>
        <v/>
      </c>
      <c r="DO34" s="1118">
        <f>DL34/2</f>
        <v/>
      </c>
      <c r="DP34" s="1121" t="n"/>
      <c r="DQ34" s="1120">
        <f>DO34/BY34*100-100</f>
        <v/>
      </c>
    </row>
    <row r="35">
      <c r="A35" s="869" t="n">
        <v>5</v>
      </c>
      <c r="B35" s="869" t="inlineStr">
        <is>
          <t>ဝတိံယံ</t>
        </is>
      </c>
      <c r="C35" s="869" t="inlineStr">
        <is>
          <t>Wattainyan</t>
        </is>
      </c>
      <c r="D35" s="869" t="inlineStr">
        <is>
          <t>ပခုက္ကူ</t>
        </is>
      </c>
      <c r="E35" s="869" t="inlineStr">
        <is>
          <t>Pakokku</t>
        </is>
      </c>
      <c r="F35" s="869" t="inlineStr">
        <is>
          <t>SemiWS</t>
        </is>
      </c>
      <c r="G35" s="1113" t="n">
        <v>200</v>
      </c>
      <c r="H35" s="1113" t="n">
        <v>2800</v>
      </c>
      <c r="I35" s="1113" t="n"/>
      <c r="J35" s="1113" t="n"/>
      <c r="K35" s="1113" t="n"/>
      <c r="L35" s="1113" t="n"/>
      <c r="M35" s="1113" t="n"/>
      <c r="N35" s="1113" t="n"/>
      <c r="O35" s="1113" t="n"/>
      <c r="P35" s="1113" t="n"/>
      <c r="Q35" s="1113" t="n"/>
      <c r="R35" s="1113" t="n"/>
      <c r="S35" s="1113" t="n">
        <v>250</v>
      </c>
      <c r="T35" s="1113" t="n">
        <v>3500</v>
      </c>
      <c r="U35" s="1113" t="n">
        <v>300</v>
      </c>
      <c r="V35" s="1113" t="n">
        <v>4200</v>
      </c>
      <c r="W35" s="1113" t="n">
        <v>300</v>
      </c>
      <c r="X35" s="1113" t="n">
        <v>4200</v>
      </c>
      <c r="Y35" s="1113" t="n">
        <v>150</v>
      </c>
      <c r="Z35" s="1113" t="n">
        <v>2100</v>
      </c>
      <c r="AA35" s="1113" t="n">
        <v>350</v>
      </c>
      <c r="AB35" s="1113" t="n">
        <v>4900</v>
      </c>
      <c r="AC35" s="1113" t="n">
        <v>249</v>
      </c>
      <c r="AD35" s="1113" t="n">
        <v>3486</v>
      </c>
      <c r="AE35" s="1114">
        <f>G35+I35+K35+M35+O35+Q35+S35+U35+W35+Y35+AA35+AC35</f>
        <v/>
      </c>
      <c r="AF35" s="1114">
        <f>H35+J35+L35+N35+P35+R35+T35+V35+X35+Z35+AB35+AD35</f>
        <v/>
      </c>
      <c r="AG35" s="1115" t="n"/>
      <c r="AH35" s="1115" t="n"/>
      <c r="AI35" s="1115" t="n"/>
      <c r="AJ35" s="1115" t="n"/>
      <c r="AK35" s="1115" t="n"/>
      <c r="AL35" s="1115" t="n"/>
      <c r="AM35" s="1115" t="n">
        <v>200</v>
      </c>
      <c r="AN35" s="1115" t="n">
        <v>2800</v>
      </c>
      <c r="AO35" s="1115" t="n">
        <v>1792</v>
      </c>
      <c r="AP35" s="1115" t="n">
        <v>300</v>
      </c>
      <c r="AQ35" s="1115" t="n">
        <v>4200</v>
      </c>
      <c r="AR35" s="1115" t="n">
        <v>2688</v>
      </c>
      <c r="AS35" s="1115" t="n">
        <v>0</v>
      </c>
      <c r="AT35" s="1115" t="n">
        <v>0</v>
      </c>
      <c r="AU35" s="1115" t="n">
        <v>0</v>
      </c>
      <c r="AV35" s="1115" t="n">
        <v>0</v>
      </c>
      <c r="AW35" s="1115" t="n">
        <v>0</v>
      </c>
      <c r="AX35" s="1115" t="n">
        <v>0</v>
      </c>
      <c r="AY35" s="1115" t="n">
        <v>0</v>
      </c>
      <c r="AZ35" s="1115" t="n">
        <v>0</v>
      </c>
      <c r="BA35" s="1115" t="n">
        <v>0</v>
      </c>
      <c r="BB35" s="1115" t="n">
        <v>300</v>
      </c>
      <c r="BC35" s="1115" t="n">
        <v>4200</v>
      </c>
      <c r="BD35" s="1115" t="n">
        <v>2688</v>
      </c>
      <c r="BE35" s="1115" t="n">
        <v>100</v>
      </c>
      <c r="BF35" s="1115" t="n">
        <v>1400</v>
      </c>
      <c r="BG35" s="1115" t="n">
        <v>896</v>
      </c>
      <c r="BH35" s="1115" t="n">
        <v>100</v>
      </c>
      <c r="BI35" s="1115" t="n">
        <v>1400</v>
      </c>
      <c r="BJ35" s="1115" t="n">
        <v>896</v>
      </c>
      <c r="BK35" s="1115" t="n">
        <v>200</v>
      </c>
      <c r="BL35" s="1115" t="n">
        <v>2800</v>
      </c>
      <c r="BM35" s="1115" t="n">
        <v>1792</v>
      </c>
      <c r="BN35" s="1115" t="n">
        <v>500</v>
      </c>
      <c r="BO35" s="1115" t="n">
        <v>7000</v>
      </c>
      <c r="BP35" s="1115" t="n">
        <v>4480</v>
      </c>
      <c r="BQ35" s="1114">
        <f>AG35+AJ35+AM35+AP35+AS35+AV35+AY35+BB35+BE35+BH35+BK35+BN35</f>
        <v/>
      </c>
      <c r="BR35" s="1114">
        <f>AH35+AK35+AN35+AQ35+AT35+AW35+AZ35+BC35+BF35+BI35+BL35+BO35</f>
        <v/>
      </c>
      <c r="BS35" s="1114">
        <f>AI35+AL35+AO35+AR35+AU35+AX35+BA35+BD35+BG35+BJ35+BM35+BP35</f>
        <v/>
      </c>
      <c r="BT35" s="1114">
        <f>(AG35+AJ35)/2</f>
        <v/>
      </c>
      <c r="BU35" s="1114">
        <f>(AH35+AK35)/2</f>
        <v/>
      </c>
      <c r="BV35" s="1114">
        <f>(AI35+AL35)/2</f>
        <v/>
      </c>
      <c r="BW35" s="1114">
        <f>BQ35/12</f>
        <v/>
      </c>
      <c r="BX35" s="1114">
        <f>BR35/12</f>
        <v/>
      </c>
      <c r="BY35" s="1114">
        <f>BS35/12</f>
        <v/>
      </c>
      <c r="BZ35" s="1115" t="n">
        <v>200</v>
      </c>
      <c r="CA35" s="869" t="n">
        <v>2800</v>
      </c>
      <c r="CB35" s="869" t="n">
        <v>1792</v>
      </c>
      <c r="CC35" s="1058" t="n">
        <v>0</v>
      </c>
      <c r="CD35" s="1058" t="n">
        <v>0</v>
      </c>
      <c r="CE35" s="1058" t="n">
        <v>0</v>
      </c>
      <c r="CF35" s="869" t="n"/>
      <c r="CG35" s="869" t="n"/>
      <c r="CH35" s="869" t="n"/>
      <c r="CI35" s="869" t="n"/>
      <c r="CJ35" s="869" t="n"/>
      <c r="CK35" s="869" t="n"/>
      <c r="CL35" s="869" t="n"/>
      <c r="CM35" s="869" t="n"/>
      <c r="CN35" s="869" t="n"/>
      <c r="CO35" s="869" t="n"/>
      <c r="CP35" s="869" t="n"/>
      <c r="CQ35" s="869" t="n"/>
      <c r="CR35" s="869" t="n"/>
      <c r="CS35" s="869" t="n"/>
      <c r="CT35" s="869" t="n"/>
      <c r="CU35" s="869" t="n"/>
      <c r="CV35" s="869" t="n"/>
      <c r="CW35" s="869" t="n"/>
      <c r="CX35" s="869" t="n"/>
      <c r="CY35" s="869" t="n"/>
      <c r="CZ35" s="869" t="n"/>
      <c r="DA35" s="869" t="n"/>
      <c r="DB35" s="869" t="n"/>
      <c r="DC35" s="869" t="n"/>
      <c r="DD35" s="869" t="n"/>
      <c r="DE35" s="869" t="n"/>
      <c r="DF35" s="869" t="n"/>
      <c r="DG35" s="869" t="n"/>
      <c r="DH35" s="869" t="n"/>
      <c r="DI35" s="869" t="n"/>
      <c r="DJ35" s="1116">
        <f>BZ35+CC35+CF35+CI35+CL35+CO35+CR35+CU35+CX35+DA35+DD35+DG35</f>
        <v/>
      </c>
      <c r="DK35" s="1116">
        <f>CA35+CD35+CG35+CJ35+CM35+CP35+CS35+CV35+CY35+DB35+DE35+DH35</f>
        <v/>
      </c>
      <c r="DL35" s="1116">
        <f>CB35+CE35+CH35+CK35+CN35+CQ35+CT35+CW35+CZ35+DC35+DF35+DI35</f>
        <v/>
      </c>
      <c r="DM35" s="1117">
        <f>DJ35/2</f>
        <v/>
      </c>
      <c r="DN35" s="1117">
        <f>DK35/2</f>
        <v/>
      </c>
      <c r="DO35" s="1118">
        <f>DL35/2</f>
        <v/>
      </c>
      <c r="DP35" s="1121" t="n"/>
      <c r="DQ35" s="1120">
        <f>DO35/BY35*100-100</f>
        <v/>
      </c>
    </row>
    <row r="36">
      <c r="A36" s="869" t="n">
        <v>6</v>
      </c>
      <c r="B36" s="869" t="inlineStr">
        <is>
          <t>ပျားနက်</t>
        </is>
      </c>
      <c r="C36" s="869" t="inlineStr">
        <is>
          <t>Black Bee</t>
        </is>
      </c>
      <c r="D36" s="869" t="inlineStr">
        <is>
          <t>ပခုက္ကူ</t>
        </is>
      </c>
      <c r="E36" s="869" t="inlineStr">
        <is>
          <t>Pakokku</t>
        </is>
      </c>
      <c r="F36" s="869" t="inlineStr">
        <is>
          <t>SemiWS</t>
        </is>
      </c>
      <c r="G36" s="1113" t="n">
        <v>300</v>
      </c>
      <c r="H36" s="1113" t="n">
        <v>4200</v>
      </c>
      <c r="I36" s="1113" t="n">
        <v>300</v>
      </c>
      <c r="J36" s="1113" t="n">
        <v>4200</v>
      </c>
      <c r="K36" s="1113" t="n">
        <v>200</v>
      </c>
      <c r="L36" s="1113" t="n">
        <v>2800</v>
      </c>
      <c r="M36" s="1113" t="n"/>
      <c r="N36" s="1113" t="n"/>
      <c r="O36" s="1113" t="n"/>
      <c r="P36" s="1113" t="n"/>
      <c r="Q36" s="1113" t="n"/>
      <c r="R36" s="1113" t="n"/>
      <c r="S36" s="1113" t="n">
        <v>210</v>
      </c>
      <c r="T36" s="1113" t="n">
        <v>2940</v>
      </c>
      <c r="U36" s="1113" t="n">
        <v>130</v>
      </c>
      <c r="V36" s="1113" t="n">
        <v>1820</v>
      </c>
      <c r="W36" s="1113" t="n">
        <v>400</v>
      </c>
      <c r="X36" s="1113" t="n">
        <v>5600</v>
      </c>
      <c r="Y36" s="1113" t="n">
        <v>162</v>
      </c>
      <c r="Z36" s="1113" t="n">
        <v>2268</v>
      </c>
      <c r="AA36" s="1113" t="n">
        <v>400</v>
      </c>
      <c r="AB36" s="1113" t="n">
        <v>5600</v>
      </c>
      <c r="AC36" s="1113" t="n">
        <v>200</v>
      </c>
      <c r="AD36" s="1113" t="n">
        <v>2800</v>
      </c>
      <c r="AE36" s="1114">
        <f>G36+I36+K36+M36+O36+Q36+S36+U36+W36+Y36+AA36+AC36</f>
        <v/>
      </c>
      <c r="AF36" s="1114">
        <f>H36+J36+L36+N36+P36+R36+T36+V36+X36+Z36+AB36+AD36</f>
        <v/>
      </c>
      <c r="AG36" s="1115" t="n"/>
      <c r="AH36" s="1115" t="n"/>
      <c r="AI36" s="1115" t="n"/>
      <c r="AJ36" s="1115" t="n"/>
      <c r="AK36" s="1115" t="n"/>
      <c r="AL36" s="1115" t="n"/>
      <c r="AM36" s="1115" t="n">
        <v>300</v>
      </c>
      <c r="AN36" s="1115" t="n">
        <v>4200</v>
      </c>
      <c r="AO36" s="1115" t="n">
        <v>2688</v>
      </c>
      <c r="AP36" s="1115" t="n">
        <v>200</v>
      </c>
      <c r="AQ36" s="1115" t="n">
        <v>2800</v>
      </c>
      <c r="AR36" s="1115" t="n">
        <v>1792</v>
      </c>
      <c r="AS36" s="1115" t="n">
        <v>300</v>
      </c>
      <c r="AT36" s="1115" t="n">
        <v>4200</v>
      </c>
      <c r="AU36" s="1115" t="n">
        <v>2688</v>
      </c>
      <c r="AV36" s="1115" t="n">
        <v>200</v>
      </c>
      <c r="AW36" s="1115" t="n">
        <v>2800</v>
      </c>
      <c r="AX36" s="1115" t="n">
        <v>1792</v>
      </c>
      <c r="AY36" s="1115" t="n">
        <v>150</v>
      </c>
      <c r="AZ36" s="1115" t="n">
        <v>2100</v>
      </c>
      <c r="BA36" s="1115" t="n">
        <v>1344</v>
      </c>
      <c r="BB36" s="1115" t="n">
        <v>160</v>
      </c>
      <c r="BC36" s="1115" t="n">
        <v>2240</v>
      </c>
      <c r="BD36" s="1115" t="n">
        <v>1433.6</v>
      </c>
      <c r="BE36" s="1115" t="n">
        <v>200</v>
      </c>
      <c r="BF36" s="1115" t="n">
        <v>2800</v>
      </c>
      <c r="BG36" s="1115" t="n">
        <v>1792</v>
      </c>
      <c r="BH36" s="1115" t="n">
        <v>250</v>
      </c>
      <c r="BI36" s="1115" t="n">
        <v>3500</v>
      </c>
      <c r="BJ36" s="1115" t="n">
        <v>2240</v>
      </c>
      <c r="BK36" s="1115" t="n">
        <v>200</v>
      </c>
      <c r="BL36" s="1115" t="n">
        <v>2800</v>
      </c>
      <c r="BM36" s="1115" t="n">
        <v>1792</v>
      </c>
      <c r="BN36" s="1115" t="n">
        <v>199</v>
      </c>
      <c r="BO36" s="1115" t="n">
        <v>2786</v>
      </c>
      <c r="BP36" s="1115" t="n">
        <v>1783.04</v>
      </c>
      <c r="BQ36" s="1114">
        <f>AG36+AJ36+AM36+AP36+AS36+AV36+AY36+BB36+BE36+BH36+BK36+BN36</f>
        <v/>
      </c>
      <c r="BR36" s="1114">
        <f>AH36+AK36+AN36+AQ36+AT36+AW36+AZ36+BC36+BF36+BI36+BL36+BO36</f>
        <v/>
      </c>
      <c r="BS36" s="1114">
        <f>AI36+AL36+AO36+AR36+AU36+AX36+BA36+BD36+BG36+BJ36+BM36+BP36</f>
        <v/>
      </c>
      <c r="BT36" s="1114">
        <f>(AG36+AJ36)/2</f>
        <v/>
      </c>
      <c r="BU36" s="1114">
        <f>(AH36+AK36)/2</f>
        <v/>
      </c>
      <c r="BV36" s="1114">
        <f>(AI36+AL36)/2</f>
        <v/>
      </c>
      <c r="BW36" s="1114">
        <f>BQ36/12</f>
        <v/>
      </c>
      <c r="BX36" s="1114">
        <f>BR36/12</f>
        <v/>
      </c>
      <c r="BY36" s="1114">
        <f>BS36/12</f>
        <v/>
      </c>
      <c r="BZ36" s="1115" t="n">
        <v>100</v>
      </c>
      <c r="CA36" s="869" t="n">
        <v>1400</v>
      </c>
      <c r="CB36" s="869" t="n">
        <v>896</v>
      </c>
      <c r="CC36" s="1058" t="n">
        <v>0</v>
      </c>
      <c r="CD36" s="1058" t="n">
        <v>0</v>
      </c>
      <c r="CE36" s="1058" t="n">
        <v>0</v>
      </c>
      <c r="CF36" s="869" t="n"/>
      <c r="CG36" s="869" t="n"/>
      <c r="CH36" s="869" t="n"/>
      <c r="CI36" s="869" t="n"/>
      <c r="CJ36" s="869" t="n"/>
      <c r="CK36" s="869" t="n"/>
      <c r="CL36" s="869" t="n"/>
      <c r="CM36" s="869" t="n"/>
      <c r="CN36" s="869" t="n"/>
      <c r="CO36" s="869" t="n"/>
      <c r="CP36" s="869" t="n"/>
      <c r="CQ36" s="869" t="n"/>
      <c r="CR36" s="869" t="n"/>
      <c r="CS36" s="869" t="n"/>
      <c r="CT36" s="869" t="n"/>
      <c r="CU36" s="869" t="n"/>
      <c r="CV36" s="869" t="n"/>
      <c r="CW36" s="869" t="n"/>
      <c r="CX36" s="869" t="n"/>
      <c r="CY36" s="869" t="n"/>
      <c r="CZ36" s="869" t="n"/>
      <c r="DA36" s="869" t="n"/>
      <c r="DB36" s="869" t="n"/>
      <c r="DC36" s="869" t="n"/>
      <c r="DD36" s="869" t="n"/>
      <c r="DE36" s="869" t="n"/>
      <c r="DF36" s="869" t="n"/>
      <c r="DG36" s="869" t="n"/>
      <c r="DH36" s="869" t="n"/>
      <c r="DI36" s="869" t="n"/>
      <c r="DJ36" s="1116">
        <f>BZ36+CC36+CF36+CI36+CL36+CO36+CR36+CU36+CX36+DA36+DD36+DG36</f>
        <v/>
      </c>
      <c r="DK36" s="1116">
        <f>CA36+CD36+CG36+CJ36+CM36+CP36+CS36+CV36+CY36+DB36+DE36+DH36</f>
        <v/>
      </c>
      <c r="DL36" s="1116">
        <f>CB36+CE36+CH36+CK36+CN36+CQ36+CT36+CW36+CZ36+DC36+DF36+DI36</f>
        <v/>
      </c>
      <c r="DM36" s="1117">
        <f>DJ36/2</f>
        <v/>
      </c>
      <c r="DN36" s="1117">
        <f>DK36/2</f>
        <v/>
      </c>
      <c r="DO36" s="1118">
        <f>DL36/2</f>
        <v/>
      </c>
      <c r="DP36" s="1121" t="n"/>
      <c r="DQ36" s="1120">
        <f>DO36/BY36*100-100</f>
        <v/>
      </c>
      <c r="DR36" s="820" t="inlineStr">
        <is>
          <t>Must Grow</t>
        </is>
      </c>
    </row>
    <row r="37">
      <c r="A37" s="869" t="n">
        <v>7</v>
      </c>
      <c r="B37" s="869" t="inlineStr">
        <is>
          <t>ရွှေရောင်စင်</t>
        </is>
      </c>
      <c r="C37" s="869" t="inlineStr">
        <is>
          <t>Shwe Yaung Sin</t>
        </is>
      </c>
      <c r="D37" s="869" t="inlineStr">
        <is>
          <t>ပခုက္ကူ</t>
        </is>
      </c>
      <c r="E37" s="869" t="inlineStr">
        <is>
          <t>Pakokku</t>
        </is>
      </c>
      <c r="F37" s="869" t="inlineStr">
        <is>
          <t>SemiWS</t>
        </is>
      </c>
      <c r="G37" s="1113" t="n"/>
      <c r="H37" s="1113" t="n"/>
      <c r="I37" s="1113" t="n">
        <v>200</v>
      </c>
      <c r="J37" s="1113" t="n">
        <v>2800</v>
      </c>
      <c r="K37" s="1113" t="n"/>
      <c r="L37" s="1113" t="n"/>
      <c r="M37" s="1113" t="n"/>
      <c r="N37" s="1113" t="n"/>
      <c r="O37" s="1113" t="n">
        <v>150</v>
      </c>
      <c r="P37" s="1113" t="n">
        <v>2100</v>
      </c>
      <c r="Q37" s="1113" t="n"/>
      <c r="R37" s="1113" t="n"/>
      <c r="S37" s="1113" t="n"/>
      <c r="T37" s="1113" t="n"/>
      <c r="U37" s="1113" t="n"/>
      <c r="V37" s="1113" t="n"/>
      <c r="W37" s="1113" t="n"/>
      <c r="X37" s="1113" t="n"/>
      <c r="Y37" s="1113" t="n">
        <v>50</v>
      </c>
      <c r="Z37" s="1113" t="n">
        <v>700</v>
      </c>
      <c r="AA37" s="1113" t="n"/>
      <c r="AB37" s="1113" t="n"/>
      <c r="AC37" s="1113" t="n"/>
      <c r="AD37" s="1113" t="n"/>
      <c r="AE37" s="1114">
        <f>G37+I37+K37+M37+O37+Q37+S37+U37+W37+Y37+AA37+AC37</f>
        <v/>
      </c>
      <c r="AF37" s="1114">
        <f>H37+J37+L37+N37+P37+R37+T37+V37+X37+Z37+AB37+AD37</f>
        <v/>
      </c>
      <c r="AG37" s="1115" t="n"/>
      <c r="AH37" s="1115" t="n"/>
      <c r="AI37" s="1115" t="n"/>
      <c r="AJ37" s="1115" t="n"/>
      <c r="AK37" s="1115" t="n"/>
      <c r="AL37" s="1115" t="n"/>
      <c r="AM37" s="1115" t="n">
        <v>0</v>
      </c>
      <c r="AN37" s="1115" t="n">
        <v>0</v>
      </c>
      <c r="AO37" s="1115" t="n">
        <v>0</v>
      </c>
      <c r="AP37" s="1115" t="n">
        <v>30</v>
      </c>
      <c r="AQ37" s="1115" t="n">
        <v>420</v>
      </c>
      <c r="AR37" s="1115" t="n">
        <v>268.8</v>
      </c>
      <c r="AS37" s="1115" t="n">
        <v>0</v>
      </c>
      <c r="AT37" s="1115" t="n">
        <v>0</v>
      </c>
      <c r="AU37" s="1115" t="n">
        <v>0</v>
      </c>
      <c r="AV37" s="1115" t="n">
        <v>170</v>
      </c>
      <c r="AW37" s="1115" t="n">
        <v>2380</v>
      </c>
      <c r="AX37" s="1115" t="n">
        <v>1523.2</v>
      </c>
      <c r="AY37" s="1115" t="n">
        <v>156</v>
      </c>
      <c r="AZ37" s="1115" t="n">
        <v>2482</v>
      </c>
      <c r="BA37" s="1115" t="n">
        <v>1588</v>
      </c>
      <c r="BB37" s="1115" t="n">
        <v>270</v>
      </c>
      <c r="BC37" s="1115" t="n">
        <v>3980</v>
      </c>
      <c r="BD37" s="1115" t="n">
        <v>2547.2</v>
      </c>
      <c r="BE37" s="1115" t="n">
        <v>300</v>
      </c>
      <c r="BF37" s="1115" t="n">
        <v>4200</v>
      </c>
      <c r="BG37" s="1115" t="n">
        <v>2688</v>
      </c>
      <c r="BH37" s="1115" t="n">
        <v>100</v>
      </c>
      <c r="BI37" s="1115" t="n">
        <v>1400</v>
      </c>
      <c r="BJ37" s="1115" t="n">
        <v>896</v>
      </c>
      <c r="BK37" s="1115" t="n">
        <v>230</v>
      </c>
      <c r="BL37" s="1115" t="n">
        <v>3400</v>
      </c>
      <c r="BM37" s="1115" t="n">
        <v>2171.2</v>
      </c>
      <c r="BN37" s="1115" t="n">
        <v>250</v>
      </c>
      <c r="BO37" s="1115" t="n">
        <v>3500</v>
      </c>
      <c r="BP37" s="1115" t="n">
        <v>2240</v>
      </c>
      <c r="BQ37" s="1114">
        <f>AG37+AJ37+AM37+AP37+AS37+AV37+AY37+BB37+BE37+BH37+BK37+BN37</f>
        <v/>
      </c>
      <c r="BR37" s="1114">
        <f>AH37+AK37+AN37+AQ37+AT37+AW37+AZ37+BC37+BF37+BI37+BL37+BO37</f>
        <v/>
      </c>
      <c r="BS37" s="1114">
        <f>AI37+AL37+AO37+AR37+AU37+AX37+BA37+BD37+BG37+BJ37+BM37+BP37</f>
        <v/>
      </c>
      <c r="BT37" s="1114">
        <f>(AG37+AJ37)/2</f>
        <v/>
      </c>
      <c r="BU37" s="1114">
        <f>(AH37+AK37)/2</f>
        <v/>
      </c>
      <c r="BV37" s="1114">
        <f>(AI37+AL37)/2</f>
        <v/>
      </c>
      <c r="BW37" s="1114">
        <f>BQ37/12</f>
        <v/>
      </c>
      <c r="BX37" s="1114">
        <f>BR37/12</f>
        <v/>
      </c>
      <c r="BY37" s="1114">
        <f>BS37/12</f>
        <v/>
      </c>
      <c r="BZ37" s="1115" t="n">
        <v>300</v>
      </c>
      <c r="CA37" s="869" t="n">
        <v>4200</v>
      </c>
      <c r="CB37" s="869" t="n">
        <v>2688</v>
      </c>
      <c r="CC37" s="1058" t="n">
        <v>280</v>
      </c>
      <c r="CD37" s="1058" t="n">
        <v>3860</v>
      </c>
      <c r="CE37" s="1058" t="n">
        <v>2456</v>
      </c>
      <c r="CF37" s="869" t="n"/>
      <c r="CG37" s="869" t="n"/>
      <c r="CH37" s="869" t="n"/>
      <c r="CI37" s="869" t="n"/>
      <c r="CJ37" s="869" t="n"/>
      <c r="CK37" s="869" t="n"/>
      <c r="CL37" s="869" t="n"/>
      <c r="CM37" s="869" t="n"/>
      <c r="CN37" s="869" t="n"/>
      <c r="CO37" s="869" t="n"/>
      <c r="CP37" s="869" t="n"/>
      <c r="CQ37" s="869" t="n"/>
      <c r="CR37" s="869" t="n"/>
      <c r="CS37" s="869" t="n"/>
      <c r="CT37" s="869" t="n"/>
      <c r="CU37" s="869" t="n"/>
      <c r="CV37" s="869" t="n"/>
      <c r="CW37" s="869" t="n"/>
      <c r="CX37" s="869" t="n"/>
      <c r="CY37" s="869" t="n"/>
      <c r="CZ37" s="869" t="n"/>
      <c r="DA37" s="869" t="n"/>
      <c r="DB37" s="869" t="n"/>
      <c r="DC37" s="869" t="n"/>
      <c r="DD37" s="869" t="n"/>
      <c r="DE37" s="869" t="n"/>
      <c r="DF37" s="869" t="n"/>
      <c r="DG37" s="869" t="n"/>
      <c r="DH37" s="869" t="n"/>
      <c r="DI37" s="869" t="n"/>
      <c r="DJ37" s="1116">
        <f>BZ37+CC37+CF37+CI37+CL37+CO37+CR37+CU37+CX37+DA37+DD37+DG37</f>
        <v/>
      </c>
      <c r="DK37" s="1116">
        <f>CA37+CD37+CG37+CJ37+CM37+CP37+CS37+CV37+CY37+DB37+DE37+DH37</f>
        <v/>
      </c>
      <c r="DL37" s="1116">
        <f>CB37+CE37+CH37+CK37+CN37+CQ37+CT37+CW37+CZ37+DC37+DF37+DI37</f>
        <v/>
      </c>
      <c r="DM37" s="1117">
        <f>DJ37/2</f>
        <v/>
      </c>
      <c r="DN37" s="1117">
        <f>DK37/2</f>
        <v/>
      </c>
      <c r="DO37" s="1118">
        <f>DL37/2</f>
        <v/>
      </c>
      <c r="DP37" s="1121" t="n"/>
      <c r="DQ37" s="1120">
        <f>DO37/BY37*100-100</f>
        <v/>
      </c>
    </row>
    <row r="38">
      <c r="A38" s="869" t="n">
        <v>8</v>
      </c>
      <c r="B38" s="869" t="inlineStr">
        <is>
          <t>A1</t>
        </is>
      </c>
      <c r="C38" s="869" t="inlineStr">
        <is>
          <t>A1</t>
        </is>
      </c>
      <c r="D38" s="869" t="inlineStr">
        <is>
          <t>ပုဂံ</t>
        </is>
      </c>
      <c r="E38" s="869" t="inlineStr">
        <is>
          <t>Bagan</t>
        </is>
      </c>
      <c r="F38" s="869" t="inlineStr">
        <is>
          <t>SemiWS</t>
        </is>
      </c>
      <c r="G38" s="1113" t="n"/>
      <c r="H38" s="1113" t="n"/>
      <c r="I38" s="1113" t="n"/>
      <c r="J38" s="1113" t="n"/>
      <c r="K38" s="1113" t="n"/>
      <c r="L38" s="1113" t="n"/>
      <c r="M38" s="1113" t="n"/>
      <c r="N38" s="1113" t="n"/>
      <c r="O38" s="1113" t="n"/>
      <c r="P38" s="1113" t="n"/>
      <c r="Q38" s="1113" t="n"/>
      <c r="R38" s="1113" t="n"/>
      <c r="S38" s="1113" t="n"/>
      <c r="T38" s="1113" t="n"/>
      <c r="U38" s="1113" t="n"/>
      <c r="V38" s="1113" t="n"/>
      <c r="W38" s="1113" t="n"/>
      <c r="X38" s="1113" t="n"/>
      <c r="Y38" s="1113" t="n"/>
      <c r="Z38" s="1113" t="n"/>
      <c r="AA38" s="1113" t="n"/>
      <c r="AB38" s="1113" t="n"/>
      <c r="AC38" s="1113" t="n"/>
      <c r="AD38" s="1113" t="n"/>
      <c r="AE38" s="1114">
        <f>G38+I38+K38+M38+O38+Q38+S38+U38+W38+Y38+AA38+AC38</f>
        <v/>
      </c>
      <c r="AF38" s="1114">
        <f>H38+J38+L38+N38+P38+R38+T38+V38+X38+Z38+AB38+AD38</f>
        <v/>
      </c>
      <c r="AG38" s="1115" t="n"/>
      <c r="AH38" s="1115" t="n"/>
      <c r="AI38" s="1115" t="n"/>
      <c r="AJ38" s="1115" t="n"/>
      <c r="AK38" s="1115" t="n"/>
      <c r="AL38" s="1115" t="n"/>
      <c r="AM38" s="1115" t="n"/>
      <c r="AN38" s="1115" t="n"/>
      <c r="AO38" s="1115" t="n"/>
      <c r="AP38" s="1115" t="n"/>
      <c r="AQ38" s="1115" t="n"/>
      <c r="AR38" s="1115" t="n"/>
      <c r="AS38" s="1115" t="n">
        <v>150</v>
      </c>
      <c r="AT38" s="1115" t="n">
        <v>2100</v>
      </c>
      <c r="AU38" s="1115" t="n">
        <v>1344</v>
      </c>
      <c r="AV38" s="1115" t="n">
        <v>0</v>
      </c>
      <c r="AW38" s="1115" t="n">
        <v>0</v>
      </c>
      <c r="AX38" s="1115" t="n">
        <v>0</v>
      </c>
      <c r="AY38" s="1115" t="n">
        <v>320</v>
      </c>
      <c r="AZ38" s="1115" t="n">
        <v>4480</v>
      </c>
      <c r="BA38" s="1115" t="n">
        <v>2867.2</v>
      </c>
      <c r="BB38" s="1115" t="n">
        <v>200</v>
      </c>
      <c r="BC38" s="1115" t="n">
        <v>2800</v>
      </c>
      <c r="BD38" s="1115" t="n">
        <v>1792</v>
      </c>
      <c r="BE38" s="1115" t="n">
        <v>650</v>
      </c>
      <c r="BF38" s="1115" t="n">
        <v>8300</v>
      </c>
      <c r="BG38" s="1115" t="n">
        <v>7040</v>
      </c>
      <c r="BH38" s="1115" t="n">
        <v>200</v>
      </c>
      <c r="BI38" s="1115" t="n">
        <v>2400</v>
      </c>
      <c r="BJ38" s="1115" t="n">
        <v>2400</v>
      </c>
      <c r="BK38" s="1115" t="n">
        <v>560</v>
      </c>
      <c r="BL38" s="1115" t="n">
        <v>6940</v>
      </c>
      <c r="BM38" s="1115" t="n">
        <v>6385.6</v>
      </c>
      <c r="BN38" s="1115" t="n">
        <v>720</v>
      </c>
      <c r="BO38" s="1115" t="n">
        <v>9120</v>
      </c>
      <c r="BP38" s="1115" t="n">
        <v>7910.4</v>
      </c>
      <c r="BQ38" s="1114">
        <f>AG38+AJ38+AM38+AP38+AS38+AV38+AY38+BB38+BE38+BH38+BK38+BN38</f>
        <v/>
      </c>
      <c r="BR38" s="1114">
        <f>AH38+AK38+AN38+AQ38+AT38+AW38+AZ38+BC38+BF38+BI38+BL38+BO38</f>
        <v/>
      </c>
      <c r="BS38" s="1114">
        <f>AI38+AL38+AO38+AR38+AU38+AX38+BA38+BD38+BG38+BJ38+BM38+BP38</f>
        <v/>
      </c>
      <c r="BT38" s="1114">
        <f>(AG38+AJ38)/2</f>
        <v/>
      </c>
      <c r="BU38" s="1114">
        <f>(AH38+AK38)/2</f>
        <v/>
      </c>
      <c r="BV38" s="1114">
        <f>(AI38+AL38)/2</f>
        <v/>
      </c>
      <c r="BW38" s="1114">
        <f>BQ38/12</f>
        <v/>
      </c>
      <c r="BX38" s="1114">
        <f>BR38/12</f>
        <v/>
      </c>
      <c r="BY38" s="1114">
        <f>BS38/12</f>
        <v/>
      </c>
      <c r="BZ38" s="1115" t="n">
        <v>300</v>
      </c>
      <c r="CA38" s="869" t="n">
        <v>3700</v>
      </c>
      <c r="CB38" s="869" t="n">
        <v>3448</v>
      </c>
      <c r="CC38" s="1058" t="n">
        <v>520</v>
      </c>
      <c r="CD38" s="1058" t="n">
        <v>6580</v>
      </c>
      <c r="CE38" s="1058" t="n">
        <v>5723.200000000001</v>
      </c>
      <c r="CF38" s="869" t="n"/>
      <c r="CG38" s="869" t="n"/>
      <c r="CH38" s="869" t="n"/>
      <c r="CI38" s="869" t="n"/>
      <c r="CJ38" s="869" t="n"/>
      <c r="CK38" s="869" t="n"/>
      <c r="CL38" s="869" t="n"/>
      <c r="CM38" s="869" t="n"/>
      <c r="CN38" s="869" t="n"/>
      <c r="CO38" s="869" t="n"/>
      <c r="CP38" s="869" t="n"/>
      <c r="CQ38" s="869" t="n"/>
      <c r="CR38" s="869" t="n"/>
      <c r="CS38" s="869" t="n"/>
      <c r="CT38" s="869" t="n"/>
      <c r="CU38" s="869" t="n"/>
      <c r="CV38" s="869" t="n"/>
      <c r="CW38" s="869" t="n"/>
      <c r="CX38" s="869" t="n"/>
      <c r="CY38" s="869" t="n"/>
      <c r="CZ38" s="869" t="n"/>
      <c r="DA38" s="869" t="n"/>
      <c r="DB38" s="869" t="n"/>
      <c r="DC38" s="869" t="n"/>
      <c r="DD38" s="869" t="n"/>
      <c r="DE38" s="869" t="n"/>
      <c r="DF38" s="869" t="n"/>
      <c r="DG38" s="869" t="n"/>
      <c r="DH38" s="869" t="n"/>
      <c r="DI38" s="869" t="n"/>
      <c r="DJ38" s="1116">
        <f>BZ38+CC38+CF38+CI38+CL38+CO38+CR38+CU38+CX38+DA38+DD38+DG38</f>
        <v/>
      </c>
      <c r="DK38" s="1116">
        <f>CA38+CD38+CG38+CJ38+CM38+CP38+CS38+CV38+CY38+DB38+DE38+DH38</f>
        <v/>
      </c>
      <c r="DL38" s="1116">
        <f>CB38+CE38+CH38+CK38+CN38+CQ38+CT38+CW38+CZ38+DC38+DF38+DI38</f>
        <v/>
      </c>
      <c r="DM38" s="1117">
        <f>DJ38/2</f>
        <v/>
      </c>
      <c r="DN38" s="1117">
        <f>DK38/2</f>
        <v/>
      </c>
      <c r="DO38" s="1118">
        <f>DL38/2</f>
        <v/>
      </c>
      <c r="DP38" s="1121" t="n"/>
      <c r="DQ38" s="1120">
        <f>DO38/BY38*100-100</f>
        <v/>
      </c>
    </row>
    <row r="39">
      <c r="A39" s="869" t="n">
        <v>9</v>
      </c>
      <c r="B39" s="869" t="inlineStr">
        <is>
          <t>ရွှေခေတ်</t>
        </is>
      </c>
      <c r="C39" s="869" t="inlineStr">
        <is>
          <t>Shwe Khit</t>
        </is>
      </c>
      <c r="D39" s="869" t="inlineStr">
        <is>
          <t>မလှိုင်</t>
        </is>
      </c>
      <c r="E39" s="869" t="inlineStr">
        <is>
          <t>Mahlaing</t>
        </is>
      </c>
      <c r="F39" s="869" t="inlineStr">
        <is>
          <t>SemiWS</t>
        </is>
      </c>
      <c r="G39" s="1113" t="n"/>
      <c r="H39" s="1113" t="n"/>
      <c r="I39" s="1113" t="n"/>
      <c r="J39" s="1113" t="n"/>
      <c r="K39" s="1113" t="n"/>
      <c r="L39" s="1113" t="n"/>
      <c r="M39" s="1113" t="n"/>
      <c r="N39" s="1113" t="n"/>
      <c r="O39" s="1113" t="n"/>
      <c r="P39" s="1113" t="n"/>
      <c r="Q39" s="1113" t="n"/>
      <c r="R39" s="1113" t="n"/>
      <c r="S39" s="1113" t="n"/>
      <c r="T39" s="1113" t="n"/>
      <c r="U39" s="1113" t="n"/>
      <c r="V39" s="1113" t="n"/>
      <c r="W39" s="1113" t="n"/>
      <c r="X39" s="1113" t="n"/>
      <c r="Y39" s="1113" t="n"/>
      <c r="Z39" s="1113" t="n"/>
      <c r="AA39" s="1113" t="n"/>
      <c r="AB39" s="1113" t="n"/>
      <c r="AC39" s="1113" t="n"/>
      <c r="AD39" s="1113" t="n"/>
      <c r="AE39" s="1114">
        <f>G39+I39+K39+M39+O39+Q39+S39+U39+W39+Y39+AA39+AC39</f>
        <v/>
      </c>
      <c r="AF39" s="1114">
        <f>H39+J39+L39+N39+P39+R39+T39+V39+X39+Z39+AB39+AD39</f>
        <v/>
      </c>
      <c r="AG39" s="1115" t="n"/>
      <c r="AH39" s="1115" t="n"/>
      <c r="AI39" s="1115" t="n"/>
      <c r="AJ39" s="1115" t="n"/>
      <c r="AK39" s="1115" t="n"/>
      <c r="AL39" s="1115" t="n"/>
      <c r="AM39" s="1115" t="n"/>
      <c r="AN39" s="1115" t="n"/>
      <c r="AO39" s="1115" t="n"/>
      <c r="AP39" s="1115" t="n"/>
      <c r="AQ39" s="1115" t="n"/>
      <c r="AR39" s="1115" t="n"/>
      <c r="AS39" s="1115" t="n">
        <v>150</v>
      </c>
      <c r="AT39" s="1115" t="n">
        <v>2040</v>
      </c>
      <c r="AU39" s="1115" t="n">
        <v>1435.2</v>
      </c>
      <c r="AV39" s="1115" t="n">
        <v>447</v>
      </c>
      <c r="AW39" s="1115" t="n">
        <v>5684</v>
      </c>
      <c r="AX39" s="1115" t="n">
        <v>4852.4</v>
      </c>
      <c r="AY39" s="1115" t="n">
        <v>225</v>
      </c>
      <c r="AZ39" s="1115" t="n">
        <v>2910</v>
      </c>
      <c r="BA39" s="1115" t="n">
        <v>2380.8</v>
      </c>
      <c r="BB39" s="1115" t="n">
        <v>440</v>
      </c>
      <c r="BC39" s="1115" t="n">
        <v>5660</v>
      </c>
      <c r="BD39" s="1115" t="n">
        <v>4702.4</v>
      </c>
      <c r="BE39" s="1115" t="n">
        <v>379</v>
      </c>
      <c r="BF39" s="1115" t="n">
        <v>4658</v>
      </c>
      <c r="BG39" s="1115" t="n">
        <v>4366.4</v>
      </c>
      <c r="BH39" s="1115" t="n">
        <v>384</v>
      </c>
      <c r="BI39" s="1115" t="n">
        <v>4652</v>
      </c>
      <c r="BJ39" s="1115" t="n">
        <v>4533.92</v>
      </c>
      <c r="BK39" s="1115" t="n">
        <v>292</v>
      </c>
      <c r="BL39" s="1115" t="n">
        <v>3684</v>
      </c>
      <c r="BM39" s="1115" t="n">
        <v>3223.2</v>
      </c>
      <c r="BN39" s="1115" t="n">
        <v>510</v>
      </c>
      <c r="BO39" s="1115" t="n">
        <v>6220</v>
      </c>
      <c r="BP39" s="1115" t="n">
        <v>5968</v>
      </c>
      <c r="BQ39" s="1114">
        <f>AG39+AJ39+AM39+AP39+AS39+AV39+AY39+BB39+BE39+BH39+BK39+BN39</f>
        <v/>
      </c>
      <c r="BR39" s="1114">
        <f>AH39+AK39+AN39+AQ39+AT39+AW39+AZ39+BC39+BF39+BI39+BL39+BO39</f>
        <v/>
      </c>
      <c r="BS39" s="1114">
        <f>AI39+AL39+AO39+AR39+AU39+AX39+BA39+BD39+BG39+BJ39+BM39+BP39</f>
        <v/>
      </c>
      <c r="BT39" s="1114">
        <f>(AG39+AJ39)/2</f>
        <v/>
      </c>
      <c r="BU39" s="1114">
        <f>(AH39+AK39)/2</f>
        <v/>
      </c>
      <c r="BV39" s="1114">
        <f>(AI39+AL39)/2</f>
        <v/>
      </c>
      <c r="BW39" s="1114">
        <f>BQ39/12</f>
        <v/>
      </c>
      <c r="BX39" s="1114">
        <f>BR39/12</f>
        <v/>
      </c>
      <c r="BY39" s="1114">
        <f>BS39/12</f>
        <v/>
      </c>
      <c r="BZ39" s="1115" t="n">
        <v>252</v>
      </c>
      <c r="CA39" s="869" t="n">
        <v>3224</v>
      </c>
      <c r="CB39" s="869" t="n">
        <v>2712.8</v>
      </c>
      <c r="CC39" s="1058" t="n">
        <v>232</v>
      </c>
      <c r="CD39" s="1058" t="n">
        <v>2844</v>
      </c>
      <c r="CE39" s="1058" t="n">
        <v>2685.6</v>
      </c>
      <c r="CF39" s="869" t="n"/>
      <c r="CG39" s="869" t="n"/>
      <c r="CH39" s="869" t="n"/>
      <c r="CI39" s="869" t="n"/>
      <c r="CJ39" s="869" t="n"/>
      <c r="CK39" s="869" t="n"/>
      <c r="CL39" s="869" t="n"/>
      <c r="CM39" s="869" t="n"/>
      <c r="CN39" s="869" t="n"/>
      <c r="CO39" s="869" t="n"/>
      <c r="CP39" s="869" t="n"/>
      <c r="CQ39" s="869" t="n"/>
      <c r="CR39" s="869" t="n"/>
      <c r="CS39" s="869" t="n"/>
      <c r="CT39" s="869" t="n"/>
      <c r="CU39" s="869" t="n"/>
      <c r="CV39" s="869" t="n"/>
      <c r="CW39" s="869" t="n"/>
      <c r="CX39" s="869" t="n"/>
      <c r="CY39" s="869" t="n"/>
      <c r="CZ39" s="869" t="n"/>
      <c r="DA39" s="869" t="n"/>
      <c r="DB39" s="869" t="n"/>
      <c r="DC39" s="869" t="n"/>
      <c r="DD39" s="869" t="n"/>
      <c r="DE39" s="869" t="n"/>
      <c r="DF39" s="869" t="n"/>
      <c r="DG39" s="869" t="n"/>
      <c r="DH39" s="869" t="n"/>
      <c r="DI39" s="869" t="n"/>
      <c r="DJ39" s="1116">
        <f>BZ39+CC39+CF39+CI39+CL39+CO39+CR39+CU39+CX39+DA39+DD39+DG39</f>
        <v/>
      </c>
      <c r="DK39" s="1116">
        <f>CA39+CD39+CG39+CJ39+CM39+CP39+CS39+CV39+CY39+DB39+DE39+DH39</f>
        <v/>
      </c>
      <c r="DL39" s="1116">
        <f>CB39+CE39+CH39+CK39+CN39+CQ39+CT39+CW39+CZ39+DC39+DF39+DI39</f>
        <v/>
      </c>
      <c r="DM39" s="1117">
        <f>DJ39/2</f>
        <v/>
      </c>
      <c r="DN39" s="1117">
        <f>DK39/2</f>
        <v/>
      </c>
      <c r="DO39" s="1118">
        <f>DL39/2</f>
        <v/>
      </c>
      <c r="DP39" s="1121" t="n"/>
      <c r="DQ39" s="1120">
        <f>DO39/BY39*100-100</f>
        <v/>
      </c>
    </row>
    <row r="40">
      <c r="A40" s="869" t="n">
        <v>10</v>
      </c>
      <c r="B40" s="869" t="inlineStr">
        <is>
          <t>ဟိန်းမြန်မာ</t>
        </is>
      </c>
      <c r="C40" s="869" t="inlineStr">
        <is>
          <t>Hein Myanmar</t>
        </is>
      </c>
      <c r="D40" s="869" t="inlineStr">
        <is>
          <t>မလှိုင်</t>
        </is>
      </c>
      <c r="E40" s="869" t="inlineStr">
        <is>
          <t>Mahlaing</t>
        </is>
      </c>
      <c r="F40" s="869" t="inlineStr">
        <is>
          <t>SemiWS</t>
        </is>
      </c>
      <c r="G40" s="1113" t="n"/>
      <c r="H40" s="1113" t="n"/>
      <c r="I40" s="1113" t="n"/>
      <c r="J40" s="1113" t="n"/>
      <c r="K40" s="1113" t="n"/>
      <c r="L40" s="1113" t="n"/>
      <c r="M40" s="1113" t="n"/>
      <c r="N40" s="1113" t="n"/>
      <c r="O40" s="1113" t="n"/>
      <c r="P40" s="1113" t="n"/>
      <c r="Q40" s="1113" t="n"/>
      <c r="R40" s="1113" t="n"/>
      <c r="S40" s="1113" t="n"/>
      <c r="T40" s="1113" t="n"/>
      <c r="U40" s="1113" t="n"/>
      <c r="V40" s="1113" t="n"/>
      <c r="W40" s="1113" t="n"/>
      <c r="X40" s="1113" t="n"/>
      <c r="Y40" s="1113" t="n"/>
      <c r="Z40" s="1113" t="n"/>
      <c r="AA40" s="1113" t="n"/>
      <c r="AB40" s="1113" t="n"/>
      <c r="AC40" s="1113" t="n"/>
      <c r="AD40" s="1113" t="n"/>
      <c r="AE40" s="1114">
        <f>G40+I40+K40+M40+O40+Q40+S40+U40+W40+Y40+AA40+AC40</f>
        <v/>
      </c>
      <c r="AF40" s="1114">
        <f>H40+J40+L40+N40+P40+R40+T40+V40+X40+Z40+AB40+AD40</f>
        <v/>
      </c>
      <c r="AG40" s="1115" t="n"/>
      <c r="AH40" s="1115" t="n"/>
      <c r="AI40" s="1115" t="n"/>
      <c r="AJ40" s="1115" t="n"/>
      <c r="AK40" s="1115" t="n"/>
      <c r="AL40" s="1115" t="n"/>
      <c r="AM40" s="1115" t="n"/>
      <c r="AN40" s="1115" t="n"/>
      <c r="AO40" s="1115" t="n"/>
      <c r="AP40" s="1115" t="n"/>
      <c r="AQ40" s="1115" t="n"/>
      <c r="AR40" s="1115" t="n"/>
      <c r="AS40" s="1115" t="n">
        <v>110</v>
      </c>
      <c r="AT40" s="1115" t="n">
        <v>1590</v>
      </c>
      <c r="AU40" s="1115" t="n">
        <v>1017.6</v>
      </c>
      <c r="AV40" s="1115" t="n">
        <v>105</v>
      </c>
      <c r="AW40" s="1115" t="n">
        <v>1470</v>
      </c>
      <c r="AX40" s="1115" t="n">
        <v>940.8000000000002</v>
      </c>
      <c r="AY40" s="1115" t="n">
        <v>120</v>
      </c>
      <c r="AZ40" s="1115" t="n">
        <v>1680</v>
      </c>
      <c r="BA40" s="1115" t="n">
        <v>1075.2</v>
      </c>
      <c r="BB40" s="1115" t="n">
        <v>50</v>
      </c>
      <c r="BC40" s="1115" t="n">
        <v>700</v>
      </c>
      <c r="BD40" s="1115" t="n">
        <v>448.0000000000001</v>
      </c>
      <c r="BE40" s="1115" t="n">
        <v>110</v>
      </c>
      <c r="BF40" s="1115" t="n">
        <v>1590</v>
      </c>
      <c r="BG40" s="1115" t="n">
        <v>1017.6</v>
      </c>
      <c r="BH40" s="1115" t="n">
        <v>70</v>
      </c>
      <c r="BI40" s="1115" t="n">
        <v>980</v>
      </c>
      <c r="BJ40" s="1115" t="n">
        <v>627.1999999999999</v>
      </c>
      <c r="BK40" s="1115" t="n">
        <v>175</v>
      </c>
      <c r="BL40" s="1115" t="n">
        <v>2500</v>
      </c>
      <c r="BM40" s="1115" t="n">
        <v>1600</v>
      </c>
      <c r="BN40" s="1115" t="n">
        <v>60</v>
      </c>
      <c r="BO40" s="1115" t="n">
        <v>840</v>
      </c>
      <c r="BP40" s="1115" t="n">
        <v>537.6</v>
      </c>
      <c r="BQ40" s="1114">
        <f>AG40+AJ40+AM40+AP40+AS40+AV40+AY40+BB40+BE40+BH40+BK40+BN40</f>
        <v/>
      </c>
      <c r="BR40" s="1114">
        <f>AH40+AK40+AN40+AQ40+AT40+AW40+AZ40+BC40+BF40+BI40+BL40+BO40</f>
        <v/>
      </c>
      <c r="BS40" s="1114">
        <f>AI40+AL40+AO40+AR40+AU40+AX40+BA40+BD40+BG40+BJ40+BM40+BP40</f>
        <v/>
      </c>
      <c r="BT40" s="1114">
        <f>(AG40+AJ40)/2</f>
        <v/>
      </c>
      <c r="BU40" s="1114">
        <f>(AH40+AK40)/2</f>
        <v/>
      </c>
      <c r="BV40" s="1114">
        <f>(AI40+AL40)/2</f>
        <v/>
      </c>
      <c r="BW40" s="1114">
        <f>BQ40/12</f>
        <v/>
      </c>
      <c r="BX40" s="1114">
        <f>BR40/12</f>
        <v/>
      </c>
      <c r="BY40" s="1114">
        <f>BS40/12</f>
        <v/>
      </c>
      <c r="BZ40" s="1115" t="n">
        <v>120</v>
      </c>
      <c r="CA40" s="869" t="n">
        <v>1730</v>
      </c>
      <c r="CB40" s="869" t="n">
        <v>1107.2</v>
      </c>
      <c r="CC40" s="1058" t="n">
        <v>55</v>
      </c>
      <c r="CD40" s="1058" t="n">
        <v>770</v>
      </c>
      <c r="CE40" s="1058" t="n">
        <v>492.8</v>
      </c>
      <c r="CF40" s="869" t="n"/>
      <c r="CG40" s="869" t="n"/>
      <c r="CH40" s="869" t="n"/>
      <c r="CI40" s="869" t="n"/>
      <c r="CJ40" s="869" t="n"/>
      <c r="CK40" s="869" t="n"/>
      <c r="CL40" s="869" t="n"/>
      <c r="CM40" s="869" t="n"/>
      <c r="CN40" s="869" t="n"/>
      <c r="CO40" s="869" t="n"/>
      <c r="CP40" s="869" t="n"/>
      <c r="CQ40" s="869" t="n"/>
      <c r="CR40" s="869" t="n"/>
      <c r="CS40" s="869" t="n"/>
      <c r="CT40" s="869" t="n"/>
      <c r="CU40" s="869" t="n"/>
      <c r="CV40" s="869" t="n"/>
      <c r="CW40" s="869" t="n"/>
      <c r="CX40" s="869" t="n"/>
      <c r="CY40" s="869" t="n"/>
      <c r="CZ40" s="869" t="n"/>
      <c r="DA40" s="869" t="n"/>
      <c r="DB40" s="869" t="n"/>
      <c r="DC40" s="869" t="n"/>
      <c r="DD40" s="869" t="n"/>
      <c r="DE40" s="869" t="n"/>
      <c r="DF40" s="869" t="n"/>
      <c r="DG40" s="869" t="n"/>
      <c r="DH40" s="869" t="n"/>
      <c r="DI40" s="869" t="n"/>
      <c r="DJ40" s="1116">
        <f>BZ40+CC40+CF40+CI40+CL40+CO40+CR40+CU40+CX40+DA40+DD40+DG40</f>
        <v/>
      </c>
      <c r="DK40" s="1116">
        <f>CA40+CD40+CG40+CJ40+CM40+CP40+CS40+CV40+CY40+DB40+DE40+DH40</f>
        <v/>
      </c>
      <c r="DL40" s="1116">
        <f>CB40+CE40+CH40+CK40+CN40+CQ40+CT40+CW40+CZ40+DC40+DF40+DI40</f>
        <v/>
      </c>
      <c r="DM40" s="1117">
        <f>DJ40/2</f>
        <v/>
      </c>
      <c r="DN40" s="1117">
        <f>DK40/2</f>
        <v/>
      </c>
      <c r="DO40" s="1118">
        <f>DL40/2</f>
        <v/>
      </c>
      <c r="DP40" s="1121" t="n"/>
      <c r="DQ40" s="1120">
        <f>DO40/BY40*100-100</f>
        <v/>
      </c>
    </row>
    <row r="41">
      <c r="A41" s="869" t="n">
        <v>11</v>
      </c>
      <c r="B41" s="869" t="inlineStr">
        <is>
          <t>ကိုချစ်ကို</t>
        </is>
      </c>
      <c r="C41" s="869" t="inlineStr">
        <is>
          <t>Ko Chit Ko</t>
        </is>
      </c>
      <c r="D41" s="869" t="inlineStr">
        <is>
          <t>သာစည်</t>
        </is>
      </c>
      <c r="E41" s="869" t="inlineStr">
        <is>
          <t>Tharzi</t>
        </is>
      </c>
      <c r="F41" s="869" t="inlineStr">
        <is>
          <t>SemiWS</t>
        </is>
      </c>
      <c r="G41" s="1113" t="n">
        <v>84</v>
      </c>
      <c r="H41" s="1113" t="n">
        <v>1276</v>
      </c>
      <c r="I41" s="1113" t="n">
        <v>55</v>
      </c>
      <c r="J41" s="1113" t="n">
        <v>820</v>
      </c>
      <c r="K41" s="1113" t="n">
        <v>60</v>
      </c>
      <c r="L41" s="1113" t="n">
        <v>940</v>
      </c>
      <c r="M41" s="1113" t="n">
        <v>35</v>
      </c>
      <c r="N41" s="1113" t="n">
        <v>590</v>
      </c>
      <c r="O41" s="1113" t="n">
        <v>75</v>
      </c>
      <c r="P41" s="1113" t="n">
        <v>1300</v>
      </c>
      <c r="Q41" s="1113" t="n">
        <v>35</v>
      </c>
      <c r="R41" s="1113" t="n">
        <v>490</v>
      </c>
      <c r="S41" s="1113" t="n">
        <v>95</v>
      </c>
      <c r="T41" s="1113" t="n">
        <v>1580</v>
      </c>
      <c r="U41" s="1113" t="n">
        <v>50</v>
      </c>
      <c r="V41" s="1113" t="n">
        <v>950</v>
      </c>
      <c r="W41" s="1113" t="n">
        <v>50</v>
      </c>
      <c r="X41" s="1113" t="n">
        <v>700</v>
      </c>
      <c r="Y41" s="1113" t="n">
        <v>30</v>
      </c>
      <c r="Z41" s="1113" t="n">
        <v>720</v>
      </c>
      <c r="AA41" s="1113" t="n">
        <v>30</v>
      </c>
      <c r="AB41" s="1113" t="n">
        <v>420</v>
      </c>
      <c r="AC41" s="1113" t="n">
        <v>80</v>
      </c>
      <c r="AD41" s="1113" t="n">
        <v>1420</v>
      </c>
      <c r="AE41" s="1114">
        <f>G41+I41+K41+M41+O41+Q41+S41+U41+W41+Y41+AA41+AC41</f>
        <v/>
      </c>
      <c r="AF41" s="1114">
        <f>H41+J41+L41+N41+P41+R41+T41+V41+X41+Z41+AB41+AD41</f>
        <v/>
      </c>
      <c r="AG41" s="1115" t="n"/>
      <c r="AH41" s="1115" t="n"/>
      <c r="AI41" s="1115" t="n"/>
      <c r="AJ41" s="1115" t="n"/>
      <c r="AK41" s="1115" t="n"/>
      <c r="AL41" s="1115" t="n"/>
      <c r="AM41" s="1115" t="n">
        <v>70</v>
      </c>
      <c r="AN41" s="1115" t="n">
        <v>1280</v>
      </c>
      <c r="AO41" s="1115" t="n">
        <v>819.2</v>
      </c>
      <c r="AP41" s="1115" t="n">
        <v>0</v>
      </c>
      <c r="AQ41" s="1115" t="n">
        <v>0</v>
      </c>
      <c r="AR41" s="1115" t="n">
        <v>0</v>
      </c>
      <c r="AS41" s="1115" t="n"/>
      <c r="AT41" s="1115" t="n"/>
      <c r="AU41" s="1115" t="n"/>
      <c r="AV41" s="1115" t="n"/>
      <c r="AW41" s="1115" t="n"/>
      <c r="AX41" s="1115" t="n"/>
      <c r="AY41" s="1115" t="n"/>
      <c r="AZ41" s="1115" t="n"/>
      <c r="BA41" s="1115" t="n"/>
      <c r="BB41" s="1115" t="n"/>
      <c r="BC41" s="1115" t="n"/>
      <c r="BD41" s="1115" t="n"/>
      <c r="BE41" s="1115" t="n"/>
      <c r="BF41" s="1115" t="n"/>
      <c r="BG41" s="1115" t="n"/>
      <c r="BH41" s="1115" t="n"/>
      <c r="BI41" s="1115" t="n"/>
      <c r="BJ41" s="1115" t="n"/>
      <c r="BK41" s="1115" t="n"/>
      <c r="BL41" s="1115" t="n"/>
      <c r="BM41" s="1115" t="n"/>
      <c r="BN41" s="1115" t="n"/>
      <c r="BO41" s="1115" t="n"/>
      <c r="BP41" s="1115" t="n"/>
      <c r="BQ41" s="1114">
        <f>AG41+AJ41+AM41+AP41+AS41+AV41+AY41+BB41+BE41+BH41+BK41+BN41</f>
        <v/>
      </c>
      <c r="BR41" s="1114">
        <f>AH41+AK41+AN41+AQ41+AT41+AW41+AZ41+BC41+BF41+BI41+BL41+BO41</f>
        <v/>
      </c>
      <c r="BS41" s="1114">
        <f>AI41+AL41+AO41+AR41+AU41+AX41+BA41+BD41+BG41+BJ41+BM41+BP41</f>
        <v/>
      </c>
      <c r="BT41" s="1114">
        <f>(AG41+AJ41)/2</f>
        <v/>
      </c>
      <c r="BU41" s="1114">
        <f>(AH41+AK41)/2</f>
        <v/>
      </c>
      <c r="BV41" s="1114">
        <f>(AI41+AL41)/2</f>
        <v/>
      </c>
      <c r="BW41" s="1114">
        <f>BQ41/12</f>
        <v/>
      </c>
      <c r="BX41" s="1114">
        <f>BR41/12</f>
        <v/>
      </c>
      <c r="BY41" s="1114">
        <f>BS41/12</f>
        <v/>
      </c>
      <c r="BZ41" s="1115" t="n"/>
      <c r="CA41" s="869" t="n"/>
      <c r="CB41" s="869" t="n"/>
      <c r="CC41" s="1058" t="n"/>
      <c r="CD41" s="1058" t="n"/>
      <c r="CE41" s="1058" t="n"/>
      <c r="CF41" s="869" t="n"/>
      <c r="CG41" s="869" t="n"/>
      <c r="CH41" s="869" t="n"/>
      <c r="CI41" s="869" t="n"/>
      <c r="CJ41" s="869" t="n"/>
      <c r="CK41" s="869" t="n"/>
      <c r="CL41" s="869" t="n"/>
      <c r="CM41" s="869" t="n"/>
      <c r="CN41" s="869" t="n"/>
      <c r="CO41" s="869" t="n"/>
      <c r="CP41" s="869" t="n"/>
      <c r="CQ41" s="869" t="n"/>
      <c r="CR41" s="869" t="n"/>
      <c r="CS41" s="869" t="n"/>
      <c r="CT41" s="869" t="n"/>
      <c r="CU41" s="869" t="n"/>
      <c r="CV41" s="869" t="n"/>
      <c r="CW41" s="869" t="n"/>
      <c r="CX41" s="869" t="n"/>
      <c r="CY41" s="869" t="n"/>
      <c r="CZ41" s="869" t="n"/>
      <c r="DA41" s="869" t="n"/>
      <c r="DB41" s="869" t="n"/>
      <c r="DC41" s="869" t="n"/>
      <c r="DD41" s="869" t="n"/>
      <c r="DE41" s="869" t="n"/>
      <c r="DF41" s="869" t="n"/>
      <c r="DG41" s="869" t="n"/>
      <c r="DH41" s="869" t="n"/>
      <c r="DI41" s="869" t="n"/>
      <c r="DJ41" s="1116">
        <f>BZ41+CC41+CF41+CI41+CL41+CO41+CR41+CU41+CX41+DA41+DD41+DG41</f>
        <v/>
      </c>
      <c r="DK41" s="1116">
        <f>CA41+CD41+CG41+CJ41+CM41+CP41+CS41+CV41+CY41+DB41+DE41+DH41</f>
        <v/>
      </c>
      <c r="DL41" s="1116">
        <f>CB41+CE41+CH41+CK41+CN41+CQ41+CT41+CW41+CZ41+DC41+DF41+DI41</f>
        <v/>
      </c>
      <c r="DM41" s="1117">
        <f>DJ41/2</f>
        <v/>
      </c>
      <c r="DN41" s="1117">
        <f>DK41/2</f>
        <v/>
      </c>
      <c r="DO41" s="1118">
        <f>DL41/2</f>
        <v/>
      </c>
      <c r="DP41" s="1121" t="n"/>
      <c r="DQ41" s="1120">
        <f>DO41/BY41*100-100</f>
        <v/>
      </c>
      <c r="DR41" s="820" t="inlineStr">
        <is>
          <t>Must Grow</t>
        </is>
      </c>
    </row>
    <row r="42">
      <c r="A42" s="869" t="n">
        <v>12</v>
      </c>
      <c r="B42" s="869" t="inlineStr">
        <is>
          <t>ပြည်ချစ်</t>
        </is>
      </c>
      <c r="C42" s="869" t="inlineStr">
        <is>
          <t>Pyi Chit</t>
        </is>
      </c>
      <c r="D42" s="869" t="inlineStr">
        <is>
          <t>ပျော်ဘွယ်</t>
        </is>
      </c>
      <c r="E42" s="869" t="inlineStr">
        <is>
          <t>Pyawbwe</t>
        </is>
      </c>
      <c r="F42" s="869" t="inlineStr">
        <is>
          <t>SemiWS</t>
        </is>
      </c>
      <c r="G42" s="1113" t="n">
        <v>245</v>
      </c>
      <c r="H42" s="1113" t="n">
        <v>3830</v>
      </c>
      <c r="I42" s="1113" t="n">
        <v>195</v>
      </c>
      <c r="J42" s="1113" t="n">
        <v>3330</v>
      </c>
      <c r="K42" s="1113" t="n">
        <v>140</v>
      </c>
      <c r="L42" s="1113" t="n">
        <v>2210</v>
      </c>
      <c r="M42" s="1113" t="n">
        <v>160</v>
      </c>
      <c r="N42" s="1113" t="n">
        <v>2840</v>
      </c>
      <c r="O42" s="1113" t="n">
        <v>204</v>
      </c>
      <c r="P42" s="1113" t="n">
        <v>3156</v>
      </c>
      <c r="Q42" s="1113" t="n">
        <v>140</v>
      </c>
      <c r="R42" s="1113" t="n">
        <v>2260</v>
      </c>
      <c r="S42" s="1113" t="n">
        <v>155</v>
      </c>
      <c r="T42" s="1113" t="n">
        <v>2470</v>
      </c>
      <c r="U42" s="1113" t="n">
        <v>125</v>
      </c>
      <c r="V42" s="1113" t="n">
        <v>1750</v>
      </c>
      <c r="W42" s="1113" t="n">
        <v>110</v>
      </c>
      <c r="X42" s="1113" t="n">
        <v>2140</v>
      </c>
      <c r="Y42" s="1113" t="n">
        <v>100</v>
      </c>
      <c r="Z42" s="1113" t="n">
        <v>1700</v>
      </c>
      <c r="AA42" s="1113" t="n">
        <v>130</v>
      </c>
      <c r="AB42" s="1113" t="n">
        <v>2120</v>
      </c>
      <c r="AC42" s="1113" t="n">
        <v>125</v>
      </c>
      <c r="AD42" s="1113" t="n">
        <v>2050</v>
      </c>
      <c r="AE42" s="1114">
        <f>G42+I42+K42+M42+O42+Q42+S42+U42+W42+Y42+AA42+AC42</f>
        <v/>
      </c>
      <c r="AF42" s="1114">
        <f>H42+J42+L42+N42+P42+R42+T42+V42+X42+Z42+AB42+AD42</f>
        <v/>
      </c>
      <c r="AG42" s="1115" t="n"/>
      <c r="AH42" s="1115" t="n"/>
      <c r="AI42" s="1115" t="n"/>
      <c r="AJ42" s="1115" t="n"/>
      <c r="AK42" s="1115" t="n"/>
      <c r="AL42" s="1115" t="n"/>
      <c r="AM42" s="1115" t="n">
        <v>85</v>
      </c>
      <c r="AN42" s="1115" t="n">
        <v>1490</v>
      </c>
      <c r="AO42" s="1115" t="n">
        <v>953.6000000000001</v>
      </c>
      <c r="AP42" s="1115" t="n">
        <v>155</v>
      </c>
      <c r="AQ42" s="1115" t="n">
        <v>2620</v>
      </c>
      <c r="AR42" s="1115" t="n">
        <v>1676.8</v>
      </c>
      <c r="AS42" s="1115" t="n">
        <v>100</v>
      </c>
      <c r="AT42" s="1115" t="n">
        <v>1400</v>
      </c>
      <c r="AU42" s="1115" t="n">
        <v>896.0000000000001</v>
      </c>
      <c r="AV42" s="1115" t="n">
        <v>50</v>
      </c>
      <c r="AW42" s="1115" t="n">
        <v>700</v>
      </c>
      <c r="AX42" s="1115" t="n">
        <v>448.0000000000001</v>
      </c>
      <c r="AY42" s="1115" t="n">
        <v>40</v>
      </c>
      <c r="AZ42" s="1115" t="n">
        <v>560</v>
      </c>
      <c r="BA42" s="1115" t="n">
        <v>358.4</v>
      </c>
      <c r="BB42" s="1115" t="n">
        <v>100</v>
      </c>
      <c r="BC42" s="1115" t="n">
        <v>1400</v>
      </c>
      <c r="BD42" s="1115" t="n">
        <v>896</v>
      </c>
      <c r="BE42" s="1115" t="n">
        <v>65</v>
      </c>
      <c r="BF42" s="1115" t="n">
        <v>1060</v>
      </c>
      <c r="BG42" s="1115" t="n">
        <v>678.4000000000001</v>
      </c>
      <c r="BH42" s="1115" t="n">
        <v>65</v>
      </c>
      <c r="BI42" s="1115" t="n">
        <v>1060</v>
      </c>
      <c r="BJ42" s="1115" t="n">
        <v>678.4</v>
      </c>
      <c r="BK42" s="1115" t="n">
        <v>45</v>
      </c>
      <c r="BL42" s="1115" t="n">
        <v>780</v>
      </c>
      <c r="BM42" s="1115" t="n">
        <v>499.2</v>
      </c>
      <c r="BN42" s="1115" t="n">
        <v>45</v>
      </c>
      <c r="BO42" s="1115" t="n">
        <v>780</v>
      </c>
      <c r="BP42" s="1115" t="n">
        <v>499.2</v>
      </c>
      <c r="BQ42" s="1114">
        <f>AG42+AJ42+AM42+AP42+AS42+AV42+AY42+BB42+BE42+BH42+BK42+BN42</f>
        <v/>
      </c>
      <c r="BR42" s="1114">
        <f>AH42+AK42+AN42+AQ42+AT42+AW42+AZ42+BC42+BF42+BI42+BL42+BO42</f>
        <v/>
      </c>
      <c r="BS42" s="1114">
        <f>AI42+AL42+AO42+AR42+AU42+AX42+BA42+BD42+BG42+BJ42+BM42+BP42</f>
        <v/>
      </c>
      <c r="BT42" s="1114">
        <f>(AG42+AJ42)/2</f>
        <v/>
      </c>
      <c r="BU42" s="1114">
        <f>(AH42+AK42)/2</f>
        <v/>
      </c>
      <c r="BV42" s="1114">
        <f>(AI42+AL42)/2</f>
        <v/>
      </c>
      <c r="BW42" s="1114">
        <f>BQ42/12</f>
        <v/>
      </c>
      <c r="BX42" s="1114">
        <f>BR42/12</f>
        <v/>
      </c>
      <c r="BY42" s="1114">
        <f>BS42/12</f>
        <v/>
      </c>
      <c r="BZ42" s="1114" t="n"/>
      <c r="CA42" s="869" t="n"/>
      <c r="CB42" s="869" t="n"/>
      <c r="CC42" s="1058" t="n"/>
      <c r="CD42" s="1058" t="n"/>
      <c r="CE42" s="1058" t="n"/>
      <c r="CF42" s="869" t="n"/>
      <c r="CG42" s="869" t="n"/>
      <c r="CH42" s="869" t="n"/>
      <c r="CI42" s="869" t="n"/>
      <c r="CJ42" s="869" t="n"/>
      <c r="CK42" s="869" t="n"/>
      <c r="CL42" s="869" t="n"/>
      <c r="CM42" s="869" t="n"/>
      <c r="CN42" s="869" t="n"/>
      <c r="CO42" s="869" t="n"/>
      <c r="CP42" s="869" t="n"/>
      <c r="CQ42" s="869" t="n"/>
      <c r="CR42" s="869" t="n"/>
      <c r="CS42" s="869" t="n"/>
      <c r="CT42" s="869" t="n"/>
      <c r="CU42" s="869" t="n"/>
      <c r="CV42" s="869" t="n"/>
      <c r="CW42" s="869" t="n"/>
      <c r="CX42" s="869" t="n"/>
      <c r="CY42" s="869" t="n"/>
      <c r="CZ42" s="869" t="n"/>
      <c r="DA42" s="869" t="n"/>
      <c r="DB42" s="869" t="n"/>
      <c r="DC42" s="869" t="n"/>
      <c r="DD42" s="869" t="n"/>
      <c r="DE42" s="869" t="n"/>
      <c r="DF42" s="869" t="n"/>
      <c r="DG42" s="869" t="n"/>
      <c r="DH42" s="869" t="n"/>
      <c r="DI42" s="869" t="n"/>
      <c r="DJ42" s="1116">
        <f>BZ42+CC42+CF42+CI42+CL42+CO42+CR42+CU42+CX42+DA42+DD42+DG42</f>
        <v/>
      </c>
      <c r="DK42" s="1116">
        <f>CA42+CD42+CG42+CJ42+CM42+CP42+CS42+CV42+CY42+DB42+DE42+DH42</f>
        <v/>
      </c>
      <c r="DL42" s="1116">
        <f>CB42+CE42+CH42+CK42+CN42+CQ42+CT42+CW42+CZ42+DC42+DF42+DI42</f>
        <v/>
      </c>
      <c r="DM42" s="1117">
        <f>DJ42/2</f>
        <v/>
      </c>
      <c r="DN42" s="1117">
        <f>DK42/2</f>
        <v/>
      </c>
      <c r="DO42" s="1118">
        <f>DL42/2</f>
        <v/>
      </c>
      <c r="DP42" s="1121" t="n"/>
      <c r="DQ42" s="1120">
        <f>DO42/BY42*100-100</f>
        <v/>
      </c>
      <c r="DR42" s="820" t="inlineStr">
        <is>
          <t>Must Grow</t>
        </is>
      </c>
    </row>
    <row r="43">
      <c r="A43" s="869" t="n">
        <v>13</v>
      </c>
      <c r="B43" s="869" t="inlineStr">
        <is>
          <t>ကိုဧရာ</t>
        </is>
      </c>
      <c r="C43" s="869" t="inlineStr">
        <is>
          <t>Ko Ayar</t>
        </is>
      </c>
      <c r="D43" s="869" t="inlineStr">
        <is>
          <t>တောင်သာ</t>
        </is>
      </c>
      <c r="E43" s="869" t="inlineStr">
        <is>
          <t>Taungtha</t>
        </is>
      </c>
      <c r="F43" s="869" t="inlineStr">
        <is>
          <t>SemiWS</t>
        </is>
      </c>
      <c r="G43" s="1113" t="n">
        <v>230</v>
      </c>
      <c r="H43" s="1113" t="n">
        <v>3220</v>
      </c>
      <c r="I43" s="1113" t="n">
        <v>200</v>
      </c>
      <c r="J43" s="1113" t="n">
        <v>2800</v>
      </c>
      <c r="K43" s="1113" t="n">
        <v>200</v>
      </c>
      <c r="L43" s="1113" t="n">
        <v>2800</v>
      </c>
      <c r="M43" s="1113" t="n">
        <v>250</v>
      </c>
      <c r="N43" s="1113" t="n">
        <v>3500</v>
      </c>
      <c r="O43" s="1113" t="n">
        <v>50</v>
      </c>
      <c r="P43" s="1113" t="n">
        <v>700</v>
      </c>
      <c r="Q43" s="1113" t="n">
        <v>110</v>
      </c>
      <c r="R43" s="1113" t="n">
        <v>1640</v>
      </c>
      <c r="S43" s="1113" t="n"/>
      <c r="T43" s="1113" t="n"/>
      <c r="U43" s="1113" t="n">
        <v>26</v>
      </c>
      <c r="V43" s="1113" t="n">
        <v>364</v>
      </c>
      <c r="W43" s="1113" t="n">
        <v>250</v>
      </c>
      <c r="X43" s="1113" t="n">
        <v>3500</v>
      </c>
      <c r="Y43" s="1113" t="n">
        <v>45</v>
      </c>
      <c r="Z43" s="1113" t="n">
        <v>830</v>
      </c>
      <c r="AA43" s="1113" t="n"/>
      <c r="AB43" s="1113" t="n"/>
      <c r="AC43" s="1113" t="n">
        <v>300</v>
      </c>
      <c r="AD43" s="1113" t="n">
        <v>4200</v>
      </c>
      <c r="AE43" s="1114">
        <f>G43+I43+K43+M43+O43+Q43+S43+U43+W43+Y43+AA43+AC43</f>
        <v/>
      </c>
      <c r="AF43" s="1114">
        <f>H43+J43+L43+N43+P43+R43+T43+V43+X43+Z43+AB43+AD43</f>
        <v/>
      </c>
      <c r="AG43" s="1115" t="n"/>
      <c r="AH43" s="1115" t="n"/>
      <c r="AI43" s="1115" t="n"/>
      <c r="AJ43" s="1115" t="n"/>
      <c r="AK43" s="1115" t="n"/>
      <c r="AL43" s="1115" t="n"/>
      <c r="AM43" s="1115" t="n">
        <v>100</v>
      </c>
      <c r="AN43" s="1115" t="n">
        <v>1400</v>
      </c>
      <c r="AO43" s="1115" t="n">
        <v>896</v>
      </c>
      <c r="AP43" s="1115" t="n">
        <v>200</v>
      </c>
      <c r="AQ43" s="1115" t="n">
        <v>2800</v>
      </c>
      <c r="AR43" s="1115" t="n">
        <v>1792</v>
      </c>
      <c r="AS43" s="1115" t="n">
        <v>80</v>
      </c>
      <c r="AT43" s="1115" t="n">
        <v>1060</v>
      </c>
      <c r="AU43" s="1115" t="n">
        <v>808</v>
      </c>
      <c r="AV43" s="1115" t="n">
        <v>0</v>
      </c>
      <c r="AW43" s="1115" t="n">
        <v>0</v>
      </c>
      <c r="AX43" s="1115" t="n">
        <v>0</v>
      </c>
      <c r="AY43" s="1115" t="n">
        <v>0</v>
      </c>
      <c r="AZ43" s="1115" t="n">
        <v>0</v>
      </c>
      <c r="BA43" s="1115" t="n">
        <v>0</v>
      </c>
      <c r="BB43" s="1115" t="n">
        <v>50</v>
      </c>
      <c r="BC43" s="1115" t="n">
        <v>700</v>
      </c>
      <c r="BD43" s="1115" t="n">
        <v>448</v>
      </c>
      <c r="BE43" s="1115" t="n">
        <v>0</v>
      </c>
      <c r="BF43" s="1115" t="n">
        <v>0</v>
      </c>
      <c r="BG43" s="1115" t="n">
        <v>0</v>
      </c>
      <c r="BH43" s="1115" t="n">
        <v>0</v>
      </c>
      <c r="BI43" s="1115" t="n">
        <v>0</v>
      </c>
      <c r="BJ43" s="1115" t="n">
        <v>0</v>
      </c>
      <c r="BK43" s="1115" t="n">
        <v>0</v>
      </c>
      <c r="BL43" s="1115" t="n">
        <v>0</v>
      </c>
      <c r="BM43" s="1115" t="n">
        <v>0</v>
      </c>
      <c r="BN43" s="1115" t="n"/>
      <c r="BO43" s="1115" t="n"/>
      <c r="BP43" s="1115" t="n"/>
      <c r="BQ43" s="1114">
        <f>AG43+AJ43+AM43+AP43+AS43+AV43+AY43+BB43+BE43+BH43+BK43+BN43</f>
        <v/>
      </c>
      <c r="BR43" s="1114">
        <f>AH43+AK43+AN43+AQ43+AT43+AW43+AZ43+BC43+BF43+BI43+BL43+BO43</f>
        <v/>
      </c>
      <c r="BS43" s="1114">
        <f>AI43+AL43+AO43+AR43+AU43+AX43+BA43+BD43+BG43+BJ43+BM43+BP43</f>
        <v/>
      </c>
      <c r="BT43" s="1114">
        <f>(AG43+AJ43)/2</f>
        <v/>
      </c>
      <c r="BU43" s="1114">
        <f>(AH43+AK43)/2</f>
        <v/>
      </c>
      <c r="BV43" s="1114">
        <f>(AI43+AL43)/2</f>
        <v/>
      </c>
      <c r="BW43" s="1114">
        <f>BQ43/12</f>
        <v/>
      </c>
      <c r="BX43" s="1114">
        <f>BR43/12</f>
        <v/>
      </c>
      <c r="BY43" s="1114">
        <f>BS43/12</f>
        <v/>
      </c>
      <c r="BZ43" s="1114" t="n"/>
      <c r="CA43" s="869" t="n"/>
      <c r="CB43" s="869" t="n"/>
      <c r="CC43" s="1058" t="n"/>
      <c r="CD43" s="1058" t="n"/>
      <c r="CE43" s="1058" t="n"/>
      <c r="CF43" s="869" t="n"/>
      <c r="CG43" s="869" t="n"/>
      <c r="CH43" s="869" t="n"/>
      <c r="CI43" s="869" t="n"/>
      <c r="CJ43" s="869" t="n"/>
      <c r="CK43" s="869" t="n"/>
      <c r="CL43" s="869" t="n"/>
      <c r="CM43" s="869" t="n"/>
      <c r="CN43" s="869" t="n"/>
      <c r="CO43" s="869" t="n"/>
      <c r="CP43" s="869" t="n"/>
      <c r="CQ43" s="869" t="n"/>
      <c r="CR43" s="869" t="n"/>
      <c r="CS43" s="869" t="n"/>
      <c r="CT43" s="869" t="n"/>
      <c r="CU43" s="869" t="n"/>
      <c r="CV43" s="869" t="n"/>
      <c r="CW43" s="869" t="n"/>
      <c r="CX43" s="869" t="n"/>
      <c r="CY43" s="869" t="n"/>
      <c r="CZ43" s="869" t="n"/>
      <c r="DA43" s="869" t="n"/>
      <c r="DB43" s="869" t="n"/>
      <c r="DC43" s="869" t="n"/>
      <c r="DD43" s="869" t="n"/>
      <c r="DE43" s="869" t="n"/>
      <c r="DF43" s="869" t="n"/>
      <c r="DG43" s="869" t="n"/>
      <c r="DH43" s="869" t="n"/>
      <c r="DI43" s="869" t="n"/>
      <c r="DJ43" s="1116">
        <f>BZ43+CC43+CF43+CI43+CL43+CO43+CR43+CU43+CX43+DA43+DD43+DG43</f>
        <v/>
      </c>
      <c r="DK43" s="1116">
        <f>CA43+CD43+CG43+CJ43+CM43+CP43+CS43+CV43+CY43+DB43+DE43+DH43</f>
        <v/>
      </c>
      <c r="DL43" s="1116">
        <f>CB43+CE43+CH43+CK43+CN43+CQ43+CT43+CW43+CZ43+DC43+DF43+DI43</f>
        <v/>
      </c>
      <c r="DM43" s="1117">
        <f>DJ43/2</f>
        <v/>
      </c>
      <c r="DN43" s="1117">
        <f>DK43/2</f>
        <v/>
      </c>
      <c r="DO43" s="1118">
        <f>DL43/2</f>
        <v/>
      </c>
      <c r="DP43" s="1121" t="n"/>
      <c r="DQ43" s="1120">
        <f>DO43/BY43*100-100</f>
        <v/>
      </c>
      <c r="DR43" s="820" t="inlineStr">
        <is>
          <t>Must Grow</t>
        </is>
      </c>
    </row>
    <row r="44">
      <c r="A44" s="869" t="n">
        <v>14</v>
      </c>
      <c r="B44" s="869" t="inlineStr">
        <is>
          <t>ဇင်ယော်မေ</t>
        </is>
      </c>
      <c r="C44" s="869" t="inlineStr">
        <is>
          <t>Zin Yaw May</t>
        </is>
      </c>
      <c r="D44" s="869" t="inlineStr">
        <is>
          <t>ပုဂံ</t>
        </is>
      </c>
      <c r="E44" s="869" t="inlineStr">
        <is>
          <t>Bagan</t>
        </is>
      </c>
      <c r="F44" s="869" t="inlineStr">
        <is>
          <t>SemiWS</t>
        </is>
      </c>
      <c r="G44" s="1113" t="n">
        <v>200</v>
      </c>
      <c r="H44" s="1113" t="n">
        <v>2800</v>
      </c>
      <c r="I44" s="1113" t="n">
        <v>250</v>
      </c>
      <c r="J44" s="1113" t="n">
        <v>3500</v>
      </c>
      <c r="K44" s="1113" t="n">
        <v>100</v>
      </c>
      <c r="L44" s="1113" t="n">
        <v>1400</v>
      </c>
      <c r="M44" s="1113" t="n"/>
      <c r="N44" s="1113" t="n"/>
      <c r="O44" s="1113" t="n"/>
      <c r="P44" s="1113" t="n"/>
      <c r="Q44" s="1113" t="n">
        <v>300</v>
      </c>
      <c r="R44" s="1113" t="n">
        <v>4100</v>
      </c>
      <c r="S44" s="1113" t="n">
        <v>605</v>
      </c>
      <c r="T44" s="1113" t="n">
        <v>8340</v>
      </c>
      <c r="U44" s="1113" t="n">
        <v>500</v>
      </c>
      <c r="V44" s="1113" t="n">
        <v>7000</v>
      </c>
      <c r="W44" s="1113" t="n">
        <v>175</v>
      </c>
      <c r="X44" s="1113" t="n">
        <v>2450</v>
      </c>
      <c r="Y44" s="1113" t="n">
        <v>300</v>
      </c>
      <c r="Z44" s="1113" t="n">
        <v>4200</v>
      </c>
      <c r="AA44" s="1113" t="n"/>
      <c r="AB44" s="1113" t="n"/>
      <c r="AC44" s="1113" t="n">
        <v>170</v>
      </c>
      <c r="AD44" s="1113" t="n">
        <v>2380</v>
      </c>
      <c r="AE44" s="1114">
        <f>G44+I44+K44+M44+O44+Q44+S44+U44+W44+Y44+AA44+AC44</f>
        <v/>
      </c>
      <c r="AF44" s="1114">
        <f>H44+J44+L44+N44+P44+R44+T44+V44+X44+Z44+AB44+AD44</f>
        <v/>
      </c>
      <c r="AG44" s="1115" t="n"/>
      <c r="AH44" s="1115" t="n"/>
      <c r="AI44" s="1115" t="n"/>
      <c r="AJ44" s="1115" t="n"/>
      <c r="AK44" s="1115" t="n"/>
      <c r="AL44" s="1115" t="n"/>
      <c r="AM44" s="1115" t="n">
        <v>200</v>
      </c>
      <c r="AN44" s="1115" t="n">
        <v>2800</v>
      </c>
      <c r="AO44" s="1115" t="n">
        <v>1792</v>
      </c>
      <c r="AP44" s="1115" t="n">
        <v>50</v>
      </c>
      <c r="AQ44" s="1115" t="n">
        <v>700</v>
      </c>
      <c r="AR44" s="1115" t="n">
        <v>448</v>
      </c>
      <c r="AS44" s="1115" t="n">
        <v>50</v>
      </c>
      <c r="AT44" s="1115" t="n">
        <v>700</v>
      </c>
      <c r="AU44" s="1115" t="n">
        <v>448</v>
      </c>
      <c r="AV44" s="1115" t="n">
        <v>100</v>
      </c>
      <c r="AW44" s="1115" t="n">
        <v>1400</v>
      </c>
      <c r="AX44" s="1115" t="n">
        <v>896</v>
      </c>
      <c r="AY44" s="1115" t="n">
        <v>150</v>
      </c>
      <c r="AZ44" s="1115" t="n">
        <v>2100</v>
      </c>
      <c r="BA44" s="1115" t="n">
        <v>1344</v>
      </c>
      <c r="BB44" s="1115" t="n">
        <v>75</v>
      </c>
      <c r="BC44" s="1115" t="n">
        <v>1050</v>
      </c>
      <c r="BD44" s="1115" t="n">
        <v>672</v>
      </c>
      <c r="BE44" s="1115" t="n">
        <v>100</v>
      </c>
      <c r="BF44" s="1115" t="n">
        <v>1400</v>
      </c>
      <c r="BG44" s="1115" t="n">
        <v>896</v>
      </c>
      <c r="BH44" s="1115" t="n">
        <v>0</v>
      </c>
      <c r="BI44" s="1115" t="n">
        <v>0</v>
      </c>
      <c r="BJ44" s="1115" t="n">
        <v>0</v>
      </c>
      <c r="BK44" s="1115" t="n">
        <v>0</v>
      </c>
      <c r="BL44" s="1115" t="n">
        <v>0</v>
      </c>
      <c r="BM44" s="1115" t="n">
        <v>0</v>
      </c>
      <c r="BN44" s="1115" t="n"/>
      <c r="BO44" s="1115" t="n"/>
      <c r="BP44" s="1115" t="n"/>
      <c r="BQ44" s="1114">
        <f>AG44+AJ44+AM44+AP44+AS44+AV44+AY44+BB44+BE44+BH44+BK44+BN44</f>
        <v/>
      </c>
      <c r="BR44" s="1114">
        <f>AH44+AK44+AN44+AQ44+AT44+AW44+AZ44+BC44+BF44+BI44+BL44+BO44</f>
        <v/>
      </c>
      <c r="BS44" s="1114">
        <f>AI44+AL44+AO44+AR44+AU44+AX44+BA44+BD44+BG44+BJ44+BM44+BP44</f>
        <v/>
      </c>
      <c r="BT44" s="1114">
        <f>(AG44+AJ44)/2</f>
        <v/>
      </c>
      <c r="BU44" s="1114">
        <f>(AH44+AK44)/2</f>
        <v/>
      </c>
      <c r="BV44" s="1114">
        <f>(AI44+AL44)/2</f>
        <v/>
      </c>
      <c r="BW44" s="1114">
        <f>BQ44/12</f>
        <v/>
      </c>
      <c r="BX44" s="1114">
        <f>BR44/12</f>
        <v/>
      </c>
      <c r="BY44" s="1114">
        <f>BS44/12</f>
        <v/>
      </c>
      <c r="BZ44" s="1114" t="n"/>
      <c r="CA44" s="869" t="n"/>
      <c r="CB44" s="869" t="n"/>
      <c r="CC44" s="1058" t="n"/>
      <c r="CD44" s="1058" t="n"/>
      <c r="CE44" s="1058" t="n"/>
      <c r="CF44" s="869" t="n"/>
      <c r="CG44" s="869" t="n"/>
      <c r="CH44" s="869" t="n"/>
      <c r="CI44" s="869" t="n"/>
      <c r="CJ44" s="869" t="n"/>
      <c r="CK44" s="869" t="n"/>
      <c r="CL44" s="869" t="n"/>
      <c r="CM44" s="869" t="n"/>
      <c r="CN44" s="869" t="n"/>
      <c r="CO44" s="869" t="n"/>
      <c r="CP44" s="869" t="n"/>
      <c r="CQ44" s="869" t="n"/>
      <c r="CR44" s="869" t="n"/>
      <c r="CS44" s="869" t="n"/>
      <c r="CT44" s="869" t="n"/>
      <c r="CU44" s="869" t="n"/>
      <c r="CV44" s="869" t="n"/>
      <c r="CW44" s="869" t="n"/>
      <c r="CX44" s="869" t="n"/>
      <c r="CY44" s="869" t="n"/>
      <c r="CZ44" s="869" t="n"/>
      <c r="DA44" s="869" t="n"/>
      <c r="DB44" s="869" t="n"/>
      <c r="DC44" s="869" t="n"/>
      <c r="DD44" s="869" t="n"/>
      <c r="DE44" s="869" t="n"/>
      <c r="DF44" s="869" t="n"/>
      <c r="DG44" s="869" t="n"/>
      <c r="DH44" s="869" t="n"/>
      <c r="DI44" s="869" t="n"/>
      <c r="DJ44" s="1116">
        <f>BZ44+CC44+CF44+CI44+CL44+CO44+CR44+CU44+CX44+DA44+DD44+DG44</f>
        <v/>
      </c>
      <c r="DK44" s="1116">
        <f>CA44+CD44+CG44+CJ44+CM44+CP44+CS44+CV44+CY44+DB44+DE44+DH44</f>
        <v/>
      </c>
      <c r="DL44" s="1116">
        <f>CB44+CE44+CH44+CK44+CN44+CQ44+CT44+CW44+CZ44+DC44+DF44+DI44</f>
        <v/>
      </c>
      <c r="DM44" s="1117">
        <f>DJ44/2</f>
        <v/>
      </c>
      <c r="DN44" s="1117">
        <f>DK44/2</f>
        <v/>
      </c>
      <c r="DO44" s="1118">
        <f>DL44/2</f>
        <v/>
      </c>
      <c r="DP44" s="1121" t="n"/>
      <c r="DQ44" s="1120">
        <f>DO44/BY44*100-100</f>
        <v/>
      </c>
      <c r="DR44" s="820" t="inlineStr">
        <is>
          <t>Must Grow</t>
        </is>
      </c>
    </row>
    <row r="45">
      <c r="A45" s="869" t="n">
        <v>15</v>
      </c>
      <c r="B45" s="869" t="inlineStr">
        <is>
          <t>ဟိန်းသူ</t>
        </is>
      </c>
      <c r="C45" s="869" t="inlineStr">
        <is>
          <t>Hein Thu</t>
        </is>
      </c>
      <c r="D45" s="869" t="inlineStr">
        <is>
          <t>ပုဂံ</t>
        </is>
      </c>
      <c r="E45" s="869" t="inlineStr">
        <is>
          <t>Bagan</t>
        </is>
      </c>
      <c r="F45" s="869" t="inlineStr">
        <is>
          <t>SemiWS</t>
        </is>
      </c>
      <c r="G45" s="1113" t="n"/>
      <c r="H45" s="1113" t="n"/>
      <c r="I45" s="1113" t="n"/>
      <c r="J45" s="1113" t="n"/>
      <c r="K45" s="1113" t="n"/>
      <c r="L45" s="1113" t="n"/>
      <c r="M45" s="1113" t="n"/>
      <c r="N45" s="1113" t="n"/>
      <c r="O45" s="1113" t="n"/>
      <c r="P45" s="1113" t="n"/>
      <c r="Q45" s="1113" t="n"/>
      <c r="R45" s="1113" t="n"/>
      <c r="S45" s="1113" t="n"/>
      <c r="T45" s="1113" t="n"/>
      <c r="U45" s="1113" t="n"/>
      <c r="V45" s="1113" t="n"/>
      <c r="W45" s="1113" t="n"/>
      <c r="X45" s="1113" t="n"/>
      <c r="Y45" s="1113" t="n"/>
      <c r="Z45" s="1113" t="n"/>
      <c r="AA45" s="1113" t="n"/>
      <c r="AB45" s="1113" t="n"/>
      <c r="AC45" s="1113" t="n"/>
      <c r="AD45" s="1113" t="n"/>
      <c r="AE45" s="1114">
        <f>G45+I45+K45+M45+O45+Q45+S45+U45+W45+Y45+AA45+AC45</f>
        <v/>
      </c>
      <c r="AF45" s="1114">
        <f>H45+J45+L45+N45+P45+R45+T45+V45+X45+Z45+AB45+AD45</f>
        <v/>
      </c>
      <c r="AG45" s="1115" t="n"/>
      <c r="AH45" s="1115" t="n"/>
      <c r="AI45" s="1115" t="n"/>
      <c r="AJ45" s="1115" t="n"/>
      <c r="AK45" s="1115" t="n"/>
      <c r="AL45" s="1115" t="n"/>
      <c r="AM45" s="1115" t="n"/>
      <c r="AN45" s="1115" t="n"/>
      <c r="AO45" s="1115" t="n"/>
      <c r="AP45" s="1115" t="n"/>
      <c r="AQ45" s="1115" t="n"/>
      <c r="AR45" s="1115" t="n"/>
      <c r="AS45" s="1115" t="n">
        <v>0</v>
      </c>
      <c r="AT45" s="1115" t="n">
        <v>0</v>
      </c>
      <c r="AU45" s="1115" t="n">
        <v>0</v>
      </c>
      <c r="AV45" s="1115" t="n">
        <v>0</v>
      </c>
      <c r="AW45" s="1115" t="n">
        <v>0</v>
      </c>
      <c r="AX45" s="1115" t="n">
        <v>0</v>
      </c>
      <c r="AY45" s="1115" t="n"/>
      <c r="AZ45" s="1115" t="n"/>
      <c r="BA45" s="1115" t="n"/>
      <c r="BB45" s="1115" t="n"/>
      <c r="BC45" s="1115" t="n"/>
      <c r="BD45" s="1115" t="n"/>
      <c r="BE45" s="1115" t="n"/>
      <c r="BF45" s="1115" t="n"/>
      <c r="BG45" s="1115" t="n"/>
      <c r="BH45" s="1115" t="n"/>
      <c r="BI45" s="1115" t="n"/>
      <c r="BJ45" s="1115" t="n"/>
      <c r="BK45" s="1115" t="n"/>
      <c r="BL45" s="1115" t="n"/>
      <c r="BM45" s="1115" t="n"/>
      <c r="BN45" s="1115" t="n"/>
      <c r="BO45" s="1115" t="n"/>
      <c r="BP45" s="1115" t="n"/>
      <c r="BQ45" s="1114">
        <f>AG45+AJ45+AM45+AP45+AS45+AV45+AY45+BB45+BE45+BH45+BK45+BN45</f>
        <v/>
      </c>
      <c r="BR45" s="1114">
        <f>AH45+AK45+AN45+AQ45+AT45+AW45+AZ45+BC45+BF45+BI45+BL45+BO45</f>
        <v/>
      </c>
      <c r="BS45" s="1114">
        <f>AI45+AL45+AO45+AR45+AU45+AX45+BA45+BD45+BG45+BJ45+BM45+BP45</f>
        <v/>
      </c>
      <c r="BT45" s="1114">
        <f>(AG45+AJ45)/2</f>
        <v/>
      </c>
      <c r="BU45" s="1114">
        <f>(AH45+AK45)/2</f>
        <v/>
      </c>
      <c r="BV45" s="1114">
        <f>(AI45+AL45)/2</f>
        <v/>
      </c>
      <c r="BW45" s="1114">
        <f>BQ45/12</f>
        <v/>
      </c>
      <c r="BX45" s="1114">
        <f>BR45/12</f>
        <v/>
      </c>
      <c r="BY45" s="1114">
        <f>BS45/12</f>
        <v/>
      </c>
      <c r="BZ45" s="1114" t="n"/>
      <c r="CA45" s="869" t="n"/>
      <c r="CB45" s="869" t="n"/>
      <c r="CC45" s="1058" t="n"/>
      <c r="CD45" s="1058" t="n"/>
      <c r="CE45" s="1058" t="n"/>
      <c r="CF45" s="869" t="n"/>
      <c r="CG45" s="869" t="n"/>
      <c r="CH45" s="869" t="n"/>
      <c r="CI45" s="869" t="n"/>
      <c r="CJ45" s="869" t="n"/>
      <c r="CK45" s="869" t="n"/>
      <c r="CL45" s="869" t="n"/>
      <c r="CM45" s="869" t="n"/>
      <c r="CN45" s="869" t="n"/>
      <c r="CO45" s="869" t="n"/>
      <c r="CP45" s="869" t="n"/>
      <c r="CQ45" s="869" t="n"/>
      <c r="CR45" s="869" t="n"/>
      <c r="CS45" s="869" t="n"/>
      <c r="CT45" s="869" t="n"/>
      <c r="CU45" s="869" t="n"/>
      <c r="CV45" s="869" t="n"/>
      <c r="CW45" s="869" t="n"/>
      <c r="CX45" s="869" t="n"/>
      <c r="CY45" s="869" t="n"/>
      <c r="CZ45" s="869" t="n"/>
      <c r="DA45" s="869" t="n"/>
      <c r="DB45" s="869" t="n"/>
      <c r="DC45" s="869" t="n"/>
      <c r="DD45" s="869" t="n"/>
      <c r="DE45" s="869" t="n"/>
      <c r="DF45" s="869" t="n"/>
      <c r="DG45" s="869" t="n"/>
      <c r="DH45" s="869" t="n"/>
      <c r="DI45" s="869" t="n"/>
      <c r="DJ45" s="1116">
        <f>BZ45+CC45+CF45+CI45+CL45+CO45+CR45+CU45+CX45+DA45+DD45+DG45</f>
        <v/>
      </c>
      <c r="DK45" s="1116">
        <f>CA45+CD45+CG45+CJ45+CM45+CP45+CS45+CV45+CY45+DB45+DE45+DH45</f>
        <v/>
      </c>
      <c r="DL45" s="1116">
        <f>CB45+CE45+CH45+CK45+CN45+CQ45+CT45+CW45+CZ45+DC45+DF45+DI45</f>
        <v/>
      </c>
      <c r="DM45" s="1117">
        <f>DJ45/2</f>
        <v/>
      </c>
      <c r="DN45" s="1117">
        <f>DK45/2</f>
        <v/>
      </c>
      <c r="DO45" s="1118">
        <f>DL45/2</f>
        <v/>
      </c>
      <c r="DP45" s="1121" t="n"/>
      <c r="DQ45" s="1120" t="n"/>
    </row>
    <row r="46" customFormat="1" s="587">
      <c r="A46" s="866" t="inlineStr">
        <is>
          <t xml:space="preserve">Total SemiWholesales </t>
        </is>
      </c>
      <c r="B46" s="970" t="n"/>
      <c r="C46" s="970" t="n"/>
      <c r="D46" s="970" t="n"/>
      <c r="E46" s="970" t="n"/>
      <c r="F46" s="971" t="n"/>
      <c r="G46" s="1122">
        <f>SUM(G31:G45)</f>
        <v/>
      </c>
      <c r="H46" s="1122">
        <f>SUM(H31:H45)</f>
        <v/>
      </c>
      <c r="I46" s="1122">
        <f>SUM(I31:I45)</f>
        <v/>
      </c>
      <c r="J46" s="1122">
        <f>SUM(J31:J45)</f>
        <v/>
      </c>
      <c r="K46" s="1122">
        <f>SUM(K31:K45)</f>
        <v/>
      </c>
      <c r="L46" s="1122">
        <f>SUM(L31:L45)</f>
        <v/>
      </c>
      <c r="M46" s="1122">
        <f>SUM(M31:M45)</f>
        <v/>
      </c>
      <c r="N46" s="1122">
        <f>SUM(N31:N45)</f>
        <v/>
      </c>
      <c r="O46" s="1122">
        <f>SUM(O31:O45)</f>
        <v/>
      </c>
      <c r="P46" s="1122">
        <f>SUM(P31:P45)</f>
        <v/>
      </c>
      <c r="Q46" s="1122">
        <f>SUM(Q31:Q45)</f>
        <v/>
      </c>
      <c r="R46" s="1122">
        <f>SUM(R31:R45)</f>
        <v/>
      </c>
      <c r="S46" s="1122">
        <f>SUM(S31:S45)</f>
        <v/>
      </c>
      <c r="T46" s="1122">
        <f>SUM(T31:T45)</f>
        <v/>
      </c>
      <c r="U46" s="1122">
        <f>SUM(U31:U45)</f>
        <v/>
      </c>
      <c r="V46" s="1122">
        <f>SUM(V31:V45)</f>
        <v/>
      </c>
      <c r="W46" s="1122">
        <f>SUM(W31:W45)</f>
        <v/>
      </c>
      <c r="X46" s="1122">
        <f>SUM(X31:X45)</f>
        <v/>
      </c>
      <c r="Y46" s="1122">
        <f>SUM(Y31:Y45)</f>
        <v/>
      </c>
      <c r="Z46" s="1122">
        <f>SUM(Z31:Z45)</f>
        <v/>
      </c>
      <c r="AA46" s="1122">
        <f>SUM(AA31:AA45)</f>
        <v/>
      </c>
      <c r="AB46" s="1122">
        <f>SUM(AB31:AB45)</f>
        <v/>
      </c>
      <c r="AC46" s="1122">
        <f>SUM(AC31:AC45)</f>
        <v/>
      </c>
      <c r="AD46" s="1122">
        <f>SUM(AD31:AD45)</f>
        <v/>
      </c>
      <c r="AE46" s="1123">
        <f>G46+I46+K46+M46+O46+Q46+S46+U46+W46+Y46+AA46+AC46</f>
        <v/>
      </c>
      <c r="AF46" s="1123">
        <f>H46+J46+L46+N46+P46+R46+T46+V46+X46+Z46+AB46+AD46</f>
        <v/>
      </c>
      <c r="AG46" s="1122">
        <f>SUM(AG31:AG45)</f>
        <v/>
      </c>
      <c r="AH46" s="1122">
        <f>SUM(AH31:AH45)</f>
        <v/>
      </c>
      <c r="AI46" s="1122">
        <f>SUM(AI31:AI45)</f>
        <v/>
      </c>
      <c r="AJ46" s="1122">
        <f>SUM(AJ31:AJ45)</f>
        <v/>
      </c>
      <c r="AK46" s="1122">
        <f>SUM(AK31:AK45)</f>
        <v/>
      </c>
      <c r="AL46" s="1122">
        <f>SUM(AL31:AL45)</f>
        <v/>
      </c>
      <c r="AM46" s="1122">
        <f>SUM(AM31:AM45)</f>
        <v/>
      </c>
      <c r="AN46" s="1122">
        <f>SUM(AN31:AN45)</f>
        <v/>
      </c>
      <c r="AO46" s="1122">
        <f>SUM(AO31:AO45)</f>
        <v/>
      </c>
      <c r="AP46" s="1122">
        <f>SUM(AP31:AP45)</f>
        <v/>
      </c>
      <c r="AQ46" s="1122">
        <f>SUM(AQ31:AQ45)</f>
        <v/>
      </c>
      <c r="AR46" s="1122">
        <f>SUM(AR31:AR45)</f>
        <v/>
      </c>
      <c r="AS46" s="1122">
        <f>SUM(AS31:AS45)</f>
        <v/>
      </c>
      <c r="AT46" s="1122">
        <f>SUM(AT31:AT45)</f>
        <v/>
      </c>
      <c r="AU46" s="1122">
        <f>SUM(AU31:AU45)</f>
        <v/>
      </c>
      <c r="AV46" s="1122">
        <f>SUM(AV31:AV45)</f>
        <v/>
      </c>
      <c r="AW46" s="1122">
        <f>SUM(AW31:AW45)</f>
        <v/>
      </c>
      <c r="AX46" s="1122">
        <f>SUM(AX31:AX45)</f>
        <v/>
      </c>
      <c r="AY46" s="1122">
        <f>SUM(AY31:AY45)</f>
        <v/>
      </c>
      <c r="AZ46" s="1122">
        <f>SUM(AZ31:AZ45)</f>
        <v/>
      </c>
      <c r="BA46" s="1122">
        <f>SUM(BA31:BA45)</f>
        <v/>
      </c>
      <c r="BB46" s="1122">
        <f>SUM(BB31:BB45)</f>
        <v/>
      </c>
      <c r="BC46" s="1122">
        <f>SUM(BC31:BC45)</f>
        <v/>
      </c>
      <c r="BD46" s="1122">
        <f>SUM(BD31:BD45)</f>
        <v/>
      </c>
      <c r="BE46" s="1122">
        <f>SUM(BE31:BE45)</f>
        <v/>
      </c>
      <c r="BF46" s="1122">
        <f>SUM(BF31:BF45)</f>
        <v/>
      </c>
      <c r="BG46" s="1122">
        <f>SUM(BG31:BG45)</f>
        <v/>
      </c>
      <c r="BH46" s="1122">
        <f>SUM(BH31:BH45)</f>
        <v/>
      </c>
      <c r="BI46" s="1122">
        <f>SUM(BI31:BI45)</f>
        <v/>
      </c>
      <c r="BJ46" s="1122">
        <f>SUM(BJ31:BJ45)</f>
        <v/>
      </c>
      <c r="BK46" s="1122">
        <f>SUM(BK31:BK45)</f>
        <v/>
      </c>
      <c r="BL46" s="1122">
        <f>SUM(BL31:BL45)</f>
        <v/>
      </c>
      <c r="BM46" s="1122">
        <f>SUM(BM31:BM45)</f>
        <v/>
      </c>
      <c r="BN46" s="1122">
        <f>SUM(BN31:BN45)</f>
        <v/>
      </c>
      <c r="BO46" s="1122">
        <f>SUM(BO31:BO45)</f>
        <v/>
      </c>
      <c r="BP46" s="1122">
        <f>SUM(BP31:BP45)</f>
        <v/>
      </c>
      <c r="BQ46" s="1123">
        <f>AG46+AJ46+AM46+AP46+AS46+AV46+AY46+BB46+BE46+BH46+BK46+BN46</f>
        <v/>
      </c>
      <c r="BR46" s="1123">
        <f>AH46+AK46+AN46+AQ46+AT46+AW46+AZ46+BC46+BF46+BI46+BL46+BO46</f>
        <v/>
      </c>
      <c r="BS46" s="1123">
        <f>AI46+AL46+AO46+AR46+AU46+AX46+BA46+BD46+BG46+BJ46+BM46+BP46</f>
        <v/>
      </c>
      <c r="BT46" s="1122">
        <f>SUM(BT31:BT45)</f>
        <v/>
      </c>
      <c r="BU46" s="1122">
        <f>SUM(BU31:BU45)</f>
        <v/>
      </c>
      <c r="BV46" s="1122">
        <f>SUM(BV31:BV45)</f>
        <v/>
      </c>
      <c r="BW46" s="1122">
        <f>SUM(BW31:BW45)</f>
        <v/>
      </c>
      <c r="BX46" s="1122">
        <f>SUM(BX31:BX45)</f>
        <v/>
      </c>
      <c r="BY46" s="1122">
        <f>SUM(BY31:BY45)</f>
        <v/>
      </c>
      <c r="BZ46" s="1122">
        <f>SUM(BZ31:BZ45)</f>
        <v/>
      </c>
      <c r="CA46" s="1122">
        <f>SUM(CA31:CA45)</f>
        <v/>
      </c>
      <c r="CB46" s="1122">
        <f>SUM(CB31:CB45)</f>
        <v/>
      </c>
      <c r="CC46" s="1122">
        <f>SUM(CC31:CC45)</f>
        <v/>
      </c>
      <c r="CD46" s="1122">
        <f>SUM(CD31:CD45)</f>
        <v/>
      </c>
      <c r="CE46" s="1122">
        <f>SUM(CE31:CE45)</f>
        <v/>
      </c>
      <c r="CF46" s="1122">
        <f>SUM(CF31:CF45)</f>
        <v/>
      </c>
      <c r="CG46" s="1122">
        <f>SUM(CG31:CG45)</f>
        <v/>
      </c>
      <c r="CH46" s="1122">
        <f>SUM(CH31:CH45)</f>
        <v/>
      </c>
      <c r="CI46" s="1122">
        <f>SUM(CI31:CI45)</f>
        <v/>
      </c>
      <c r="CJ46" s="1122">
        <f>SUM(CJ31:CJ45)</f>
        <v/>
      </c>
      <c r="CK46" s="1122">
        <f>SUM(CK31:CK45)</f>
        <v/>
      </c>
      <c r="CL46" s="1122">
        <f>SUM(CL31:CL45)</f>
        <v/>
      </c>
      <c r="CM46" s="1122">
        <f>SUM(CM31:CM45)</f>
        <v/>
      </c>
      <c r="CN46" s="1122">
        <f>SUM(CN31:CN45)</f>
        <v/>
      </c>
      <c r="CO46" s="1122">
        <f>SUM(CO31:CO45)</f>
        <v/>
      </c>
      <c r="CP46" s="1122">
        <f>SUM(CP31:CP45)</f>
        <v/>
      </c>
      <c r="CQ46" s="1122">
        <f>SUM(CQ31:CQ45)</f>
        <v/>
      </c>
      <c r="CR46" s="1122">
        <f>SUM(CR31:CR45)</f>
        <v/>
      </c>
      <c r="CS46" s="1122">
        <f>SUM(CS31:CS45)</f>
        <v/>
      </c>
      <c r="CT46" s="1122">
        <f>SUM(CT31:CT45)</f>
        <v/>
      </c>
      <c r="CU46" s="1122">
        <f>SUM(CU31:CU45)</f>
        <v/>
      </c>
      <c r="CV46" s="1122">
        <f>SUM(CV31:CV45)</f>
        <v/>
      </c>
      <c r="CW46" s="1122">
        <f>SUM(CW31:CW45)</f>
        <v/>
      </c>
      <c r="CX46" s="1122">
        <f>SUM(CX31:CX45)</f>
        <v/>
      </c>
      <c r="CY46" s="1122">
        <f>SUM(CY31:CY45)</f>
        <v/>
      </c>
      <c r="CZ46" s="1122">
        <f>SUM(CZ31:CZ45)</f>
        <v/>
      </c>
      <c r="DA46" s="1122">
        <f>SUM(DA31:DA45)</f>
        <v/>
      </c>
      <c r="DB46" s="1122">
        <f>SUM(DB31:DB45)</f>
        <v/>
      </c>
      <c r="DC46" s="1122">
        <f>SUM(DC31:DC45)</f>
        <v/>
      </c>
      <c r="DD46" s="1122">
        <f>SUM(DD31:DD45)</f>
        <v/>
      </c>
      <c r="DE46" s="1122">
        <f>SUM(DE31:DE45)</f>
        <v/>
      </c>
      <c r="DF46" s="1122">
        <f>SUM(DF31:DF45)</f>
        <v/>
      </c>
      <c r="DG46" s="1122">
        <f>SUM(DG31:DG45)</f>
        <v/>
      </c>
      <c r="DH46" s="1122">
        <f>SUM(DH31:DH45)</f>
        <v/>
      </c>
      <c r="DI46" s="1122">
        <f>SUM(DI31:DI45)</f>
        <v/>
      </c>
      <c r="DJ46" s="1122">
        <f>SUM(DJ31:DJ45)</f>
        <v/>
      </c>
      <c r="DK46" s="1122">
        <f>SUM(DK31:DK45)</f>
        <v/>
      </c>
      <c r="DL46" s="1122">
        <f>SUM(DL31:DL45)</f>
        <v/>
      </c>
      <c r="DM46" s="1122">
        <f>SUM(DM31:DM45)</f>
        <v/>
      </c>
      <c r="DN46" s="1122">
        <f>SUM(DN31:DN45)</f>
        <v/>
      </c>
      <c r="DO46" s="1122">
        <f>SUM(DO31:DO45)</f>
        <v/>
      </c>
      <c r="DP46" s="1121" t="n"/>
      <c r="DQ46" s="1120">
        <f>DO46/BY46*100-100</f>
        <v/>
      </c>
      <c r="DR46" s="821" t="n"/>
    </row>
    <row r="47">
      <c r="A47" s="869" t="n"/>
      <c r="B47" s="870" t="inlineStr">
        <is>
          <t>Mini+Van Sales Follow Up - (Region)</t>
        </is>
      </c>
      <c r="C47" s="970" t="n"/>
      <c r="D47" s="970" t="n"/>
      <c r="E47" s="970" t="n"/>
      <c r="F47" s="971" t="n"/>
      <c r="G47" s="869" t="n"/>
      <c r="H47" s="869" t="n"/>
      <c r="I47" s="869" t="n"/>
      <c r="J47" s="869" t="n"/>
      <c r="K47" s="869" t="n"/>
      <c r="L47" s="869" t="n"/>
      <c r="M47" s="869" t="n"/>
      <c r="N47" s="869" t="n"/>
      <c r="O47" s="869" t="n"/>
      <c r="P47" s="869" t="n"/>
      <c r="Q47" s="869" t="n"/>
      <c r="R47" s="869" t="n"/>
      <c r="S47" s="869" t="n"/>
      <c r="T47" s="869" t="n"/>
      <c r="U47" s="869" t="n"/>
      <c r="V47" s="869" t="n"/>
      <c r="W47" s="869" t="n"/>
      <c r="X47" s="869" t="n"/>
      <c r="Y47" s="869" t="n"/>
      <c r="Z47" s="869" t="n"/>
      <c r="AA47" s="869" t="n"/>
      <c r="AB47" s="869" t="n"/>
      <c r="AC47" s="869" t="n"/>
      <c r="AD47" s="869" t="n"/>
      <c r="AE47" s="1114">
        <f>G47+I47+K47+M47+O47+Q47+S47+U47+W47+Y47+AA47+AC47</f>
        <v/>
      </c>
      <c r="AF47" s="1114">
        <f>H47+J47+L47+N47+P47+R47+T47+V47+X47+Z47+AB47+AD47</f>
        <v/>
      </c>
      <c r="AG47" s="869" t="n"/>
      <c r="AH47" s="869" t="n"/>
      <c r="AI47" s="869" t="n"/>
      <c r="AJ47" s="869" t="n"/>
      <c r="AK47" s="869" t="n"/>
      <c r="AL47" s="869" t="n"/>
      <c r="AM47" s="869" t="n"/>
      <c r="AN47" s="869" t="n"/>
      <c r="AO47" s="869" t="n"/>
      <c r="AP47" s="869" t="n"/>
      <c r="AQ47" s="869" t="n"/>
      <c r="AR47" s="869" t="n"/>
      <c r="AS47" s="869" t="n"/>
      <c r="AT47" s="869" t="n"/>
      <c r="AU47" s="869" t="n"/>
      <c r="AV47" s="869" t="n"/>
      <c r="AW47" s="869" t="n"/>
      <c r="AX47" s="869" t="n"/>
      <c r="AY47" s="869" t="n"/>
      <c r="AZ47" s="869" t="n"/>
      <c r="BA47" s="869" t="n"/>
      <c r="BB47" s="869" t="n"/>
      <c r="BC47" s="869" t="n"/>
      <c r="BD47" s="869" t="n"/>
      <c r="BE47" s="869" t="n"/>
      <c r="BF47" s="869" t="n"/>
      <c r="BG47" s="869" t="n"/>
      <c r="BH47" s="869" t="n"/>
      <c r="BI47" s="869" t="n"/>
      <c r="BJ47" s="869" t="n"/>
      <c r="BK47" s="869" t="n"/>
      <c r="BL47" s="869" t="n"/>
      <c r="BM47" s="869" t="n"/>
      <c r="BN47" s="869" t="n"/>
      <c r="BO47" s="869" t="n"/>
      <c r="BP47" s="869" t="n"/>
      <c r="BQ47" s="1114">
        <f>AG47+AJ47+AM47+AP47+AS47+AV47+AY47+BB47+BE47+BH47+BK47+BN47</f>
        <v/>
      </c>
      <c r="BR47" s="1114">
        <f>AH47+AK47+AN47+AQ47+AT47+AW47+AZ47+BC47+BF47+BI47+BL47+BO47</f>
        <v/>
      </c>
      <c r="BS47" s="1114">
        <f>AI47+AL47+AO47+AR47+AU47+AX47+BA47+BD47+BG47+BJ47+BM47+BP47</f>
        <v/>
      </c>
      <c r="BT47" s="1114" t="n"/>
      <c r="BU47" s="1114" t="n"/>
      <c r="BV47" s="1114" t="n"/>
      <c r="BW47" s="1114" t="n"/>
      <c r="BX47" s="1114" t="n"/>
      <c r="BY47" s="1114" t="n"/>
      <c r="BZ47" s="869" t="n"/>
      <c r="CA47" s="869" t="n"/>
      <c r="CB47" s="869" t="n"/>
      <c r="CC47" s="869" t="n"/>
      <c r="CD47" s="869" t="n"/>
      <c r="CE47" s="869" t="n"/>
      <c r="CF47" s="869" t="n"/>
      <c r="CG47" s="869" t="n"/>
      <c r="CH47" s="869" t="n"/>
      <c r="CI47" s="869" t="n"/>
      <c r="CJ47" s="869" t="n"/>
      <c r="CK47" s="869" t="n"/>
      <c r="CL47" s="869" t="n"/>
      <c r="CM47" s="869" t="n"/>
      <c r="CN47" s="869" t="n"/>
      <c r="CO47" s="869" t="n"/>
      <c r="CP47" s="869" t="n"/>
      <c r="CQ47" s="869" t="n"/>
      <c r="CR47" s="869" t="n"/>
      <c r="CS47" s="869" t="n"/>
      <c r="CT47" s="869" t="n"/>
      <c r="CU47" s="869" t="n"/>
      <c r="CV47" s="869" t="n"/>
      <c r="CW47" s="869" t="n"/>
      <c r="CX47" s="869" t="n"/>
      <c r="CY47" s="869" t="n"/>
      <c r="CZ47" s="869" t="n"/>
      <c r="DA47" s="869" t="n"/>
      <c r="DB47" s="869" t="n"/>
      <c r="DC47" s="869" t="n"/>
      <c r="DD47" s="869" t="n"/>
      <c r="DE47" s="869" t="n"/>
      <c r="DF47" s="869" t="n"/>
      <c r="DG47" s="869" t="n"/>
      <c r="DH47" s="869" t="n"/>
      <c r="DI47" s="869" t="n"/>
      <c r="DJ47" s="1116" t="n"/>
      <c r="DK47" s="1116" t="n"/>
      <c r="DL47" s="1116" t="n"/>
      <c r="DM47" s="1117" t="n"/>
      <c r="DN47" s="1117" t="n"/>
      <c r="DO47" s="1118" t="n"/>
      <c r="DP47" s="1121" t="n"/>
      <c r="DQ47" s="1120" t="n"/>
    </row>
    <row r="48">
      <c r="A48" s="869" t="inlineStr">
        <is>
          <t>Sr .No</t>
        </is>
      </c>
      <c r="B48" s="869" t="inlineStr">
        <is>
          <t xml:space="preserve">Van </t>
        </is>
      </c>
      <c r="C48" s="869" t="inlineStr">
        <is>
          <t>ASM</t>
        </is>
      </c>
      <c r="D48" s="869" t="inlineStr">
        <is>
          <t>Area</t>
        </is>
      </c>
      <c r="E48" s="869" t="inlineStr">
        <is>
          <t xml:space="preserve">Total Outlet </t>
        </is>
      </c>
      <c r="F48" s="869" t="inlineStr">
        <is>
          <t xml:space="preserve">Frequancy </t>
        </is>
      </c>
      <c r="G48" s="869" t="n"/>
      <c r="H48" s="869" t="n"/>
      <c r="I48" s="869" t="n"/>
      <c r="J48" s="869" t="n"/>
      <c r="K48" s="869" t="n"/>
      <c r="L48" s="869" t="n"/>
      <c r="M48" s="869" t="n"/>
      <c r="N48" s="869" t="n"/>
      <c r="O48" s="869" t="n"/>
      <c r="P48" s="869" t="n"/>
      <c r="Q48" s="869" t="n"/>
      <c r="R48" s="869" t="n"/>
      <c r="S48" s="869" t="n"/>
      <c r="T48" s="869" t="n"/>
      <c r="U48" s="869" t="n"/>
      <c r="V48" s="869" t="n"/>
      <c r="W48" s="869" t="n"/>
      <c r="X48" s="869" t="n"/>
      <c r="Y48" s="869" t="n"/>
      <c r="Z48" s="869" t="n"/>
      <c r="AA48" s="869" t="n"/>
      <c r="AB48" s="869" t="n"/>
      <c r="AC48" s="869" t="n"/>
      <c r="AD48" s="869" t="n"/>
      <c r="AE48" s="1114">
        <f>G48+I48+K48+M48+O48+Q48+S48+U48+W48+Y48+AA48+AC48</f>
        <v/>
      </c>
      <c r="AF48" s="1114">
        <f>H48+J48+L48+N48+P48+R48+T48+V48+X48+Z48+AB48+AD48</f>
        <v/>
      </c>
      <c r="AG48" s="869" t="n"/>
      <c r="AH48" s="869" t="n"/>
      <c r="AI48" s="869" t="n"/>
      <c r="AJ48" s="869" t="n"/>
      <c r="AK48" s="869" t="n"/>
      <c r="AL48" s="869" t="n"/>
      <c r="AM48" s="869" t="n"/>
      <c r="AN48" s="869" t="n"/>
      <c r="AO48" s="869" t="n"/>
      <c r="AP48" s="869" t="n"/>
      <c r="AQ48" s="869" t="n"/>
      <c r="AR48" s="869" t="n"/>
      <c r="AS48" s="869" t="n"/>
      <c r="AT48" s="869" t="n"/>
      <c r="AU48" s="869" t="n"/>
      <c r="AV48" s="869" t="n"/>
      <c r="AW48" s="869" t="n"/>
      <c r="AX48" s="869" t="n"/>
      <c r="AY48" s="869" t="n"/>
      <c r="AZ48" s="869" t="n"/>
      <c r="BA48" s="869" t="n"/>
      <c r="BB48" s="869" t="n"/>
      <c r="BC48" s="869" t="n"/>
      <c r="BD48" s="869" t="n"/>
      <c r="BE48" s="869" t="n"/>
      <c r="BF48" s="869" t="n"/>
      <c r="BG48" s="869" t="n"/>
      <c r="BH48" s="869" t="n"/>
      <c r="BI48" s="869" t="n"/>
      <c r="BJ48" s="869" t="n"/>
      <c r="BK48" s="869" t="n"/>
      <c r="BL48" s="869" t="n"/>
      <c r="BM48" s="869" t="n"/>
      <c r="BN48" s="869" t="n"/>
      <c r="BO48" s="869" t="n"/>
      <c r="BP48" s="869" t="n"/>
      <c r="BQ48" s="1114">
        <f>AG48+AJ48+AM48+AP48+AS48+AV48+AY48+BB48+BE48+BH48+BK48+BN48</f>
        <v/>
      </c>
      <c r="BR48" s="1114">
        <f>AH48+AK48+AN48+AQ48+AT48+AW48+AZ48+BC48+BF48+BI48+BL48+BO48</f>
        <v/>
      </c>
      <c r="BS48" s="1114">
        <f>AI48+AL48+AO48+AR48+AU48+AX48+BA48+BD48+BG48+BJ48+BM48+BP48</f>
        <v/>
      </c>
      <c r="BT48" s="1114" t="n"/>
      <c r="BU48" s="1114" t="n"/>
      <c r="BV48" s="1114" t="n"/>
      <c r="BW48" s="1114" t="n"/>
      <c r="BX48" s="1114" t="n"/>
      <c r="BY48" s="1114" t="n"/>
      <c r="BZ48" s="869" t="n"/>
      <c r="CA48" s="869" t="n"/>
      <c r="CB48" s="869" t="n"/>
      <c r="CC48" s="869" t="n"/>
      <c r="CD48" s="869" t="n"/>
      <c r="CE48" s="869" t="n"/>
      <c r="CF48" s="869" t="n"/>
      <c r="CG48" s="869" t="n"/>
      <c r="CH48" s="869" t="n"/>
      <c r="CI48" s="869" t="n"/>
      <c r="CJ48" s="869" t="n"/>
      <c r="CK48" s="869" t="n"/>
      <c r="CL48" s="869" t="n"/>
      <c r="CM48" s="869" t="n"/>
      <c r="CN48" s="869" t="n"/>
      <c r="CO48" s="869" t="n"/>
      <c r="CP48" s="869" t="n"/>
      <c r="CQ48" s="869" t="n"/>
      <c r="CR48" s="869" t="n"/>
      <c r="CS48" s="869" t="n"/>
      <c r="CT48" s="869" t="n"/>
      <c r="CU48" s="869" t="n"/>
      <c r="CV48" s="869" t="n"/>
      <c r="CW48" s="869" t="n"/>
      <c r="CX48" s="869" t="n"/>
      <c r="CY48" s="869" t="n"/>
      <c r="CZ48" s="869" t="n"/>
      <c r="DA48" s="869" t="n"/>
      <c r="DB48" s="869" t="n"/>
      <c r="DC48" s="869" t="n"/>
      <c r="DD48" s="869" t="n"/>
      <c r="DE48" s="869" t="n"/>
      <c r="DF48" s="869" t="n"/>
      <c r="DG48" s="869" t="n"/>
      <c r="DH48" s="869" t="n"/>
      <c r="DI48" s="869" t="n"/>
      <c r="DJ48" s="1116" t="n"/>
      <c r="DK48" s="1116" t="n"/>
      <c r="DL48" s="1116" t="n"/>
      <c r="DM48" s="1116" t="n"/>
      <c r="DN48" s="1116" t="n"/>
      <c r="DO48" s="1122" t="n"/>
      <c r="DP48" s="1121" t="n"/>
      <c r="DQ48" s="1120" t="n"/>
    </row>
    <row r="49">
      <c r="A49" s="869" t="n">
        <v>1</v>
      </c>
      <c r="B49" s="869" t="inlineStr">
        <is>
          <t>Van 1</t>
        </is>
      </c>
      <c r="C49" s="869" t="inlineStr">
        <is>
          <t xml:space="preserve">Ko Kyaw Po Po Win </t>
        </is>
      </c>
      <c r="D49" s="869" t="inlineStr">
        <is>
          <t>YMT,PB,KPT,BG,PKKU,MG</t>
        </is>
      </c>
      <c r="E49" s="869" t="n">
        <v>304</v>
      </c>
      <c r="F49" s="869" t="inlineStr">
        <is>
          <t>F1&amp;F2</t>
        </is>
      </c>
      <c r="G49" s="1113" t="n">
        <v>2066</v>
      </c>
      <c r="H49" s="1113" t="n">
        <v>27201</v>
      </c>
      <c r="I49" s="1113" t="n">
        <v>2509</v>
      </c>
      <c r="J49" s="1113" t="n">
        <v>34409</v>
      </c>
      <c r="K49" s="1113" t="n">
        <v>2849</v>
      </c>
      <c r="L49" s="1113" t="n">
        <v>42280</v>
      </c>
      <c r="M49" s="1113" t="n">
        <v>2900</v>
      </c>
      <c r="N49" s="1113" t="n">
        <v>53252</v>
      </c>
      <c r="O49" s="1113" t="n">
        <v>3500</v>
      </c>
      <c r="P49" s="1113" t="n">
        <v>53804</v>
      </c>
      <c r="Q49" s="1113" t="n">
        <v>3082</v>
      </c>
      <c r="R49" s="1113" t="n">
        <v>47968</v>
      </c>
      <c r="S49" s="1113" t="n">
        <v>3008</v>
      </c>
      <c r="T49" s="1113" t="n">
        <v>53175</v>
      </c>
      <c r="U49" s="1113" t="n">
        <v>4067</v>
      </c>
      <c r="V49" s="1113" t="n">
        <v>62780</v>
      </c>
      <c r="W49" s="1113" t="n">
        <v>2901</v>
      </c>
      <c r="X49" s="1113" t="n">
        <v>50290</v>
      </c>
      <c r="Y49" s="1113" t="n">
        <v>3873</v>
      </c>
      <c r="Z49" s="1113" t="n">
        <v>63620</v>
      </c>
      <c r="AA49" s="1113" t="n">
        <v>3032</v>
      </c>
      <c r="AB49" s="1113" t="n">
        <v>42415</v>
      </c>
      <c r="AC49" s="1113" t="n">
        <v>3738</v>
      </c>
      <c r="AD49" s="1113" t="n">
        <v>53251</v>
      </c>
      <c r="AE49" s="1114">
        <f>G49+I49+K49+M49+O49+Q49+S49+U49+W49+Y49+AA49+AC49</f>
        <v/>
      </c>
      <c r="AF49" s="1114">
        <f>H49+J49+L49+N49+P49+R49+T49+V49+X49+Z49+AB49+AD49</f>
        <v/>
      </c>
      <c r="AG49" s="1115" t="n">
        <v>5969.75</v>
      </c>
      <c r="AH49" s="1115" t="n">
        <v>89005</v>
      </c>
      <c r="AI49" s="1115" t="n">
        <v>60083.68</v>
      </c>
      <c r="AJ49" s="1115" t="n">
        <v>4551.345238095239</v>
      </c>
      <c r="AK49" s="1115" t="n">
        <v>71002</v>
      </c>
      <c r="AL49" s="1115" t="n">
        <v>47743.72000000001</v>
      </c>
      <c r="AM49" s="1115" t="n">
        <v>3096.416666666667</v>
      </c>
      <c r="AN49" s="1115" t="n">
        <v>49364</v>
      </c>
      <c r="AO49" s="1115" t="n">
        <v>35167.03999999999</v>
      </c>
      <c r="AP49" s="1115" t="n">
        <v>2210.708333333333</v>
      </c>
      <c r="AQ49" s="1115" t="n">
        <v>36496</v>
      </c>
      <c r="AR49" s="1115" t="n">
        <v>25269.76</v>
      </c>
      <c r="AS49" s="1115" t="n">
        <v>2997.395833333333</v>
      </c>
      <c r="AT49" s="1115" t="n">
        <v>47306</v>
      </c>
      <c r="AU49" s="1115" t="n">
        <v>33577.43</v>
      </c>
      <c r="AV49" s="1115" t="n">
        <v>2632.416666666667</v>
      </c>
      <c r="AW49" s="1115" t="n">
        <v>42746</v>
      </c>
      <c r="AX49" s="1115" t="n">
        <v>29883.78</v>
      </c>
      <c r="AY49" s="1115" t="n">
        <v>3261.833333333333</v>
      </c>
      <c r="AZ49" s="1115" t="n">
        <v>48692</v>
      </c>
      <c r="BA49" s="1115" t="n">
        <v>35518.16</v>
      </c>
      <c r="BB49" s="1115" t="n">
        <v>3080.541666666667</v>
      </c>
      <c r="BC49" s="1115" t="n">
        <v>47776</v>
      </c>
      <c r="BD49" s="1115" t="n">
        <v>35118.71999999999</v>
      </c>
      <c r="BE49" s="1115" t="n">
        <v>2582</v>
      </c>
      <c r="BF49" s="1115" t="n">
        <v>37922</v>
      </c>
      <c r="BG49" s="1115" t="n">
        <v>28595.36000000001</v>
      </c>
      <c r="BH49" s="1115" t="n">
        <v>3077.345238095238</v>
      </c>
      <c r="BI49" s="1115" t="n">
        <v>42806</v>
      </c>
      <c r="BJ49" s="1115" t="n">
        <v>35427.07999999999</v>
      </c>
      <c r="BK49" s="1115" t="n">
        <v>2961</v>
      </c>
      <c r="BL49" s="1115" t="n">
        <v>44494</v>
      </c>
      <c r="BM49" s="1115" t="n">
        <v>33803.2</v>
      </c>
      <c r="BN49" s="1115" t="n">
        <v>3577</v>
      </c>
      <c r="BO49" s="1115" t="n">
        <v>51728</v>
      </c>
      <c r="BP49" s="1115" t="n">
        <v>39786.55999999999</v>
      </c>
      <c r="BQ49" s="1114">
        <f>AG49+AJ49+AM49+AP49+AS49+AV49+AY49+BB49+BE49+BH49+BK49+BN49</f>
        <v/>
      </c>
      <c r="BR49" s="1114">
        <f>AH49+AK49+AN49+AQ49+AT49+AW49+AZ49+BC49+BF49+BI49+BL49+BO49</f>
        <v/>
      </c>
      <c r="BS49" s="1114">
        <f>AI49+AL49+AO49+AR49+AU49+AX49+BA49+BD49+BG49+BJ49+BM49+BP49</f>
        <v/>
      </c>
      <c r="BT49" s="1114">
        <f>(AG49+AJ49)/2</f>
        <v/>
      </c>
      <c r="BU49" s="1114">
        <f>(AH49+AK49)/2</f>
        <v/>
      </c>
      <c r="BV49" s="1114">
        <f>(AI49+AL49)/2</f>
        <v/>
      </c>
      <c r="BW49" s="1114">
        <f>BQ49/12</f>
        <v/>
      </c>
      <c r="BX49" s="1114">
        <f>BR49/12</f>
        <v/>
      </c>
      <c r="BY49" s="1114">
        <f>BS49/12</f>
        <v/>
      </c>
      <c r="BZ49" s="1115" t="n">
        <v>2811</v>
      </c>
      <c r="CA49" s="869" t="n">
        <v>40498</v>
      </c>
      <c r="CB49" s="869" t="n">
        <v>31656.16</v>
      </c>
      <c r="CC49" s="1058" t="n">
        <v>2490.916666666667</v>
      </c>
      <c r="CD49" s="1058" t="n">
        <v>35848</v>
      </c>
      <c r="CE49" s="1058" t="n">
        <v>29065.2</v>
      </c>
      <c r="CF49" s="869" t="n"/>
      <c r="CG49" s="869" t="n"/>
      <c r="CH49" s="869" t="n"/>
      <c r="CI49" s="869" t="n"/>
      <c r="CJ49" s="869" t="n"/>
      <c r="CK49" s="869" t="n"/>
      <c r="CL49" s="869" t="n"/>
      <c r="CM49" s="869" t="n"/>
      <c r="CN49" s="869" t="n"/>
      <c r="CO49" s="869" t="n"/>
      <c r="CP49" s="869" t="n"/>
      <c r="CQ49" s="869" t="n"/>
      <c r="CR49" s="869" t="n"/>
      <c r="CS49" s="869" t="n"/>
      <c r="CT49" s="869" t="n"/>
      <c r="CU49" s="869" t="n"/>
      <c r="CV49" s="869" t="n"/>
      <c r="CW49" s="869" t="n"/>
      <c r="CX49" s="869" t="n"/>
      <c r="CY49" s="869" t="n"/>
      <c r="CZ49" s="869" t="n"/>
      <c r="DA49" s="869" t="n"/>
      <c r="DB49" s="869" t="n"/>
      <c r="DC49" s="869" t="n"/>
      <c r="DD49" s="869" t="n"/>
      <c r="DE49" s="869" t="n"/>
      <c r="DF49" s="869" t="n"/>
      <c r="DG49" s="869" t="n"/>
      <c r="DH49" s="869" t="n"/>
      <c r="DI49" s="869" t="n"/>
      <c r="DJ49" s="1116">
        <f>BZ49+CC49+CF49+CI49+CL49+CO49+CR49+CU49+CX49+DA49+DD49+DG49</f>
        <v/>
      </c>
      <c r="DK49" s="1116">
        <f>CA49+CD49+CG49+CJ49+CM49+CP49+CS49+CV49+CY49+DB49+DE49+DH49</f>
        <v/>
      </c>
      <c r="DL49" s="1116">
        <f>CB49+CE49+CH49+CK49+CN49+CQ49+CT49+CW49+CZ49+DC49+DF49+DI49</f>
        <v/>
      </c>
      <c r="DM49" s="1117">
        <f>DJ49/2</f>
        <v/>
      </c>
      <c r="DN49" s="1117">
        <f>DK49/2</f>
        <v/>
      </c>
      <c r="DO49" s="1118">
        <f>DL49/2</f>
        <v/>
      </c>
      <c r="DP49" s="1119">
        <f>DO49/BV49*100-100</f>
        <v/>
      </c>
      <c r="DQ49" s="1120">
        <f>DO49/BY49*100-100</f>
        <v/>
      </c>
      <c r="DR49" s="820" t="inlineStr">
        <is>
          <t>Must Grow</t>
        </is>
      </c>
    </row>
    <row r="50">
      <c r="A50" s="869" t="n">
        <v>2</v>
      </c>
      <c r="B50" s="869" t="inlineStr">
        <is>
          <t>Van 2</t>
        </is>
      </c>
      <c r="C50" s="869" t="inlineStr">
        <is>
          <t xml:space="preserve">Ko Kyaw Po Po Win </t>
        </is>
      </c>
      <c r="D50" s="869" t="inlineStr">
        <is>
          <t>MTL,MH,TZ,WD</t>
        </is>
      </c>
      <c r="E50" s="869" t="n">
        <v>316</v>
      </c>
      <c r="F50" s="869" t="inlineStr">
        <is>
          <t>F1&amp;F2</t>
        </is>
      </c>
      <c r="G50" s="1113" t="n">
        <v>1400</v>
      </c>
      <c r="H50" s="1113" t="n">
        <v>23600</v>
      </c>
      <c r="I50" s="1113" t="n">
        <v>1640</v>
      </c>
      <c r="J50" s="1113" t="n">
        <v>25360</v>
      </c>
      <c r="K50" s="1113" t="n">
        <v>2200</v>
      </c>
      <c r="L50" s="1113" t="n">
        <v>33800</v>
      </c>
      <c r="M50" s="1113" t="n">
        <v>2053</v>
      </c>
      <c r="N50" s="1113" t="n">
        <v>32272</v>
      </c>
      <c r="O50" s="1113" t="n">
        <v>2030</v>
      </c>
      <c r="P50" s="1113" t="n">
        <v>30720</v>
      </c>
      <c r="Q50" s="1113" t="n">
        <v>2000</v>
      </c>
      <c r="R50" s="1113" t="n">
        <v>33094</v>
      </c>
      <c r="S50" s="1113" t="n">
        <v>1684</v>
      </c>
      <c r="T50" s="1113" t="n">
        <v>24776</v>
      </c>
      <c r="U50" s="1113" t="n">
        <v>2150</v>
      </c>
      <c r="V50" s="1113" t="n">
        <v>32609</v>
      </c>
      <c r="W50" s="1113" t="n">
        <v>1088</v>
      </c>
      <c r="X50" s="1113" t="n">
        <v>17113</v>
      </c>
      <c r="Y50" s="1113" t="n">
        <v>1198</v>
      </c>
      <c r="Z50" s="1113" t="n">
        <v>19752</v>
      </c>
      <c r="AA50" s="1113" t="n">
        <v>1585</v>
      </c>
      <c r="AB50" s="1113" t="n">
        <v>21227</v>
      </c>
      <c r="AC50" s="1113" t="n">
        <v>1899</v>
      </c>
      <c r="AD50" s="1113" t="n">
        <v>28576</v>
      </c>
      <c r="AE50" s="1114">
        <f>G50+I50+K50+M50+O50+Q50+S50+U50+W50+Y50+AA50+AC50</f>
        <v/>
      </c>
      <c r="AF50" s="1114">
        <f>H50+J50+L50+N50+P50+R50+T50+V50+X50+Z50+AB50+AD50</f>
        <v/>
      </c>
      <c r="AG50" s="1115" t="n">
        <v>2592.785714285714</v>
      </c>
      <c r="AH50" s="1115" t="n">
        <v>42845</v>
      </c>
      <c r="AI50" s="1115" t="n">
        <v>29777.2</v>
      </c>
      <c r="AJ50" s="1115" t="n">
        <v>2250.583333333333</v>
      </c>
      <c r="AK50" s="1115" t="n">
        <v>36535</v>
      </c>
      <c r="AL50" s="1115" t="n">
        <v>25404.52</v>
      </c>
      <c r="AM50" s="1115" t="n">
        <v>2530.380952380952</v>
      </c>
      <c r="AN50" s="1115" t="n">
        <v>40513</v>
      </c>
      <c r="AO50" s="1115" t="n">
        <v>28907.02</v>
      </c>
      <c r="AP50" s="1115" t="n">
        <v>1800.339285714286</v>
      </c>
      <c r="AQ50" s="1115" t="n">
        <v>30138</v>
      </c>
      <c r="AR50" s="1115" t="n">
        <v>20311.39</v>
      </c>
      <c r="AS50" s="1115" t="n">
        <v>2041.994047619047</v>
      </c>
      <c r="AT50" s="1115" t="n">
        <v>33947</v>
      </c>
      <c r="AU50" s="1115" t="n">
        <v>22849.27</v>
      </c>
      <c r="AV50" s="1115" t="n">
        <v>2272.58630952381</v>
      </c>
      <c r="AW50" s="1115" t="n">
        <v>34259</v>
      </c>
      <c r="AX50" s="1115" t="n">
        <v>22892.26</v>
      </c>
      <c r="AY50" s="1115" t="n">
        <v>2327.065476190476</v>
      </c>
      <c r="AZ50" s="1115" t="n">
        <v>33745</v>
      </c>
      <c r="BA50" s="1115" t="n">
        <v>23232.27000000001</v>
      </c>
      <c r="BB50" s="1115" t="n">
        <v>1840.791666666667</v>
      </c>
      <c r="BC50" s="1115" t="n">
        <v>28585</v>
      </c>
      <c r="BD50" s="1115" t="n">
        <v>19379.92</v>
      </c>
      <c r="BE50" s="1115" t="n">
        <v>1822.380952380953</v>
      </c>
      <c r="BF50" s="1115" t="n">
        <v>27271</v>
      </c>
      <c r="BG50" s="1115" t="n">
        <v>19403.32</v>
      </c>
      <c r="BH50" s="1115" t="n">
        <v>1144.559523809524</v>
      </c>
      <c r="BI50" s="1115" t="n">
        <v>17824</v>
      </c>
      <c r="BJ50" s="1115" t="n">
        <v>11979.22</v>
      </c>
      <c r="BK50" s="1115" t="n">
        <v>1424.583333333333</v>
      </c>
      <c r="BL50" s="1115" t="n">
        <v>21525</v>
      </c>
      <c r="BM50" s="1115" t="n">
        <v>15236.28</v>
      </c>
      <c r="BN50" s="1115" t="n">
        <v>1454.619047619048</v>
      </c>
      <c r="BO50" s="1115" t="n">
        <v>21782</v>
      </c>
      <c r="BP50" s="1115" t="n">
        <v>15362.48</v>
      </c>
      <c r="BQ50" s="1114">
        <f>AG50+AJ50+AM50+AP50+AS50+AV50+AY50+BB50+BE50+BH50+BK50+BN50</f>
        <v/>
      </c>
      <c r="BR50" s="1114">
        <f>AH50+AK50+AN50+AQ50+AT50+AW50+AZ50+BC50+BF50+BI50+BL50+BO50</f>
        <v/>
      </c>
      <c r="BS50" s="1114">
        <f>AI50+AL50+AO50+AR50+AU50+AX50+BA50+BD50+BG50+BJ50+BM50+BP50</f>
        <v/>
      </c>
      <c r="BT50" s="1114">
        <f>(AG50+AJ50)/2</f>
        <v/>
      </c>
      <c r="BU50" s="1114">
        <f>(AH50+AK50)/2</f>
        <v/>
      </c>
      <c r="BV50" s="1114">
        <f>(AI50+AL50)/2</f>
        <v/>
      </c>
      <c r="BW50" s="1114">
        <f>BQ50/12</f>
        <v/>
      </c>
      <c r="BX50" s="1114">
        <f>BR50/12</f>
        <v/>
      </c>
      <c r="BY50" s="1114">
        <f>BS50/12</f>
        <v/>
      </c>
      <c r="BZ50" s="1115" t="n">
        <v>1661.410714285714</v>
      </c>
      <c r="CA50" s="869" t="n">
        <v>25083</v>
      </c>
      <c r="CB50" s="869" t="n">
        <v>17968.32</v>
      </c>
      <c r="CC50" s="1058" t="n">
        <v>1475.660714285714</v>
      </c>
      <c r="CD50" s="1058" t="n">
        <v>21503</v>
      </c>
      <c r="CE50" s="1058" t="n">
        <v>15355.52</v>
      </c>
      <c r="CF50" s="869" t="n"/>
      <c r="CG50" s="869" t="n"/>
      <c r="CH50" s="869" t="n"/>
      <c r="CI50" s="869" t="n"/>
      <c r="CJ50" s="869" t="n"/>
      <c r="CK50" s="869" t="n"/>
      <c r="CL50" s="869" t="n"/>
      <c r="CM50" s="869" t="n"/>
      <c r="CN50" s="869" t="n"/>
      <c r="CO50" s="869" t="n"/>
      <c r="CP50" s="869" t="n"/>
      <c r="CQ50" s="869" t="n"/>
      <c r="CR50" s="869" t="n"/>
      <c r="CS50" s="869" t="n"/>
      <c r="CT50" s="869" t="n"/>
      <c r="CU50" s="869" t="n"/>
      <c r="CV50" s="869" t="n"/>
      <c r="CW50" s="869" t="n"/>
      <c r="CX50" s="869" t="n"/>
      <c r="CY50" s="869" t="n"/>
      <c r="CZ50" s="869" t="n"/>
      <c r="DA50" s="869" t="n"/>
      <c r="DB50" s="869" t="n"/>
      <c r="DC50" s="869" t="n"/>
      <c r="DD50" s="869" t="n"/>
      <c r="DE50" s="869" t="n"/>
      <c r="DF50" s="869" t="n"/>
      <c r="DG50" s="869" t="n"/>
      <c r="DH50" s="869" t="n"/>
      <c r="DI50" s="869" t="n"/>
      <c r="DJ50" s="1116">
        <f>BZ50+CC50+CF50+CI50+CL50+CO50+CR50+CU50+CX50+DA50+DD50+DG50</f>
        <v/>
      </c>
      <c r="DK50" s="1116">
        <f>CA50+CD50+CG50+CJ50+CM50+CP50+CS50+CV50+CY50+DB50+DE50+DH50</f>
        <v/>
      </c>
      <c r="DL50" s="1116">
        <f>CB50+CE50+CH50+CK50+CN50+CQ50+CT50+CW50+CZ50+DC50+DF50+DI50</f>
        <v/>
      </c>
      <c r="DM50" s="1117">
        <f>DJ50/2</f>
        <v/>
      </c>
      <c r="DN50" s="1117">
        <f>DK50/2</f>
        <v/>
      </c>
      <c r="DO50" s="1118">
        <f>DL50/2</f>
        <v/>
      </c>
      <c r="DP50" s="1119">
        <f>DO50/BV50*100-100</f>
        <v/>
      </c>
      <c r="DQ50" s="1120">
        <f>DO50/BY50*100-100</f>
        <v/>
      </c>
      <c r="DR50" s="820" t="inlineStr">
        <is>
          <t>Must Grow</t>
        </is>
      </c>
    </row>
    <row r="51" customFormat="1" s="587">
      <c r="A51" s="866" t="inlineStr">
        <is>
          <t xml:space="preserve">Total Mini+Van Sales Follow Up </t>
        </is>
      </c>
      <c r="B51" s="970" t="n"/>
      <c r="C51" s="970" t="n"/>
      <c r="D51" s="970" t="n"/>
      <c r="E51" s="970" t="n"/>
      <c r="F51" s="971" t="n"/>
      <c r="G51" s="1122">
        <f>SUM(G49:G50)</f>
        <v/>
      </c>
      <c r="H51" s="1122">
        <f>SUM(H49:H50)</f>
        <v/>
      </c>
      <c r="I51" s="1122">
        <f>SUM(I49:I50)</f>
        <v/>
      </c>
      <c r="J51" s="1122">
        <f>SUM(J49:J50)</f>
        <v/>
      </c>
      <c r="K51" s="1122">
        <f>SUM(K49:K50)</f>
        <v/>
      </c>
      <c r="L51" s="1122">
        <f>SUM(L49:L50)</f>
        <v/>
      </c>
      <c r="M51" s="1122">
        <f>SUM(M49:M50)</f>
        <v/>
      </c>
      <c r="N51" s="1122">
        <f>SUM(N49:N50)</f>
        <v/>
      </c>
      <c r="O51" s="1122">
        <f>SUM(O49:O50)</f>
        <v/>
      </c>
      <c r="P51" s="1122">
        <f>SUM(P49:P50)</f>
        <v/>
      </c>
      <c r="Q51" s="1122">
        <f>SUM(Q49:Q50)</f>
        <v/>
      </c>
      <c r="R51" s="1122">
        <f>SUM(R49:R50)</f>
        <v/>
      </c>
      <c r="S51" s="1122">
        <f>SUM(S49:S50)</f>
        <v/>
      </c>
      <c r="T51" s="1122">
        <f>SUM(T49:T50)</f>
        <v/>
      </c>
      <c r="U51" s="1122">
        <f>SUM(U49:U50)</f>
        <v/>
      </c>
      <c r="V51" s="1122">
        <f>SUM(V49:V50)</f>
        <v/>
      </c>
      <c r="W51" s="1122">
        <f>SUM(W49:W50)</f>
        <v/>
      </c>
      <c r="X51" s="1122">
        <f>SUM(X49:X50)</f>
        <v/>
      </c>
      <c r="Y51" s="1122">
        <f>SUM(Y49:Y50)</f>
        <v/>
      </c>
      <c r="Z51" s="1122">
        <f>SUM(Z49:Z50)</f>
        <v/>
      </c>
      <c r="AA51" s="1122">
        <f>SUM(AA49:AA50)</f>
        <v/>
      </c>
      <c r="AB51" s="1122">
        <f>SUM(AB49:AB50)</f>
        <v/>
      </c>
      <c r="AC51" s="1122">
        <f>SUM(AC49:AC50)</f>
        <v/>
      </c>
      <c r="AD51" s="1122">
        <f>SUM(AD49:AD50)</f>
        <v/>
      </c>
      <c r="AE51" s="1123">
        <f>G51+I51+K51+M51+O51+Q51+S51+U51+W51+Y51+AA51+AC51</f>
        <v/>
      </c>
      <c r="AF51" s="1123">
        <f>H51+J51+L51+N51+P51+R51+T51+V51+X51+Z51+AB51+AD51</f>
        <v/>
      </c>
      <c r="AG51" s="1122">
        <f>SUM(AG49:AG50)</f>
        <v/>
      </c>
      <c r="AH51" s="1122">
        <f>SUM(AH49:AH50)</f>
        <v/>
      </c>
      <c r="AI51" s="1122">
        <f>SUM(AI49:AI50)</f>
        <v/>
      </c>
      <c r="AJ51" s="1122">
        <f>SUM(AJ49:AJ50)</f>
        <v/>
      </c>
      <c r="AK51" s="1122">
        <f>SUM(AK49:AK50)</f>
        <v/>
      </c>
      <c r="AL51" s="1122">
        <f>SUM(AL49:AL50)</f>
        <v/>
      </c>
      <c r="AM51" s="1122">
        <f>SUM(AM49:AM50)</f>
        <v/>
      </c>
      <c r="AN51" s="1122">
        <f>SUM(AN49:AN50)</f>
        <v/>
      </c>
      <c r="AO51" s="1122">
        <f>SUM(AO49:AO50)</f>
        <v/>
      </c>
      <c r="AP51" s="1122">
        <f>SUM(AP49:AP50)</f>
        <v/>
      </c>
      <c r="AQ51" s="1122">
        <f>SUM(AQ49:AQ50)</f>
        <v/>
      </c>
      <c r="AR51" s="1122">
        <f>SUM(AR49:AR50)</f>
        <v/>
      </c>
      <c r="AS51" s="1122">
        <f>SUM(AS49:AS50)</f>
        <v/>
      </c>
      <c r="AT51" s="1122">
        <f>SUM(AT49:AT50)</f>
        <v/>
      </c>
      <c r="AU51" s="1122">
        <f>SUM(AU49:AU50)</f>
        <v/>
      </c>
      <c r="AV51" s="1122">
        <f>SUM(AV49:AV50)</f>
        <v/>
      </c>
      <c r="AW51" s="1122">
        <f>SUM(AW49:AW50)</f>
        <v/>
      </c>
      <c r="AX51" s="1122">
        <f>SUM(AX49:AX50)</f>
        <v/>
      </c>
      <c r="AY51" s="1122">
        <f>SUM(AY49:AY50)</f>
        <v/>
      </c>
      <c r="AZ51" s="1122">
        <f>SUM(AZ49:AZ50)</f>
        <v/>
      </c>
      <c r="BA51" s="1122">
        <f>SUM(BA49:BA50)</f>
        <v/>
      </c>
      <c r="BB51" s="1122">
        <f>SUM(BB49:BB50)</f>
        <v/>
      </c>
      <c r="BC51" s="1122">
        <f>SUM(BC49:BC50)</f>
        <v/>
      </c>
      <c r="BD51" s="1122">
        <f>SUM(BD49:BD50)</f>
        <v/>
      </c>
      <c r="BE51" s="1122">
        <f>SUM(BE49:BE50)</f>
        <v/>
      </c>
      <c r="BF51" s="1122">
        <f>SUM(BF49:BF50)</f>
        <v/>
      </c>
      <c r="BG51" s="1122">
        <f>SUM(BG49:BG50)</f>
        <v/>
      </c>
      <c r="BH51" s="1122">
        <f>SUM(BH49:BH50)</f>
        <v/>
      </c>
      <c r="BI51" s="1122">
        <f>SUM(BI49:BI50)</f>
        <v/>
      </c>
      <c r="BJ51" s="1122">
        <f>SUM(BJ49:BJ50)</f>
        <v/>
      </c>
      <c r="BK51" s="1122">
        <f>SUM(BK49:BK50)</f>
        <v/>
      </c>
      <c r="BL51" s="1122">
        <f>SUM(BL49:BL50)</f>
        <v/>
      </c>
      <c r="BM51" s="1122">
        <f>SUM(BM49:BM50)</f>
        <v/>
      </c>
      <c r="BN51" s="1122">
        <f>SUM(BN49:BN50)</f>
        <v/>
      </c>
      <c r="BO51" s="1122">
        <f>SUM(BO49:BO50)</f>
        <v/>
      </c>
      <c r="BP51" s="1122">
        <f>SUM(BP49:BP50)</f>
        <v/>
      </c>
      <c r="BQ51" s="1123">
        <f>AG51+AJ51+AM51+AP51+AS51+AV51+AY51+BB51+BE51+BH51+BK51+BN51</f>
        <v/>
      </c>
      <c r="BR51" s="1123">
        <f>AH51+AK51+AN51+AQ51+AT51+AW51+AZ51+BC51+BF51+BI51+BL51+BO51</f>
        <v/>
      </c>
      <c r="BS51" s="1123">
        <f>AI51+AL51+AO51+AR51+AU51+AX51+BA51+BD51+BG51+BJ51+BM51+BP51</f>
        <v/>
      </c>
      <c r="BT51" s="1122">
        <f>SUM(BT49:BT50)</f>
        <v/>
      </c>
      <c r="BU51" s="1122">
        <f>SUM(BU49:BU50)</f>
        <v/>
      </c>
      <c r="BV51" s="1122">
        <f>SUM(BV49:BV50)</f>
        <v/>
      </c>
      <c r="BW51" s="1122">
        <f>SUM(BW49:BW50)</f>
        <v/>
      </c>
      <c r="BX51" s="1122">
        <f>SUM(BX49:BX50)</f>
        <v/>
      </c>
      <c r="BY51" s="1122">
        <f>SUM(BY49:BY50)</f>
        <v/>
      </c>
      <c r="BZ51" s="1122">
        <f>SUM(BZ49:BZ50)</f>
        <v/>
      </c>
      <c r="CA51" s="1122">
        <f>SUM(CA49:CA50)</f>
        <v/>
      </c>
      <c r="CB51" s="1122">
        <f>SUM(CB49:CB50)</f>
        <v/>
      </c>
      <c r="CC51" s="1122">
        <f>SUM(CC49:CC50)</f>
        <v/>
      </c>
      <c r="CD51" s="1122">
        <f>SUM(CD49:CD50)</f>
        <v/>
      </c>
      <c r="CE51" s="1122">
        <f>SUM(CE49:CE50)</f>
        <v/>
      </c>
      <c r="CF51" s="1122">
        <f>SUM(CF49:CF50)</f>
        <v/>
      </c>
      <c r="CG51" s="1122">
        <f>SUM(CG49:CG50)</f>
        <v/>
      </c>
      <c r="CH51" s="1122">
        <f>SUM(CH49:CH50)</f>
        <v/>
      </c>
      <c r="CI51" s="1122">
        <f>SUM(CI49:CI50)</f>
        <v/>
      </c>
      <c r="CJ51" s="1122">
        <f>SUM(CJ49:CJ50)</f>
        <v/>
      </c>
      <c r="CK51" s="1122">
        <f>SUM(CK49:CK50)</f>
        <v/>
      </c>
      <c r="CL51" s="1122">
        <f>SUM(CL49:CL50)</f>
        <v/>
      </c>
      <c r="CM51" s="1122">
        <f>SUM(CM49:CM50)</f>
        <v/>
      </c>
      <c r="CN51" s="1122">
        <f>SUM(CN49:CN50)</f>
        <v/>
      </c>
      <c r="CO51" s="1122">
        <f>SUM(CO49:CO50)</f>
        <v/>
      </c>
      <c r="CP51" s="1122">
        <f>SUM(CP49:CP50)</f>
        <v/>
      </c>
      <c r="CQ51" s="1122">
        <f>SUM(CQ49:CQ50)</f>
        <v/>
      </c>
      <c r="CR51" s="1122">
        <f>SUM(CR49:CR50)</f>
        <v/>
      </c>
      <c r="CS51" s="1122">
        <f>SUM(CS49:CS50)</f>
        <v/>
      </c>
      <c r="CT51" s="1122">
        <f>SUM(CT49:CT50)</f>
        <v/>
      </c>
      <c r="CU51" s="1122">
        <f>SUM(CU49:CU50)</f>
        <v/>
      </c>
      <c r="CV51" s="1122">
        <f>SUM(CV49:CV50)</f>
        <v/>
      </c>
      <c r="CW51" s="1122">
        <f>SUM(CW49:CW50)</f>
        <v/>
      </c>
      <c r="CX51" s="1122">
        <f>SUM(CX49:CX50)</f>
        <v/>
      </c>
      <c r="CY51" s="1122">
        <f>SUM(CY49:CY50)</f>
        <v/>
      </c>
      <c r="CZ51" s="1122">
        <f>SUM(CZ49:CZ50)</f>
        <v/>
      </c>
      <c r="DA51" s="1122">
        <f>SUM(DA49:DA50)</f>
        <v/>
      </c>
      <c r="DB51" s="1122">
        <f>SUM(DB49:DB50)</f>
        <v/>
      </c>
      <c r="DC51" s="1122">
        <f>SUM(DC49:DC50)</f>
        <v/>
      </c>
      <c r="DD51" s="1122">
        <f>SUM(DD49:DD50)</f>
        <v/>
      </c>
      <c r="DE51" s="1122">
        <f>SUM(DE49:DE50)</f>
        <v/>
      </c>
      <c r="DF51" s="1122">
        <f>SUM(DF49:DF50)</f>
        <v/>
      </c>
      <c r="DG51" s="1122">
        <f>SUM(DG49:DG50)</f>
        <v/>
      </c>
      <c r="DH51" s="1122">
        <f>SUM(DH49:DH50)</f>
        <v/>
      </c>
      <c r="DI51" s="1122">
        <f>SUM(DI49:DI50)</f>
        <v/>
      </c>
      <c r="DJ51" s="1122">
        <f>SUM(DJ49:DJ50)</f>
        <v/>
      </c>
      <c r="DK51" s="1122">
        <f>SUM(DK49:DK50)</f>
        <v/>
      </c>
      <c r="DL51" s="1122">
        <f>SUM(DL49:DL50)</f>
        <v/>
      </c>
      <c r="DM51" s="1117">
        <f>DJ51/2</f>
        <v/>
      </c>
      <c r="DN51" s="1117">
        <f>DK51/2</f>
        <v/>
      </c>
      <c r="DO51" s="1118">
        <f>DL51/2</f>
        <v/>
      </c>
      <c r="DP51" s="1119">
        <f>DO51/BV51*100-100</f>
        <v/>
      </c>
      <c r="DQ51" s="1120">
        <f>DO51/BY51*100-100</f>
        <v/>
      </c>
      <c r="DR51" s="820" t="inlineStr">
        <is>
          <t>Must Grow</t>
        </is>
      </c>
    </row>
    <row r="52" ht="39.75" customFormat="1" customHeight="1" s="591">
      <c r="A52" s="867" t="n"/>
      <c r="B52" s="970" t="n"/>
      <c r="C52" s="970" t="n"/>
      <c r="D52" s="970" t="n"/>
      <c r="E52" s="970" t="n"/>
      <c r="F52" s="971" t="n"/>
      <c r="G52" s="1125">
        <f>G30+G46+G51</f>
        <v/>
      </c>
      <c r="H52" s="1125">
        <f>H30+H46+H51</f>
        <v/>
      </c>
      <c r="I52" s="1125">
        <f>I30+I46+I51</f>
        <v/>
      </c>
      <c r="J52" s="1125">
        <f>J30+J46+J51</f>
        <v/>
      </c>
      <c r="K52" s="1125">
        <f>K30+K46+K51</f>
        <v/>
      </c>
      <c r="L52" s="1125">
        <f>L30+L46+L51</f>
        <v/>
      </c>
      <c r="M52" s="1125">
        <f>M30+M46+M51</f>
        <v/>
      </c>
      <c r="N52" s="1125">
        <f>N30+N46+N51</f>
        <v/>
      </c>
      <c r="O52" s="1125">
        <f>O30+O46+O51</f>
        <v/>
      </c>
      <c r="P52" s="1125">
        <f>P30+P46+P51</f>
        <v/>
      </c>
      <c r="Q52" s="1125">
        <f>Q30+Q46+Q51</f>
        <v/>
      </c>
      <c r="R52" s="1125">
        <f>R30+R46+R51</f>
        <v/>
      </c>
      <c r="S52" s="1125">
        <f>S30+S46+S51</f>
        <v/>
      </c>
      <c r="T52" s="1125">
        <f>T30+T46+T51</f>
        <v/>
      </c>
      <c r="U52" s="1125">
        <f>U30+U46+U51</f>
        <v/>
      </c>
      <c r="V52" s="1125">
        <f>V30+V46+V51</f>
        <v/>
      </c>
      <c r="W52" s="1125">
        <f>W30+W46+W51</f>
        <v/>
      </c>
      <c r="X52" s="1125">
        <f>X30+X46+X51</f>
        <v/>
      </c>
      <c r="Y52" s="1125">
        <f>Y30+Y46+Y51</f>
        <v/>
      </c>
      <c r="Z52" s="1125">
        <f>Z30+Z46+Z51</f>
        <v/>
      </c>
      <c r="AA52" s="1125">
        <f>AA30+AA46+AA51</f>
        <v/>
      </c>
      <c r="AB52" s="1125">
        <f>AB30+AB46+AB51</f>
        <v/>
      </c>
      <c r="AC52" s="1125">
        <f>AC30+AC46+AC51</f>
        <v/>
      </c>
      <c r="AD52" s="1125">
        <f>AD30+AD46+AD51</f>
        <v/>
      </c>
      <c r="AE52" s="1126">
        <f>G52+I52+K52+M52+O52+Q52+S52+U52+W52+Y52+AA52+AC52</f>
        <v/>
      </c>
      <c r="AF52" s="1126">
        <f>H52+J52+L52+N52+P52+R52+T52+V52+X52+Z52+AB52+AD52</f>
        <v/>
      </c>
      <c r="AG52" s="1125">
        <f>AG30+AG46+AG51</f>
        <v/>
      </c>
      <c r="AH52" s="1125">
        <f>AH30+AH46+AH51</f>
        <v/>
      </c>
      <c r="AI52" s="1125">
        <f>AI30+AI46+AI51</f>
        <v/>
      </c>
      <c r="AJ52" s="1125">
        <f>AJ30+AJ46+AJ51</f>
        <v/>
      </c>
      <c r="AK52" s="1125">
        <f>AK30+AK46+AK51</f>
        <v/>
      </c>
      <c r="AL52" s="1125">
        <f>AL30+AL46+AL51</f>
        <v/>
      </c>
      <c r="AM52" s="1125">
        <f>AM30+AM46+AM51</f>
        <v/>
      </c>
      <c r="AN52" s="1125">
        <f>AN30+AN46+AN51</f>
        <v/>
      </c>
      <c r="AO52" s="1125">
        <f>AO30+AO46+AO51</f>
        <v/>
      </c>
      <c r="AP52" s="1125">
        <f>AP30+AP46+AP51</f>
        <v/>
      </c>
      <c r="AQ52" s="1125">
        <f>AQ30+AQ46+AQ51</f>
        <v/>
      </c>
      <c r="AR52" s="1125">
        <f>AR30+AR46+AR51</f>
        <v/>
      </c>
      <c r="AS52" s="1125">
        <f>AS30+AS46+AS51</f>
        <v/>
      </c>
      <c r="AT52" s="1125">
        <f>AT30+AT46+AT51</f>
        <v/>
      </c>
      <c r="AU52" s="1125">
        <f>AU30+AU46+AU51</f>
        <v/>
      </c>
      <c r="AV52" s="1125">
        <f>AV30+AV46+AV51</f>
        <v/>
      </c>
      <c r="AW52" s="1125">
        <f>AW30+AW46+AW51</f>
        <v/>
      </c>
      <c r="AX52" s="1125">
        <f>AX30+AX46+AX51</f>
        <v/>
      </c>
      <c r="AY52" s="1125">
        <f>AY30+AY46+AY51</f>
        <v/>
      </c>
      <c r="AZ52" s="1125">
        <f>AZ30+AZ46+AZ51</f>
        <v/>
      </c>
      <c r="BA52" s="1125">
        <f>BA30+BA46+BA51</f>
        <v/>
      </c>
      <c r="BB52" s="1125">
        <f>BB30+BB46+BB51</f>
        <v/>
      </c>
      <c r="BC52" s="1125">
        <f>BC30+BC46+BC51</f>
        <v/>
      </c>
      <c r="BD52" s="1125">
        <f>BD30+BD46+BD51</f>
        <v/>
      </c>
      <c r="BE52" s="1125">
        <f>BE30+BE46+BE51</f>
        <v/>
      </c>
      <c r="BF52" s="1125">
        <f>BF30+BF46+BF51</f>
        <v/>
      </c>
      <c r="BG52" s="1125">
        <f>BG30+BG46+BG51</f>
        <v/>
      </c>
      <c r="BH52" s="1125">
        <f>BH30+BH46+BH51</f>
        <v/>
      </c>
      <c r="BI52" s="1125">
        <f>BI30+BI46+BI51</f>
        <v/>
      </c>
      <c r="BJ52" s="1125">
        <f>BJ30+BJ46+BJ51</f>
        <v/>
      </c>
      <c r="BK52" s="1125">
        <f>BK30+BK46+BK51</f>
        <v/>
      </c>
      <c r="BL52" s="1125">
        <f>BL30+BL46+BL51</f>
        <v/>
      </c>
      <c r="BM52" s="1125">
        <f>BM30+BM46+BM51</f>
        <v/>
      </c>
      <c r="BN52" s="1125">
        <f>BN30+BN46+BN51</f>
        <v/>
      </c>
      <c r="BO52" s="1125">
        <f>BO30+BO46+BO51</f>
        <v/>
      </c>
      <c r="BP52" s="1125">
        <f>BP30+BP46+BP51</f>
        <v/>
      </c>
      <c r="BQ52" s="1126">
        <f>AG52+AJ52+AM52+AP52+AS52+AV52+AY52+BB52+BE52+BH52+BK52+BN52</f>
        <v/>
      </c>
      <c r="BR52" s="1126">
        <f>AH52+AK52+AN52+AQ52+AT52+AW52+AZ52+BC52+BF52+BI52+BL52+BO52</f>
        <v/>
      </c>
      <c r="BS52" s="1126">
        <f>AI52+AL52+AO52+AR52+AU52+AX52+BA52+BD52+BG52+BJ52+BM52+BP52</f>
        <v/>
      </c>
      <c r="BT52" s="1125">
        <f>BT30+BT46+BT51</f>
        <v/>
      </c>
      <c r="BU52" s="1125">
        <f>BU30+BU46+BU51</f>
        <v/>
      </c>
      <c r="BV52" s="1125">
        <f>BV30+BV46+BV51</f>
        <v/>
      </c>
      <c r="BW52" s="1125">
        <f>BW30+BW46+BW51</f>
        <v/>
      </c>
      <c r="BX52" s="1125">
        <f>BX30+BX46+BX51</f>
        <v/>
      </c>
      <c r="BY52" s="1125">
        <f>BY30+BY46+BY51</f>
        <v/>
      </c>
      <c r="BZ52" s="1125">
        <f>BZ30+BZ46+BZ51</f>
        <v/>
      </c>
      <c r="CA52" s="1125">
        <f>CA30+CA46+CA51</f>
        <v/>
      </c>
      <c r="CB52" s="1125">
        <f>CB30+CB46+CB51</f>
        <v/>
      </c>
      <c r="CC52" s="1125">
        <f>CC30+CC46+CC51</f>
        <v/>
      </c>
      <c r="CD52" s="1125">
        <f>CD30+CD46+CD51</f>
        <v/>
      </c>
      <c r="CE52" s="1125">
        <f>CE30+CE46+CE51</f>
        <v/>
      </c>
      <c r="CF52" s="1125">
        <f>CF30+CF46+CF51</f>
        <v/>
      </c>
      <c r="CG52" s="1125">
        <f>CG30+CG46+CG51</f>
        <v/>
      </c>
      <c r="CH52" s="1125">
        <f>CH30+CH46+CH51</f>
        <v/>
      </c>
      <c r="CI52" s="1125">
        <f>CI30+CI46+CI51</f>
        <v/>
      </c>
      <c r="CJ52" s="1125">
        <f>CJ30+CJ46+CJ51</f>
        <v/>
      </c>
      <c r="CK52" s="1125">
        <f>CK30+CK46+CK51</f>
        <v/>
      </c>
      <c r="CL52" s="1125">
        <f>CL30+CL46+CL51</f>
        <v/>
      </c>
      <c r="CM52" s="1125">
        <f>CM30+CM46+CM51</f>
        <v/>
      </c>
      <c r="CN52" s="1125">
        <f>CN30+CN46+CN51</f>
        <v/>
      </c>
      <c r="CO52" s="1125">
        <f>CO30+CO46+CO51</f>
        <v/>
      </c>
      <c r="CP52" s="1125">
        <f>CP30+CP46+CP51</f>
        <v/>
      </c>
      <c r="CQ52" s="1125">
        <f>CQ30+CQ46+CQ51</f>
        <v/>
      </c>
      <c r="CR52" s="1125">
        <f>CR30+CR46+CR51</f>
        <v/>
      </c>
      <c r="CS52" s="1125">
        <f>CS30+CS46+CS51</f>
        <v/>
      </c>
      <c r="CT52" s="1125">
        <f>CT30+CT46+CT51</f>
        <v/>
      </c>
      <c r="CU52" s="1125">
        <f>CU30+CU46+CU51</f>
        <v/>
      </c>
      <c r="CV52" s="1125">
        <f>CV30+CV46+CV51</f>
        <v/>
      </c>
      <c r="CW52" s="1125">
        <f>CW30+CW46+CW51</f>
        <v/>
      </c>
      <c r="CX52" s="1125">
        <f>CX30+CX46+CX51</f>
        <v/>
      </c>
      <c r="CY52" s="1125">
        <f>CY30+CY46+CY51</f>
        <v/>
      </c>
      <c r="CZ52" s="1125">
        <f>CZ30+CZ46+CZ51</f>
        <v/>
      </c>
      <c r="DA52" s="1125">
        <f>DA30+DA46+DA51</f>
        <v/>
      </c>
      <c r="DB52" s="1125">
        <f>DB30+DB46+DB51</f>
        <v/>
      </c>
      <c r="DC52" s="1125">
        <f>DC30+DC46+DC51</f>
        <v/>
      </c>
      <c r="DD52" s="1125">
        <f>DD30+DD46+DD51</f>
        <v/>
      </c>
      <c r="DE52" s="1125">
        <f>DE30+DE46+DE51</f>
        <v/>
      </c>
      <c r="DF52" s="1125">
        <f>DF30+DF46+DF51</f>
        <v/>
      </c>
      <c r="DG52" s="1125">
        <f>DG30+DG46+DG51</f>
        <v/>
      </c>
      <c r="DH52" s="1125">
        <f>DH30+DH46+DH51</f>
        <v/>
      </c>
      <c r="DI52" s="1125">
        <f>DI30+DI46+DI51</f>
        <v/>
      </c>
      <c r="DJ52" s="1125">
        <f>DJ30+DJ46+DJ51</f>
        <v/>
      </c>
      <c r="DK52" s="1125">
        <f>DK30+DK46+DK51</f>
        <v/>
      </c>
      <c r="DL52" s="1125">
        <f>DL30+DL46+DL51</f>
        <v/>
      </c>
      <c r="DM52" s="1125">
        <f>DM30+DM46+DM51</f>
        <v/>
      </c>
      <c r="DN52" s="1125">
        <f>DN30+DN46+DN51</f>
        <v/>
      </c>
      <c r="DO52" s="1125">
        <f>DO30+DO46+DO51</f>
        <v/>
      </c>
      <c r="DP52" s="1127">
        <f>DO52/BV52*100-100</f>
        <v/>
      </c>
      <c r="DQ52" s="1128">
        <f>DO52/BY52*100-100</f>
        <v/>
      </c>
      <c r="DR52" s="820" t="n"/>
    </row>
  </sheetData>
  <autoFilter ref="A3:DR52">
    <filterColumn colId="1" hiddenButton="0" showButton="0"/>
    <filterColumn colId="3" hiddenButton="0" showButton="0"/>
  </autoFilter>
  <mergeCells count="50">
    <mergeCell ref="AG2:AI2"/>
    <mergeCell ref="CX2:CZ2"/>
    <mergeCell ref="BW2:BY2"/>
    <mergeCell ref="A46:F46"/>
    <mergeCell ref="BH2:BJ2"/>
    <mergeCell ref="G2:H2"/>
    <mergeCell ref="B3:C3"/>
    <mergeCell ref="CR2:CT2"/>
    <mergeCell ref="I2:J2"/>
    <mergeCell ref="B47:F47"/>
    <mergeCell ref="DD2:DF2"/>
    <mergeCell ref="CI2:CK2"/>
    <mergeCell ref="DJ2:DL2"/>
    <mergeCell ref="CU2:CW2"/>
    <mergeCell ref="AS2:AU2"/>
    <mergeCell ref="A2:F2"/>
    <mergeCell ref="M2:N2"/>
    <mergeCell ref="S2:T2"/>
    <mergeCell ref="AY2:BA2"/>
    <mergeCell ref="BE2:BG2"/>
    <mergeCell ref="U2:V2"/>
    <mergeCell ref="BT2:BV2"/>
    <mergeCell ref="AP2:AR2"/>
    <mergeCell ref="DA2:DC2"/>
    <mergeCell ref="Y2:Z2"/>
    <mergeCell ref="AE2:AF2"/>
    <mergeCell ref="DG2:DI2"/>
    <mergeCell ref="BQ2:BS2"/>
    <mergeCell ref="DM2:DO2"/>
    <mergeCell ref="BK2:BM2"/>
    <mergeCell ref="A52:F52"/>
    <mergeCell ref="BB2:BD2"/>
    <mergeCell ref="CC2:CE2"/>
    <mergeCell ref="K2:L2"/>
    <mergeCell ref="CO2:CQ2"/>
    <mergeCell ref="BN2:BP2"/>
    <mergeCell ref="A30:F30"/>
    <mergeCell ref="D3:E3"/>
    <mergeCell ref="AM2:AO2"/>
    <mergeCell ref="O2:P2"/>
    <mergeCell ref="A51:F51"/>
    <mergeCell ref="AJ2:AL2"/>
    <mergeCell ref="Q2:R2"/>
    <mergeCell ref="W2:X2"/>
    <mergeCell ref="BZ2:CB2"/>
    <mergeCell ref="CL2:CN2"/>
    <mergeCell ref="AA2:AB2"/>
    <mergeCell ref="AC2:AD2"/>
    <mergeCell ref="CF2:CH2"/>
    <mergeCell ref="AV2:AX2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Z77"/>
  <sheetViews>
    <sheetView zoomScale="80" zoomScaleNormal="80" workbookViewId="0">
      <pane xSplit="58" ySplit="3" topLeftCell="DK40" activePane="bottomRight" state="frozen"/>
      <selection pane="topRight" activeCell="BG1" sqref="BG1"/>
      <selection pane="bottomLeft" activeCell="A4" sqref="A4"/>
      <selection pane="bottomRight" activeCell="ET78" sqref="ET78"/>
    </sheetView>
  </sheetViews>
  <sheetFormatPr baseColWidth="8" defaultColWidth="10.5546875" defaultRowHeight="19.8"/>
  <cols>
    <col width="3.5546875" bestFit="1" customWidth="1" style="40" min="1" max="1"/>
    <col width="27.88671875" bestFit="1" customWidth="1" style="40" min="2" max="2"/>
    <col width="7.44140625" customWidth="1" style="40" min="3" max="3"/>
    <col width="5.33203125" bestFit="1" customWidth="1" style="40" min="4" max="4"/>
    <col width="7.6640625" bestFit="1" customWidth="1" style="40" min="5" max="5"/>
    <col hidden="1" width="5.5546875" customWidth="1" style="40" min="6" max="6"/>
    <col hidden="1" width="8" customWidth="1" style="40" min="7" max="7"/>
    <col hidden="1" width="9" customWidth="1" style="40" min="8" max="8"/>
    <col hidden="1" width="8" customWidth="1" style="40" min="9" max="9"/>
    <col hidden="1" width="8.109375" customWidth="1" style="40" min="10" max="10"/>
    <col hidden="1" width="9.33203125" customWidth="1" style="40" min="11" max="11"/>
    <col hidden="1" width="10.6640625" customWidth="1" style="40" min="12" max="12"/>
    <col hidden="1" width="9.33203125" customWidth="1" style="40" min="13" max="13"/>
    <col hidden="1" width="8.6640625" customWidth="1" style="40" min="14" max="15"/>
    <col hidden="1" width="9.33203125" customWidth="1" style="40" min="16" max="16"/>
    <col hidden="1" width="9.88671875" customWidth="1" style="40" min="17" max="17"/>
    <col hidden="1" width="8.6640625" customWidth="1" style="40" min="18" max="18"/>
    <col hidden="1" width="9.44140625" customWidth="1" style="40" min="19" max="19"/>
    <col hidden="1" width="8.109375" customWidth="1" style="40" min="20" max="20"/>
    <col hidden="1" width="9" customWidth="1" style="40" min="21" max="21"/>
    <col hidden="1" width="7.6640625" customWidth="1" style="40" min="22" max="22"/>
    <col hidden="1" width="8.6640625" customWidth="1" style="40" min="23" max="23"/>
    <col hidden="1" width="8.109375" customWidth="1" style="40" min="24" max="24"/>
    <col hidden="1" width="8.88671875" customWidth="1" style="40" min="25" max="25"/>
    <col hidden="1" width="8" customWidth="1" style="40" min="26" max="26"/>
    <col hidden="1" width="7.6640625" customWidth="1" style="40" min="27" max="27"/>
    <col hidden="1" width="9.6640625" customWidth="1" style="40" min="28" max="28"/>
    <col hidden="1" width="7.88671875" customWidth="1" style="40" min="29" max="29"/>
    <col hidden="1" width="8.33203125" customWidth="1" style="40" min="30" max="30"/>
    <col hidden="1" width="8.109375" customWidth="1" style="40" min="31" max="31"/>
    <col hidden="1" width="9.5546875" customWidth="1" style="40" min="32" max="32"/>
    <col hidden="1" width="9.109375" customWidth="1" style="40" min="33" max="33"/>
    <col hidden="1" width="8.109375" customWidth="1" style="40" min="34" max="34"/>
    <col hidden="1" width="9.6640625" customWidth="1" style="40" min="35" max="35"/>
    <col hidden="1" width="7.6640625" customWidth="1" style="40" min="36" max="38"/>
    <col hidden="1" width="8.33203125" customWidth="1" style="40" min="39" max="39"/>
    <col hidden="1" width="8.44140625" customWidth="1" style="40" min="40" max="40"/>
    <col hidden="1" width="8.5546875" customWidth="1" style="40" min="41" max="41"/>
    <col hidden="1" width="9.109375" customWidth="1" style="40" min="42" max="42"/>
    <col hidden="1" width="7.88671875" customWidth="1" style="40" min="43" max="43"/>
    <col hidden="1" width="8.33203125" customWidth="1" style="40" min="44" max="44"/>
    <col hidden="1" width="8.6640625" customWidth="1" style="40" min="45" max="45"/>
    <col hidden="1" width="8.44140625" customWidth="1" style="40" min="46" max="46"/>
    <col hidden="1" width="9.5546875" customWidth="1" style="40" min="47" max="47"/>
    <col hidden="1" width="8.44140625" customWidth="1" style="40" min="48" max="49"/>
    <col hidden="1" width="8.6640625" customWidth="1" style="40" min="50" max="50"/>
    <col hidden="1" width="8.88671875" customWidth="1" style="40" min="51" max="51"/>
    <col hidden="1" width="8.6640625" customWidth="1" style="40" min="52" max="52"/>
    <col hidden="1" width="9.33203125" customWidth="1" style="40" min="53" max="53"/>
    <col hidden="1" width="10.109375" customWidth="1" style="40" min="54" max="55"/>
    <col hidden="1" width="9.33203125" customWidth="1" style="40" min="56" max="56"/>
    <col hidden="1" width="12.5546875" customWidth="1" style="40" min="57" max="57"/>
    <col hidden="1" width="10.88671875" customWidth="1" style="40" min="58" max="58"/>
    <col hidden="1" width="9.109375" customWidth="1" style="40" min="59" max="59"/>
    <col hidden="1" width="8" customWidth="1" style="40" min="60" max="60"/>
    <col hidden="1" width="9.44140625" customWidth="1" style="40" min="61" max="61"/>
    <col hidden="1" width="9.6640625" customWidth="1" style="40" min="62" max="62"/>
    <col hidden="1" width="8.88671875" customWidth="1" style="40" min="63" max="63"/>
    <col hidden="1" width="10.33203125" customWidth="1" style="40" min="64" max="64"/>
    <col hidden="1" width="9.33203125" customWidth="1" style="40" min="65" max="65"/>
    <col hidden="1" width="8.5546875" customWidth="1" style="40" min="66" max="66"/>
    <col hidden="1" width="9.6640625" customWidth="1" style="40" min="67" max="67"/>
    <col hidden="1" width="9.5546875" customWidth="1" style="40" min="68" max="69"/>
    <col hidden="1" width="9" customWidth="1" style="40" min="70" max="70"/>
    <col hidden="1" width="8.88671875" customWidth="1" style="40" min="71" max="71"/>
    <col hidden="1" width="9.44140625" customWidth="1" style="40" min="72" max="72"/>
    <col hidden="1" width="11" customWidth="1" style="40" min="73" max="73"/>
    <col hidden="1" width="8.109375" customWidth="1" style="40" min="74" max="74"/>
    <col hidden="1" width="9.33203125" customWidth="1" style="40" min="75" max="75"/>
    <col hidden="1" width="9.109375" customWidth="1" style="40" min="76" max="76"/>
    <col hidden="1" width="8.44140625" customWidth="1" style="40" min="77" max="77"/>
    <col hidden="1" width="9.5546875" customWidth="1" style="40" min="78" max="78"/>
    <col hidden="1" width="9.44140625" customWidth="1" style="40" min="79" max="80"/>
    <col hidden="1" width="9.109375" customWidth="1" style="40" min="81" max="81"/>
    <col hidden="1" width="8.88671875" customWidth="1" style="40" min="82" max="82"/>
    <col hidden="1" width="9.5546875" customWidth="1" style="40" min="83" max="84"/>
    <col hidden="1" width="10.88671875" customWidth="1" style="40" min="85" max="85"/>
    <col hidden="1" width="9.88671875" customWidth="1" style="40" min="86" max="86"/>
    <col hidden="1" width="14" customWidth="1" style="42" min="87" max="87"/>
    <col hidden="1" width="13.88671875" customWidth="1" style="42" min="88" max="88"/>
    <col hidden="1" width="9.88671875" customWidth="1" style="1" min="89" max="89"/>
    <col hidden="1" width="9.5546875" customWidth="1" style="969" min="90" max="90"/>
    <col hidden="1" width="10.33203125" customWidth="1" style="1" min="91" max="91"/>
    <col hidden="1" width="11.33203125" customWidth="1" style="42" min="92" max="92"/>
    <col hidden="1" width="9.6640625" customWidth="1" style="1" min="93" max="93"/>
    <col hidden="1" width="12" customWidth="1" style="42" min="94" max="94"/>
    <col hidden="1" width="10.109375" customWidth="1" style="1" min="95" max="95"/>
    <col hidden="1" width="12.6640625" customWidth="1" style="42" min="96" max="96"/>
    <col hidden="1" width="11.33203125" customWidth="1" style="1" min="97" max="97"/>
    <col hidden="1" width="12" customWidth="1" style="42" min="98" max="98"/>
    <col hidden="1" width="9" customWidth="1" style="1" min="99" max="99"/>
    <col hidden="1" width="11.109375" customWidth="1" style="42" min="100" max="100"/>
    <col hidden="1" width="8.6640625" customWidth="1" style="1" min="101" max="101"/>
    <col hidden="1" width="10.6640625" customWidth="1" style="42" min="102" max="102"/>
    <col hidden="1" width="11.109375" customWidth="1" style="1" min="103" max="103"/>
    <col hidden="1" width="10.88671875" customWidth="1" style="42" min="104" max="104"/>
    <col hidden="1" width="10.109375" customWidth="1" style="1" min="105" max="105"/>
    <col hidden="1" width="10.33203125" customWidth="1" style="42" min="106" max="106"/>
    <col hidden="1" width="8.33203125" customWidth="1" style="1" min="107" max="107"/>
    <col hidden="1" width="10.109375" customWidth="1" style="42" min="108" max="108"/>
    <col hidden="1" width="9.6640625" customWidth="1" style="1" min="109" max="109"/>
    <col hidden="1" width="10.6640625" customWidth="1" style="42" min="110" max="110"/>
    <col hidden="1" width="10" customWidth="1" style="1" min="111" max="111"/>
    <col hidden="1" width="11.44140625" customWidth="1" style="42" min="112" max="112"/>
    <col hidden="1" width="11" customWidth="1" style="1" min="113" max="113"/>
    <col hidden="1" width="11.33203125" customWidth="1" style="42" min="114" max="114"/>
    <col width="11.33203125" customWidth="1" style="42" min="115" max="116"/>
    <col width="10.5546875" customWidth="1" style="1" min="117" max="118"/>
    <col width="14.109375" customWidth="1" style="1" min="119" max="119"/>
    <col hidden="1" width="9.88671875" customWidth="1" style="1" min="120" max="120"/>
    <col hidden="1" width="9.5546875" customWidth="1" style="969" min="121" max="121"/>
    <col hidden="1" width="10.33203125" customWidth="1" style="1" min="122" max="122"/>
    <col hidden="1" width="11.33203125" customWidth="1" style="42" min="123" max="123"/>
    <col hidden="1" width="9.6640625" customWidth="1" style="1" min="124" max="124"/>
    <col hidden="1" width="12" customWidth="1" style="42" min="125" max="125"/>
    <col hidden="1" width="10.109375" customWidth="1" style="1" min="126" max="126"/>
    <col hidden="1" width="12.6640625" customWidth="1" style="42" min="127" max="127"/>
    <col hidden="1" width="11.33203125" customWidth="1" style="1" min="128" max="128"/>
    <col hidden="1" width="12" customWidth="1" style="42" min="129" max="129"/>
    <col hidden="1" width="9" customWidth="1" style="1" min="130" max="130"/>
    <col hidden="1" width="11.109375" customWidth="1" style="42" min="131" max="131"/>
    <col hidden="1" width="8.6640625" customWidth="1" style="1" min="132" max="132"/>
    <col hidden="1" width="10.6640625" customWidth="1" style="42" min="133" max="133"/>
    <col hidden="1" width="11.109375" customWidth="1" style="1" min="134" max="134"/>
    <col hidden="1" width="10.88671875" customWidth="1" style="42" min="135" max="135"/>
    <col hidden="1" width="10.109375" customWidth="1" style="1" min="136" max="136"/>
    <col hidden="1" width="10.33203125" customWidth="1" style="42" min="137" max="137"/>
    <col hidden="1" width="8.33203125" customWidth="1" style="1" min="138" max="138"/>
    <col hidden="1" width="10.109375" customWidth="1" style="42" min="139" max="139"/>
    <col hidden="1" width="9.6640625" customWidth="1" style="1" min="140" max="140"/>
    <col hidden="1" width="10.6640625" customWidth="1" style="42" min="141" max="141"/>
    <col hidden="1" width="10" customWidth="1" style="1" min="142" max="142"/>
    <col hidden="1" width="11.44140625" customWidth="1" style="42" min="143" max="143"/>
    <col hidden="1" width="11" customWidth="1" style="1" min="144" max="144"/>
    <col hidden="1" width="11.33203125" customWidth="1" style="42" min="145" max="145"/>
    <col width="10.5546875" customWidth="1" style="1" min="146" max="148"/>
    <col width="12" customWidth="1" style="1" min="149" max="149"/>
    <col width="20.5546875" customWidth="1" style="1" min="150" max="150"/>
    <col width="21.5546875" customWidth="1" style="1" min="151" max="151"/>
    <col width="13.88671875" customWidth="1" style="1" min="152" max="152"/>
    <col width="13.44140625" customWidth="1" style="1" min="153" max="153"/>
    <col width="12.6640625" customWidth="1" style="1" min="154" max="155"/>
    <col width="18" customWidth="1" style="1" min="156" max="156"/>
    <col width="10.5546875" customWidth="1" style="1" min="157" max="16384"/>
  </cols>
  <sheetData>
    <row r="1" ht="17.25" customHeight="1">
      <c r="A1" s="830" t="inlineStr">
        <is>
          <t>MTL</t>
        </is>
      </c>
      <c r="B1" s="970" t="n"/>
      <c r="C1" s="970" t="n"/>
      <c r="D1" s="970" t="n"/>
      <c r="E1" s="970" t="n"/>
      <c r="F1" s="971" t="n"/>
      <c r="G1" s="830" t="n"/>
      <c r="H1" s="830" t="n"/>
      <c r="I1" s="830" t="n"/>
      <c r="J1" s="830" t="n"/>
      <c r="K1" s="830" t="n"/>
      <c r="L1" s="830" t="n"/>
      <c r="M1" s="830" t="n"/>
      <c r="N1" s="830" t="n"/>
      <c r="O1" s="830" t="n"/>
      <c r="P1" s="830" t="n"/>
      <c r="Q1" s="830" t="n"/>
      <c r="R1" s="830" t="n"/>
      <c r="S1" s="830" t="n"/>
      <c r="T1" s="830" t="n"/>
      <c r="U1" s="830" t="n"/>
      <c r="V1" s="830" t="n"/>
      <c r="W1" s="830" t="n"/>
      <c r="X1" s="830" t="n"/>
      <c r="Y1" s="830" t="n"/>
      <c r="Z1" s="830" t="n"/>
      <c r="AA1" s="830" t="n"/>
      <c r="AB1" s="830" t="n"/>
      <c r="AC1" s="830" t="n"/>
      <c r="AD1" s="830" t="n"/>
      <c r="AE1" s="830" t="n"/>
      <c r="AF1" s="830" t="n"/>
      <c r="AG1" s="830" t="n"/>
      <c r="AH1" s="830" t="n"/>
      <c r="AI1" s="830" t="n"/>
      <c r="AJ1" s="830" t="n"/>
      <c r="AK1" s="830" t="n"/>
      <c r="AL1" s="830" t="n"/>
      <c r="AM1" s="830" t="n"/>
      <c r="AN1" s="830" t="n"/>
      <c r="AO1" s="830" t="n"/>
      <c r="AP1" s="830" t="n"/>
      <c r="AQ1" s="830" t="n"/>
      <c r="AR1" s="830" t="n"/>
      <c r="AS1" s="830" t="n"/>
      <c r="AT1" s="830" t="n"/>
      <c r="AU1" s="830" t="n"/>
      <c r="AV1" s="830" t="n"/>
      <c r="AW1" s="830" t="n"/>
      <c r="AX1" s="830" t="n"/>
      <c r="AY1" s="830" t="n"/>
      <c r="AZ1" s="830" t="n"/>
      <c r="BA1" s="830" t="n"/>
      <c r="BB1" s="830" t="n"/>
      <c r="BC1" s="830" t="n"/>
      <c r="BD1" s="830" t="n"/>
      <c r="BE1" s="830" t="n"/>
      <c r="BF1" s="830" t="n"/>
      <c r="BG1" s="830" t="n">
        <v>0</v>
      </c>
      <c r="BH1" s="830" t="n"/>
      <c r="BI1" s="830" t="n"/>
      <c r="BJ1" s="830" t="n"/>
      <c r="BK1" s="830" t="n"/>
      <c r="BL1" s="830" t="n"/>
      <c r="BM1" s="830" t="n"/>
      <c r="BN1" s="830" t="n"/>
      <c r="BO1" s="830" t="n"/>
      <c r="BP1" s="830" t="n"/>
      <c r="BQ1" s="830" t="n"/>
      <c r="BR1" s="830" t="n"/>
      <c r="BS1" s="830" t="n"/>
      <c r="BT1" s="830" t="n"/>
      <c r="BU1" s="830" t="n"/>
      <c r="BV1" s="830" t="n"/>
      <c r="BW1" s="830" t="n"/>
      <c r="BX1" s="830" t="n"/>
      <c r="BY1" s="830" t="n"/>
      <c r="BZ1" s="830" t="n"/>
      <c r="CA1" s="830" t="n"/>
      <c r="CB1" s="830" t="n"/>
      <c r="CC1" s="830" t="n"/>
      <c r="CD1" s="830" t="n"/>
      <c r="CE1" s="830" t="n"/>
      <c r="CF1" s="830" t="n"/>
      <c r="CG1" s="830" t="n"/>
      <c r="CH1" s="830" t="n"/>
      <c r="CI1" s="222" t="n"/>
      <c r="CJ1" s="222" t="n"/>
      <c r="CK1" s="222" t="n"/>
      <c r="CL1" s="222" t="n"/>
      <c r="CM1" s="222" t="n"/>
      <c r="CN1" s="222" t="n"/>
      <c r="CO1" s="222" t="n"/>
      <c r="CP1" s="222" t="n"/>
      <c r="CQ1" s="222" t="n"/>
      <c r="CR1" s="222" t="n"/>
      <c r="CS1" s="222" t="n"/>
      <c r="CT1" s="222" t="n"/>
      <c r="CU1" s="222" t="n"/>
      <c r="CV1" s="222" t="n"/>
      <c r="CW1" s="222" t="n"/>
      <c r="CX1" s="222" t="n"/>
      <c r="CY1" s="222" t="n"/>
      <c r="CZ1" s="222" t="n"/>
      <c r="DA1" s="222" t="n"/>
      <c r="DB1" s="222" t="n"/>
      <c r="DC1" s="222" t="n"/>
      <c r="DD1" s="222" t="n"/>
      <c r="DE1" s="222" t="n"/>
      <c r="DF1" s="222" t="n"/>
      <c r="DG1" s="222" t="n"/>
      <c r="DH1" s="222" t="n"/>
      <c r="DI1" s="222" t="n"/>
      <c r="DJ1" s="222" t="n"/>
      <c r="DK1" s="222" t="n"/>
      <c r="DL1" s="222" t="n"/>
      <c r="DM1" s="47" t="n"/>
      <c r="DN1" s="47" t="n"/>
      <c r="DO1" s="47" t="n"/>
      <c r="DP1" s="222" t="n"/>
      <c r="DQ1" s="222" t="n"/>
      <c r="DR1" s="222" t="n"/>
      <c r="DS1" s="222" t="n"/>
      <c r="DT1" s="222" t="n"/>
      <c r="DU1" s="222" t="n"/>
      <c r="DV1" s="222" t="n"/>
      <c r="DW1" s="222" t="n"/>
      <c r="DX1" s="222" t="n"/>
      <c r="DY1" s="222" t="n"/>
      <c r="DZ1" s="222" t="n"/>
      <c r="EA1" s="222" t="n"/>
      <c r="EB1" s="222" t="n"/>
      <c r="EC1" s="222" t="n"/>
      <c r="ED1" s="222" t="n"/>
      <c r="EE1" s="222" t="n"/>
      <c r="EF1" s="222" t="n"/>
      <c r="EG1" s="222" t="n"/>
      <c r="EH1" s="222" t="n"/>
      <c r="EI1" s="222" t="n"/>
      <c r="EJ1" s="222" t="n"/>
      <c r="EK1" s="222" t="n"/>
      <c r="EL1" s="222" t="n"/>
      <c r="EM1" s="222" t="n"/>
      <c r="EN1" s="222" t="n"/>
      <c r="EO1" s="222" t="n"/>
      <c r="EP1" s="47" t="n"/>
      <c r="EQ1" s="47" t="n"/>
      <c r="ER1" s="47" t="n"/>
      <c r="ES1" s="518" t="n"/>
      <c r="ET1" s="876" t="inlineStr">
        <is>
          <t>Growth Over Last Year</t>
        </is>
      </c>
      <c r="EU1" s="971" t="n"/>
      <c r="EV1" s="875" t="inlineStr">
        <is>
          <t>Monthly GAP</t>
        </is>
      </c>
      <c r="EW1" s="970" t="n"/>
      <c r="EX1" s="970" t="n"/>
      <c r="EY1" s="971" t="n"/>
      <c r="EZ1" s="875" t="inlineStr">
        <is>
          <t>Actual Sales Gain/ Loss in Carton (last 2 Months)</t>
        </is>
      </c>
    </row>
    <row r="2" ht="18.75" customHeight="1">
      <c r="A2" s="831" t="inlineStr">
        <is>
          <t>Sr.</t>
        </is>
      </c>
      <c r="B2" s="831" t="inlineStr">
        <is>
          <t xml:space="preserve">Product Name </t>
        </is>
      </c>
      <c r="C2" s="831" t="n"/>
      <c r="D2" s="829" t="inlineStr">
        <is>
          <t>ML</t>
        </is>
      </c>
      <c r="E2" s="829" t="inlineStr">
        <is>
          <t xml:space="preserve">Packing </t>
        </is>
      </c>
      <c r="F2" s="829" t="inlineStr">
        <is>
          <t>Sales Price</t>
        </is>
      </c>
      <c r="G2" s="827" t="n">
        <v>44562</v>
      </c>
      <c r="H2" s="971" t="n"/>
      <c r="I2" s="827" t="n">
        <v>44593</v>
      </c>
      <c r="J2" s="971" t="n"/>
      <c r="K2" s="827" t="n">
        <v>44621</v>
      </c>
      <c r="L2" s="971" t="n"/>
      <c r="M2" s="827" t="n">
        <v>44652</v>
      </c>
      <c r="N2" s="971" t="n"/>
      <c r="O2" s="827" t="n">
        <v>44682</v>
      </c>
      <c r="P2" s="971" t="n"/>
      <c r="Q2" s="827" t="n">
        <v>44713</v>
      </c>
      <c r="R2" s="971" t="n"/>
      <c r="S2" s="827" t="n">
        <v>44743</v>
      </c>
      <c r="T2" s="971" t="n"/>
      <c r="U2" s="827" t="n">
        <v>44774</v>
      </c>
      <c r="V2" s="971" t="n"/>
      <c r="W2" s="827" t="n">
        <v>44805</v>
      </c>
      <c r="X2" s="971" t="n"/>
      <c r="Y2" s="827" t="n">
        <v>44835</v>
      </c>
      <c r="Z2" s="971" t="n"/>
      <c r="AA2" s="827" t="n">
        <v>44866</v>
      </c>
      <c r="AB2" s="971" t="n"/>
      <c r="AC2" s="827" t="n">
        <v>44896</v>
      </c>
      <c r="AD2" s="971" t="n"/>
      <c r="AE2" s="828" t="inlineStr">
        <is>
          <t>2022 Average</t>
        </is>
      </c>
      <c r="AF2" s="971" t="n"/>
      <c r="AG2" s="827" t="n">
        <v>44927</v>
      </c>
      <c r="AH2" s="971" t="n"/>
      <c r="AI2" s="827" t="n">
        <v>44958</v>
      </c>
      <c r="AJ2" s="971" t="n"/>
      <c r="AK2" s="827" t="n">
        <v>44986</v>
      </c>
      <c r="AL2" s="971" t="n"/>
      <c r="AM2" s="827" t="n">
        <v>45017</v>
      </c>
      <c r="AN2" s="971" t="n"/>
      <c r="AO2" s="827" t="n">
        <v>45047</v>
      </c>
      <c r="AP2" s="971" t="n"/>
      <c r="AQ2" s="827" t="n">
        <v>45078</v>
      </c>
      <c r="AR2" s="971" t="n"/>
      <c r="AS2" s="827" t="n">
        <v>45108</v>
      </c>
      <c r="AT2" s="971" t="n"/>
      <c r="AU2" s="827" t="n">
        <v>45139</v>
      </c>
      <c r="AV2" s="971" t="n"/>
      <c r="AW2" s="827" t="n">
        <v>45170</v>
      </c>
      <c r="AX2" s="971" t="n"/>
      <c r="AY2" s="827" t="n">
        <v>45200</v>
      </c>
      <c r="AZ2" s="971" t="n"/>
      <c r="BA2" s="827" t="n">
        <v>45231</v>
      </c>
      <c r="BB2" s="971" t="n"/>
      <c r="BC2" s="827" t="n">
        <v>45261</v>
      </c>
      <c r="BD2" s="971" t="n"/>
      <c r="BE2" s="828" t="inlineStr">
        <is>
          <t>2023 Average</t>
        </is>
      </c>
      <c r="BF2" s="971" t="n"/>
      <c r="BG2" s="827" t="n">
        <v>45292</v>
      </c>
      <c r="BH2" s="971" t="n"/>
      <c r="BI2" s="827" t="n">
        <v>45323</v>
      </c>
      <c r="BJ2" s="971" t="n"/>
      <c r="BK2" s="827" t="n">
        <v>45352</v>
      </c>
      <c r="BL2" s="971" t="n"/>
      <c r="BM2" s="827" t="n">
        <v>45383</v>
      </c>
      <c r="BN2" s="971" t="n"/>
      <c r="BO2" s="827" t="n">
        <v>45413</v>
      </c>
      <c r="BP2" s="971" t="n"/>
      <c r="BQ2" s="827" t="n">
        <v>45444</v>
      </c>
      <c r="BR2" s="971" t="n"/>
      <c r="BS2" s="827" t="n">
        <v>45474</v>
      </c>
      <c r="BT2" s="971" t="n"/>
      <c r="BU2" s="827" t="n">
        <v>45505</v>
      </c>
      <c r="BV2" s="971" t="n"/>
      <c r="BW2" s="827" t="n">
        <v>45536</v>
      </c>
      <c r="BX2" s="971" t="n"/>
      <c r="BY2" s="827" t="n">
        <v>45566</v>
      </c>
      <c r="BZ2" s="971" t="n"/>
      <c r="CA2" s="827" t="n">
        <v>45597</v>
      </c>
      <c r="CB2" s="971" t="n"/>
      <c r="CC2" s="827" t="n">
        <v>45627</v>
      </c>
      <c r="CD2" s="971" t="n"/>
      <c r="CE2" s="827" t="inlineStr">
        <is>
          <t>Jan-Nov AVG 2024</t>
        </is>
      </c>
      <c r="CF2" s="971" t="n"/>
      <c r="CG2" s="828" t="inlineStr">
        <is>
          <t>Jan- Dec 2024 Average</t>
        </is>
      </c>
      <c r="CH2" s="971" t="n"/>
      <c r="CI2" s="834" t="inlineStr">
        <is>
          <t>Contribution</t>
        </is>
      </c>
      <c r="CJ2" s="834" t="inlineStr">
        <is>
          <t>Fly. Contribution</t>
        </is>
      </c>
      <c r="CK2" s="827" t="n">
        <v>45658</v>
      </c>
      <c r="CL2" s="971" t="n"/>
      <c r="CM2" s="827" t="n">
        <v>45689</v>
      </c>
      <c r="CN2" s="971" t="n"/>
      <c r="CO2" s="827" t="n">
        <v>45717</v>
      </c>
      <c r="CP2" s="971" t="n"/>
      <c r="CQ2" s="827" t="n">
        <v>45748</v>
      </c>
      <c r="CR2" s="971" t="n"/>
      <c r="CS2" s="827" t="n">
        <v>45778</v>
      </c>
      <c r="CT2" s="971" t="n"/>
      <c r="CU2" s="827" t="n">
        <v>45809</v>
      </c>
      <c r="CV2" s="971" t="n"/>
      <c r="CW2" s="827" t="n">
        <v>45839</v>
      </c>
      <c r="CX2" s="971" t="n"/>
      <c r="CY2" s="827" t="n">
        <v>45870</v>
      </c>
      <c r="CZ2" s="971" t="n"/>
      <c r="DA2" s="827" t="n">
        <v>45901</v>
      </c>
      <c r="DB2" s="971" t="n"/>
      <c r="DC2" s="827" t="n">
        <v>45931</v>
      </c>
      <c r="DD2" s="971" t="n"/>
      <c r="DE2" s="827" t="n">
        <v>45962</v>
      </c>
      <c r="DF2" s="971" t="n"/>
      <c r="DG2" s="827" t="n">
        <v>45992</v>
      </c>
      <c r="DH2" s="971" t="n"/>
      <c r="DI2" s="834" t="inlineStr">
        <is>
          <t>2025 Total</t>
        </is>
      </c>
      <c r="DJ2" s="971" t="n"/>
      <c r="DK2" s="834" t="inlineStr">
        <is>
          <t>Jan-Feb AVG 2025</t>
        </is>
      </c>
      <c r="DL2" s="971" t="n"/>
      <c r="DM2" s="834" t="inlineStr">
        <is>
          <t>Jan-Dec AVG 2025</t>
        </is>
      </c>
      <c r="DN2" s="971" t="n"/>
      <c r="DO2" s="47" t="n"/>
      <c r="DP2" s="827" t="n">
        <v>46023</v>
      </c>
      <c r="DQ2" s="971" t="n"/>
      <c r="DR2" s="827" t="n">
        <v>46054</v>
      </c>
      <c r="DS2" s="971" t="n"/>
      <c r="DT2" s="827" t="n">
        <v>46082</v>
      </c>
      <c r="DU2" s="971" t="n"/>
      <c r="DV2" s="827" t="n">
        <v>46113</v>
      </c>
      <c r="DW2" s="971" t="n"/>
      <c r="DX2" s="827" t="n">
        <v>46143</v>
      </c>
      <c r="DY2" s="971" t="n"/>
      <c r="DZ2" s="827" t="n">
        <v>46174</v>
      </c>
      <c r="EA2" s="971" t="n"/>
      <c r="EB2" s="827" t="n">
        <v>46204</v>
      </c>
      <c r="EC2" s="971" t="n"/>
      <c r="ED2" s="827" t="n">
        <v>46235</v>
      </c>
      <c r="EE2" s="971" t="n"/>
      <c r="EF2" s="827" t="n">
        <v>46266</v>
      </c>
      <c r="EG2" s="971" t="n"/>
      <c r="EH2" s="827" t="n">
        <v>46296</v>
      </c>
      <c r="EI2" s="971" t="n"/>
      <c r="EJ2" s="827" t="n">
        <v>46327</v>
      </c>
      <c r="EK2" s="971" t="n"/>
      <c r="EL2" s="827" t="n">
        <v>46357</v>
      </c>
      <c r="EM2" s="971" t="n"/>
      <c r="EN2" s="834" t="inlineStr">
        <is>
          <t>2026 Total</t>
        </is>
      </c>
      <c r="EO2" s="971" t="n"/>
      <c r="EP2" s="834" t="inlineStr">
        <is>
          <t>Jan-Feb AVG 2026</t>
        </is>
      </c>
      <c r="EQ2" s="971" t="n"/>
      <c r="ER2" s="834" t="n"/>
      <c r="ES2" s="877" t="inlineStr">
        <is>
          <t>SKU Wise Difference</t>
        </is>
      </c>
      <c r="ET2" s="519" t="inlineStr">
        <is>
          <t>GOLY Jan-Feb 25 Vs 26</t>
        </is>
      </c>
      <c r="EU2" s="519" t="inlineStr">
        <is>
          <t>GOLY Jan-Dec 25 Vs 26</t>
        </is>
      </c>
      <c r="EV2" s="875" t="inlineStr">
        <is>
          <t>Litre Wise Difference</t>
        </is>
      </c>
      <c r="EW2" s="971" t="n"/>
      <c r="EX2" s="520" t="inlineStr">
        <is>
          <t>Carton (14Pcs) wise Difference</t>
        </is>
      </c>
      <c r="EY2" s="520" t="n"/>
      <c r="EZ2" s="972" t="n"/>
    </row>
    <row r="3" ht="18.75" customHeight="1">
      <c r="A3" s="973" t="n"/>
      <c r="B3" s="973" t="n"/>
      <c r="C3" s="973" t="n"/>
      <c r="D3" s="973" t="n"/>
      <c r="E3" s="973" t="n"/>
      <c r="F3" s="973" t="n"/>
      <c r="G3" s="827" t="inlineStr">
        <is>
          <t>Bot</t>
        </is>
      </c>
      <c r="H3" s="3" t="inlineStr">
        <is>
          <t>Lit</t>
        </is>
      </c>
      <c r="I3" s="827" t="inlineStr">
        <is>
          <t>Bot</t>
        </is>
      </c>
      <c r="J3" s="3" t="inlineStr">
        <is>
          <t>Lit</t>
        </is>
      </c>
      <c r="K3" s="827" t="inlineStr">
        <is>
          <t>Bot</t>
        </is>
      </c>
      <c r="L3" s="3" t="inlineStr">
        <is>
          <t>Lit</t>
        </is>
      </c>
      <c r="M3" s="827" t="inlineStr">
        <is>
          <t>Bot</t>
        </is>
      </c>
      <c r="N3" s="3" t="inlineStr">
        <is>
          <t>Lit</t>
        </is>
      </c>
      <c r="O3" s="827" t="inlineStr">
        <is>
          <t>Bot</t>
        </is>
      </c>
      <c r="P3" s="3" t="inlineStr">
        <is>
          <t>Lit</t>
        </is>
      </c>
      <c r="Q3" s="827" t="inlineStr">
        <is>
          <t>Bot</t>
        </is>
      </c>
      <c r="R3" s="3" t="inlineStr">
        <is>
          <t>Lit</t>
        </is>
      </c>
      <c r="S3" s="827" t="inlineStr">
        <is>
          <t>Bot</t>
        </is>
      </c>
      <c r="T3" s="3" t="inlineStr">
        <is>
          <t>Lit</t>
        </is>
      </c>
      <c r="U3" s="827" t="inlineStr">
        <is>
          <t>Bot</t>
        </is>
      </c>
      <c r="V3" s="3" t="inlineStr">
        <is>
          <t>Lit</t>
        </is>
      </c>
      <c r="W3" s="827" t="inlineStr">
        <is>
          <t>Bot</t>
        </is>
      </c>
      <c r="X3" s="3" t="inlineStr">
        <is>
          <t>Lit</t>
        </is>
      </c>
      <c r="Y3" s="827" t="inlineStr">
        <is>
          <t>Bot</t>
        </is>
      </c>
      <c r="Z3" s="3" t="inlineStr">
        <is>
          <t>Lit</t>
        </is>
      </c>
      <c r="AA3" s="827" t="inlineStr">
        <is>
          <t>Bot</t>
        </is>
      </c>
      <c r="AB3" s="3" t="inlineStr">
        <is>
          <t>Lit</t>
        </is>
      </c>
      <c r="AC3" s="827" t="inlineStr">
        <is>
          <t>Bot</t>
        </is>
      </c>
      <c r="AD3" s="3" t="inlineStr">
        <is>
          <t>Lit</t>
        </is>
      </c>
      <c r="AE3" s="828" t="inlineStr">
        <is>
          <t>Bot</t>
        </is>
      </c>
      <c r="AF3" s="5" t="inlineStr">
        <is>
          <t>Lit</t>
        </is>
      </c>
      <c r="AG3" s="827" t="inlineStr">
        <is>
          <t>Bot</t>
        </is>
      </c>
      <c r="AH3" s="3" t="inlineStr">
        <is>
          <t>Lit</t>
        </is>
      </c>
      <c r="AI3" s="827" t="inlineStr">
        <is>
          <t>Bot</t>
        </is>
      </c>
      <c r="AJ3" s="3" t="inlineStr">
        <is>
          <t>Lit</t>
        </is>
      </c>
      <c r="AK3" s="827" t="inlineStr">
        <is>
          <t>Bot</t>
        </is>
      </c>
      <c r="AL3" s="3" t="inlineStr">
        <is>
          <t>Lit</t>
        </is>
      </c>
      <c r="AM3" s="827" t="inlineStr">
        <is>
          <t>Bot</t>
        </is>
      </c>
      <c r="AN3" s="3" t="inlineStr">
        <is>
          <t>Lit</t>
        </is>
      </c>
      <c r="AO3" s="827" t="inlineStr">
        <is>
          <t>Bot</t>
        </is>
      </c>
      <c r="AP3" s="3" t="inlineStr">
        <is>
          <t>Lit</t>
        </is>
      </c>
      <c r="AQ3" s="827" t="inlineStr">
        <is>
          <t>Bot</t>
        </is>
      </c>
      <c r="AR3" s="3" t="inlineStr">
        <is>
          <t>Lit</t>
        </is>
      </c>
      <c r="AS3" s="827" t="inlineStr">
        <is>
          <t>Bot</t>
        </is>
      </c>
      <c r="AT3" s="3" t="inlineStr">
        <is>
          <t>Lit</t>
        </is>
      </c>
      <c r="AU3" s="827" t="inlineStr">
        <is>
          <t>Bot</t>
        </is>
      </c>
      <c r="AV3" s="3" t="inlineStr">
        <is>
          <t>Lit</t>
        </is>
      </c>
      <c r="AW3" s="827" t="inlineStr">
        <is>
          <t>Bot</t>
        </is>
      </c>
      <c r="AX3" s="3" t="inlineStr">
        <is>
          <t>Lit</t>
        </is>
      </c>
      <c r="AY3" s="827" t="inlineStr">
        <is>
          <t>Bot</t>
        </is>
      </c>
      <c r="AZ3" s="3" t="inlineStr">
        <is>
          <t>Lit</t>
        </is>
      </c>
      <c r="BA3" s="827" t="inlineStr">
        <is>
          <t>Bot</t>
        </is>
      </c>
      <c r="BB3" s="3" t="inlineStr">
        <is>
          <t>Lit</t>
        </is>
      </c>
      <c r="BC3" s="827" t="inlineStr">
        <is>
          <t>Bot</t>
        </is>
      </c>
      <c r="BD3" s="3" t="inlineStr">
        <is>
          <t>Lit</t>
        </is>
      </c>
      <c r="BE3" s="828" t="inlineStr">
        <is>
          <t>Bot</t>
        </is>
      </c>
      <c r="BF3" s="5" t="inlineStr">
        <is>
          <t>Lit</t>
        </is>
      </c>
      <c r="BG3" s="827" t="inlineStr">
        <is>
          <t>Bot</t>
        </is>
      </c>
      <c r="BH3" s="3" t="inlineStr">
        <is>
          <t>Lit</t>
        </is>
      </c>
      <c r="BI3" s="827" t="inlineStr">
        <is>
          <t>Bot</t>
        </is>
      </c>
      <c r="BJ3" s="3" t="inlineStr">
        <is>
          <t>Lit</t>
        </is>
      </c>
      <c r="BK3" s="827" t="inlineStr">
        <is>
          <t>Bot</t>
        </is>
      </c>
      <c r="BL3" s="3" t="inlineStr">
        <is>
          <t>Lit</t>
        </is>
      </c>
      <c r="BM3" s="827" t="inlineStr">
        <is>
          <t>Bot</t>
        </is>
      </c>
      <c r="BN3" s="3" t="inlineStr">
        <is>
          <t>Lit</t>
        </is>
      </c>
      <c r="BO3" s="827" t="inlineStr">
        <is>
          <t>Bot</t>
        </is>
      </c>
      <c r="BP3" s="3" t="inlineStr">
        <is>
          <t>Lit</t>
        </is>
      </c>
      <c r="BQ3" s="827" t="inlineStr">
        <is>
          <t>Bot</t>
        </is>
      </c>
      <c r="BR3" s="3" t="inlineStr">
        <is>
          <t>Lit</t>
        </is>
      </c>
      <c r="BS3" s="827" t="inlineStr">
        <is>
          <t>Bot</t>
        </is>
      </c>
      <c r="BT3" s="3" t="inlineStr">
        <is>
          <t>Lit</t>
        </is>
      </c>
      <c r="BU3" s="827" t="inlineStr">
        <is>
          <t>Bot</t>
        </is>
      </c>
      <c r="BV3" s="3" t="inlineStr">
        <is>
          <t>Lit</t>
        </is>
      </c>
      <c r="BW3" s="827" t="inlineStr">
        <is>
          <t>Bot</t>
        </is>
      </c>
      <c r="BX3" s="3" t="inlineStr">
        <is>
          <t>Lit</t>
        </is>
      </c>
      <c r="BY3" s="827" t="inlineStr">
        <is>
          <t>Bot</t>
        </is>
      </c>
      <c r="BZ3" s="3" t="inlineStr">
        <is>
          <t>Lit</t>
        </is>
      </c>
      <c r="CA3" s="827" t="inlineStr">
        <is>
          <t>Bot</t>
        </is>
      </c>
      <c r="CB3" s="3" t="inlineStr">
        <is>
          <t>Lit</t>
        </is>
      </c>
      <c r="CC3" s="827" t="inlineStr">
        <is>
          <t>Bot</t>
        </is>
      </c>
      <c r="CD3" s="3" t="inlineStr">
        <is>
          <t>Lit</t>
        </is>
      </c>
      <c r="CE3" s="827" t="inlineStr">
        <is>
          <t>Bot</t>
        </is>
      </c>
      <c r="CF3" s="3" t="inlineStr">
        <is>
          <t>Lit</t>
        </is>
      </c>
      <c r="CG3" s="828" t="inlineStr">
        <is>
          <t>Bot</t>
        </is>
      </c>
      <c r="CH3" s="5" t="inlineStr">
        <is>
          <t>Lit</t>
        </is>
      </c>
      <c r="CI3" s="66" t="inlineStr">
        <is>
          <t>Litre</t>
        </is>
      </c>
      <c r="CJ3" s="67" t="inlineStr">
        <is>
          <t>Lit</t>
        </is>
      </c>
      <c r="CK3" s="827" t="inlineStr">
        <is>
          <t>Bot</t>
        </is>
      </c>
      <c r="CL3" s="974" t="inlineStr">
        <is>
          <t>Lit</t>
        </is>
      </c>
      <c r="CM3" s="827" t="inlineStr">
        <is>
          <t>Bot</t>
        </is>
      </c>
      <c r="CN3" s="3" t="inlineStr">
        <is>
          <t>Lit</t>
        </is>
      </c>
      <c r="CO3" s="827" t="inlineStr">
        <is>
          <t>Bot</t>
        </is>
      </c>
      <c r="CP3" s="3" t="inlineStr">
        <is>
          <t>Lit</t>
        </is>
      </c>
      <c r="CQ3" s="827" t="inlineStr">
        <is>
          <t>Bot</t>
        </is>
      </c>
      <c r="CR3" s="3" t="inlineStr">
        <is>
          <t>Lit</t>
        </is>
      </c>
      <c r="CS3" s="827" t="inlineStr">
        <is>
          <t>Bot</t>
        </is>
      </c>
      <c r="CT3" s="3" t="inlineStr">
        <is>
          <t>Lit</t>
        </is>
      </c>
      <c r="CU3" s="827" t="inlineStr">
        <is>
          <t>Bot</t>
        </is>
      </c>
      <c r="CV3" s="3" t="inlineStr">
        <is>
          <t>Lit</t>
        </is>
      </c>
      <c r="CW3" s="827" t="inlineStr">
        <is>
          <t>Bot</t>
        </is>
      </c>
      <c r="CX3" s="3" t="inlineStr">
        <is>
          <t>Lit</t>
        </is>
      </c>
      <c r="CY3" s="827" t="inlineStr">
        <is>
          <t>Bot</t>
        </is>
      </c>
      <c r="CZ3" s="3" t="inlineStr">
        <is>
          <t>Lit</t>
        </is>
      </c>
      <c r="DA3" s="827" t="inlineStr">
        <is>
          <t>Bot</t>
        </is>
      </c>
      <c r="DB3" s="3" t="inlineStr">
        <is>
          <t>Lit</t>
        </is>
      </c>
      <c r="DC3" s="827" t="inlineStr">
        <is>
          <t>Bot</t>
        </is>
      </c>
      <c r="DD3" s="3" t="inlineStr">
        <is>
          <t>Lit</t>
        </is>
      </c>
      <c r="DE3" s="827" t="inlineStr">
        <is>
          <t>Bot</t>
        </is>
      </c>
      <c r="DF3" s="3" t="inlineStr">
        <is>
          <t>Lit</t>
        </is>
      </c>
      <c r="DG3" s="827" t="inlineStr">
        <is>
          <t>Bot</t>
        </is>
      </c>
      <c r="DH3" s="3" t="inlineStr">
        <is>
          <t>Lit</t>
        </is>
      </c>
      <c r="DI3" s="827" t="inlineStr">
        <is>
          <t>Bot</t>
        </is>
      </c>
      <c r="DJ3" s="3" t="inlineStr">
        <is>
          <t>Lit</t>
        </is>
      </c>
      <c r="DK3" s="827" t="inlineStr">
        <is>
          <t>Bot</t>
        </is>
      </c>
      <c r="DL3" s="3" t="inlineStr">
        <is>
          <t>Lit</t>
        </is>
      </c>
      <c r="DM3" s="827" t="inlineStr">
        <is>
          <t>Bot</t>
        </is>
      </c>
      <c r="DN3" s="3" t="inlineStr">
        <is>
          <t>Lit</t>
        </is>
      </c>
      <c r="DO3" s="50" t="inlineStr">
        <is>
          <t>Contribution</t>
        </is>
      </c>
      <c r="DP3" s="827" t="inlineStr">
        <is>
          <t>Bot</t>
        </is>
      </c>
      <c r="DQ3" s="974" t="inlineStr">
        <is>
          <t>Lit</t>
        </is>
      </c>
      <c r="DR3" s="827" t="inlineStr">
        <is>
          <t>Bot</t>
        </is>
      </c>
      <c r="DS3" s="3" t="inlineStr">
        <is>
          <t>Lit</t>
        </is>
      </c>
      <c r="DT3" s="827" t="inlineStr">
        <is>
          <t>Bot</t>
        </is>
      </c>
      <c r="DU3" s="3" t="inlineStr">
        <is>
          <t>Lit</t>
        </is>
      </c>
      <c r="DV3" s="827" t="inlineStr">
        <is>
          <t>Bot</t>
        </is>
      </c>
      <c r="DW3" s="3" t="inlineStr">
        <is>
          <t>Lit</t>
        </is>
      </c>
      <c r="DX3" s="827" t="inlineStr">
        <is>
          <t>Bot</t>
        </is>
      </c>
      <c r="DY3" s="3" t="inlineStr">
        <is>
          <t>Lit</t>
        </is>
      </c>
      <c r="DZ3" s="827" t="inlineStr">
        <is>
          <t>Bot</t>
        </is>
      </c>
      <c r="EA3" s="3" t="inlineStr">
        <is>
          <t>Lit</t>
        </is>
      </c>
      <c r="EB3" s="827" t="inlineStr">
        <is>
          <t>Bot</t>
        </is>
      </c>
      <c r="EC3" s="3" t="inlineStr">
        <is>
          <t>Lit</t>
        </is>
      </c>
      <c r="ED3" s="827" t="inlineStr">
        <is>
          <t>Bot</t>
        </is>
      </c>
      <c r="EE3" s="3" t="inlineStr">
        <is>
          <t>Lit</t>
        </is>
      </c>
      <c r="EF3" s="827" t="inlineStr">
        <is>
          <t>Bot</t>
        </is>
      </c>
      <c r="EG3" s="3" t="inlineStr">
        <is>
          <t>Lit</t>
        </is>
      </c>
      <c r="EH3" s="827" t="inlineStr">
        <is>
          <t>Bot</t>
        </is>
      </c>
      <c r="EI3" s="3" t="inlineStr">
        <is>
          <t>Lit</t>
        </is>
      </c>
      <c r="EJ3" s="827" t="inlineStr">
        <is>
          <t>Bot</t>
        </is>
      </c>
      <c r="EK3" s="3" t="inlineStr">
        <is>
          <t>Lit</t>
        </is>
      </c>
      <c r="EL3" s="827" t="inlineStr">
        <is>
          <t>Bot</t>
        </is>
      </c>
      <c r="EM3" s="3" t="inlineStr">
        <is>
          <t>Lit</t>
        </is>
      </c>
      <c r="EN3" s="827" t="inlineStr">
        <is>
          <t>Bot</t>
        </is>
      </c>
      <c r="EO3" s="3" t="inlineStr">
        <is>
          <t>Lit</t>
        </is>
      </c>
      <c r="EP3" s="827" t="inlineStr">
        <is>
          <t>Bot</t>
        </is>
      </c>
      <c r="EQ3" s="3" t="inlineStr">
        <is>
          <t>Lit</t>
        </is>
      </c>
      <c r="ER3" s="50" t="inlineStr">
        <is>
          <t>Contribution</t>
        </is>
      </c>
      <c r="ES3" s="973" t="n"/>
      <c r="ET3" s="519" t="inlineStr">
        <is>
          <t>Litre</t>
        </is>
      </c>
      <c r="EU3" s="519" t="inlineStr">
        <is>
          <t>Litre</t>
        </is>
      </c>
      <c r="EV3" s="521" t="inlineStr">
        <is>
          <t>Annual AVG</t>
        </is>
      </c>
      <c r="EW3" s="521" t="inlineStr">
        <is>
          <t>YTD Jan-Feb</t>
        </is>
      </c>
      <c r="EX3" s="521" t="inlineStr">
        <is>
          <t>Annual AVG</t>
        </is>
      </c>
      <c r="EY3" s="521" t="inlineStr">
        <is>
          <t>YTD</t>
        </is>
      </c>
      <c r="EZ3" s="973" t="n"/>
    </row>
    <row r="4">
      <c r="A4" s="7" t="n">
        <v>1</v>
      </c>
      <c r="B4" s="8" t="inlineStr">
        <is>
          <t>"Zay" Vodka 700-ml</t>
        </is>
      </c>
      <c r="C4" s="8" t="inlineStr">
        <is>
          <t>ပုလင်း</t>
        </is>
      </c>
      <c r="D4" s="7" t="n">
        <v>0.7</v>
      </c>
      <c r="E4" s="7" t="inlineStr">
        <is>
          <t>1 * 12</t>
        </is>
      </c>
      <c r="F4" s="7" t="n">
        <v>1870</v>
      </c>
      <c r="G4" s="975" t="n">
        <v>19961</v>
      </c>
      <c r="H4" s="976" t="n">
        <v>13972.7</v>
      </c>
      <c r="I4" s="975" t="n">
        <v>12844</v>
      </c>
      <c r="J4" s="976" t="n">
        <v>8990.799999999999</v>
      </c>
      <c r="K4" s="975" t="n">
        <v>22152</v>
      </c>
      <c r="L4" s="976" t="n">
        <v>15506.4</v>
      </c>
      <c r="M4" s="975" t="n">
        <v>13368</v>
      </c>
      <c r="N4" s="976" t="n">
        <v>9357.599999999999</v>
      </c>
      <c r="O4" s="975" t="n">
        <v>13720</v>
      </c>
      <c r="P4" s="976" t="n">
        <v>9604</v>
      </c>
      <c r="Q4" s="975" t="n">
        <v>8880</v>
      </c>
      <c r="R4" s="976" t="n">
        <v>6216</v>
      </c>
      <c r="S4" s="975" t="n">
        <v>8208</v>
      </c>
      <c r="T4" s="976" t="n">
        <v>5745.599999999999</v>
      </c>
      <c r="U4" s="975" t="n">
        <v>14127</v>
      </c>
      <c r="V4" s="976" t="n">
        <v>9888.9</v>
      </c>
      <c r="W4" s="975" t="n">
        <v>6948</v>
      </c>
      <c r="X4" s="976" t="n">
        <v>4863.599999999999</v>
      </c>
      <c r="Y4" s="975" t="n">
        <v>3876</v>
      </c>
      <c r="Z4" s="976" t="n">
        <v>2713.2</v>
      </c>
      <c r="AA4" s="975" t="n">
        <v>5580</v>
      </c>
      <c r="AB4" s="976" t="n">
        <v>3906</v>
      </c>
      <c r="AC4" s="975" t="n">
        <v>4932</v>
      </c>
      <c r="AD4" s="976" t="n">
        <v>3452.4</v>
      </c>
      <c r="AE4" s="977" t="n">
        <v>11216.33333333333</v>
      </c>
      <c r="AF4" s="978" t="n">
        <v>7851.433333333333</v>
      </c>
      <c r="AG4" s="975" t="n">
        <v>6960</v>
      </c>
      <c r="AH4" s="976" t="n">
        <v>4872</v>
      </c>
      <c r="AI4" s="975" t="n">
        <v>6120</v>
      </c>
      <c r="AJ4" s="976" t="n">
        <v>4284</v>
      </c>
      <c r="AK4" s="975" t="n">
        <v>4584</v>
      </c>
      <c r="AL4" s="976" t="n">
        <v>3208.8</v>
      </c>
      <c r="AM4" s="975" t="n">
        <v>2172</v>
      </c>
      <c r="AN4" s="976" t="n">
        <v>1520.4</v>
      </c>
      <c r="AO4" s="975" t="n">
        <v>3288</v>
      </c>
      <c r="AP4" s="976" t="n">
        <v>2301.6</v>
      </c>
      <c r="AQ4" s="975" t="n">
        <v>3060</v>
      </c>
      <c r="AR4" s="976" t="n">
        <v>2142</v>
      </c>
      <c r="AS4" s="975" t="n">
        <v>2472</v>
      </c>
      <c r="AT4" s="976" t="n">
        <v>1730.4</v>
      </c>
      <c r="AU4" s="975" t="n">
        <v>2232</v>
      </c>
      <c r="AV4" s="976" t="n">
        <v>1562.4</v>
      </c>
      <c r="AW4" s="975" t="n">
        <v>1032</v>
      </c>
      <c r="AX4" s="976" t="n">
        <v>722.4</v>
      </c>
      <c r="AY4" s="975" t="n">
        <v>2856</v>
      </c>
      <c r="AZ4" s="976" t="n">
        <v>1999.2</v>
      </c>
      <c r="BA4" s="975" t="n">
        <v>2235</v>
      </c>
      <c r="BB4" s="976" t="n">
        <v>1564.5</v>
      </c>
      <c r="BC4" s="975" t="n">
        <v>3036</v>
      </c>
      <c r="BD4" s="976" t="n">
        <v>2125.2</v>
      </c>
      <c r="BE4" s="977" t="n">
        <v>3337.25</v>
      </c>
      <c r="BF4" s="978" t="n">
        <v>2336.075</v>
      </c>
      <c r="BG4" s="975" t="n">
        <v>2178</v>
      </c>
      <c r="BH4" s="976" t="n">
        <v>1524.6</v>
      </c>
      <c r="BI4" s="975" t="n">
        <v>2118</v>
      </c>
      <c r="BJ4" s="976" t="n">
        <v>1482.6</v>
      </c>
      <c r="BK4" s="975" t="n">
        <v>2737</v>
      </c>
      <c r="BL4" s="976" t="n">
        <v>1915.9</v>
      </c>
      <c r="BM4" s="975" t="n">
        <v>2268</v>
      </c>
      <c r="BN4" s="976" t="n">
        <v>1587.6</v>
      </c>
      <c r="BO4" s="975" t="n">
        <v>1992</v>
      </c>
      <c r="BP4" s="976" t="n">
        <v>1394.4</v>
      </c>
      <c r="BQ4" s="975" t="n">
        <v>1452</v>
      </c>
      <c r="BR4" s="976" t="n">
        <v>1016.4</v>
      </c>
      <c r="BS4" s="975" t="n">
        <v>2598</v>
      </c>
      <c r="BT4" s="976" t="n">
        <v>1818.6</v>
      </c>
      <c r="BU4" s="975" t="n">
        <v>2496</v>
      </c>
      <c r="BV4" s="976" t="n">
        <v>1747.2</v>
      </c>
      <c r="BW4" s="975" t="n">
        <v>1668</v>
      </c>
      <c r="BX4" s="976" t="n">
        <v>1167.6</v>
      </c>
      <c r="BY4" s="975" t="n">
        <v>948</v>
      </c>
      <c r="BZ4" s="976" t="n">
        <v>663.5999999999999</v>
      </c>
      <c r="CA4" s="975" t="n">
        <v>1212</v>
      </c>
      <c r="CB4" s="976" t="n">
        <v>848.4</v>
      </c>
      <c r="CC4" s="975" t="n">
        <v>3264</v>
      </c>
      <c r="CD4" s="976" t="n">
        <v>2284.8</v>
      </c>
      <c r="CE4" s="979">
        <f>(BG4+BI4+BK4+BM4+BO4+BQ4+BS4+BU4+BW4+BY4+CA4)/11</f>
        <v/>
      </c>
      <c r="CF4" s="976">
        <f>(BH4+BJ4+BL4+BN4+BP4+BR4+BT4+BV4+BX4+BZ4+CB4)/11</f>
        <v/>
      </c>
      <c r="CG4" s="977" t="n">
        <v>2077.583333333333</v>
      </c>
      <c r="CH4" s="978" t="n">
        <v>1454.308333333333</v>
      </c>
      <c r="CI4" s="15" t="n">
        <v>0.2579907732918819</v>
      </c>
      <c r="CJ4" s="15" t="n"/>
      <c r="CK4" s="982" t="n">
        <v>1308</v>
      </c>
      <c r="CL4" s="976" t="n">
        <v>915.5999999999999</v>
      </c>
      <c r="CM4" s="982" t="n">
        <v>1860</v>
      </c>
      <c r="CN4" s="15" t="n">
        <v>1302</v>
      </c>
      <c r="CO4" s="982" t="n">
        <v>840</v>
      </c>
      <c r="CP4" s="15" t="n">
        <v>588</v>
      </c>
      <c r="CQ4" s="982" t="n">
        <v>358</v>
      </c>
      <c r="CR4" s="15" t="n">
        <v>250.6</v>
      </c>
      <c r="CS4" s="982" t="n">
        <v>2640</v>
      </c>
      <c r="CT4" s="15" t="n">
        <v>1848</v>
      </c>
      <c r="CU4" s="982" t="n">
        <v>696</v>
      </c>
      <c r="CV4" s="15" t="n">
        <v>487.2</v>
      </c>
      <c r="CW4" s="982" t="n">
        <v>576</v>
      </c>
      <c r="CX4" s="984" t="n">
        <v>403.2</v>
      </c>
      <c r="CY4" s="982" t="n">
        <v>660</v>
      </c>
      <c r="CZ4" s="15" t="n">
        <v>461.9999999999999</v>
      </c>
      <c r="DA4" s="982" t="n">
        <v>1322</v>
      </c>
      <c r="DB4" s="15" t="n">
        <v>925.4</v>
      </c>
      <c r="DC4" s="982" t="n">
        <v>624</v>
      </c>
      <c r="DD4" s="15" t="n">
        <v>436.8</v>
      </c>
      <c r="DE4" s="982" t="n">
        <v>1740</v>
      </c>
      <c r="DF4" s="15" t="n">
        <v>1218</v>
      </c>
      <c r="DG4" s="982" t="n">
        <v>960</v>
      </c>
      <c r="DH4" s="15" t="n">
        <v>672</v>
      </c>
      <c r="DI4" s="983">
        <f>CK4+CM4+CO4+CQ4+CS4+CU4+CW4+CY4+DA4+DC4+DE4+DG4</f>
        <v/>
      </c>
      <c r="DJ4" s="983">
        <f>CL4+CN4+CP4+CR4+CT4+CV4+CX4+CZ4+DB4+DD4+DF4+DH4</f>
        <v/>
      </c>
      <c r="DK4" s="983">
        <f>(CK4+CM4)/2</f>
        <v/>
      </c>
      <c r="DL4" s="984">
        <f>(CL4+CN4)/2</f>
        <v/>
      </c>
      <c r="DM4" s="985">
        <f>DI4/12</f>
        <v/>
      </c>
      <c r="DN4" s="1129">
        <f>DJ4/12</f>
        <v/>
      </c>
      <c r="DO4" s="69">
        <f>DN4/$DN$57%</f>
        <v/>
      </c>
      <c r="DP4" s="982" t="n">
        <v>160</v>
      </c>
      <c r="DQ4" s="976" t="n">
        <v>112</v>
      </c>
      <c r="DR4" s="975" t="n">
        <v>130</v>
      </c>
      <c r="DS4" s="976" t="n">
        <v>91</v>
      </c>
      <c r="DT4" s="982" t="n"/>
      <c r="DU4" s="15" t="n"/>
      <c r="DV4" s="982" t="n"/>
      <c r="DW4" s="15" t="n"/>
      <c r="DX4" s="982" t="n"/>
      <c r="DY4" s="15" t="n"/>
      <c r="DZ4" s="982" t="n"/>
      <c r="EA4" s="15" t="n"/>
      <c r="EB4" s="982" t="n"/>
      <c r="EC4" s="984" t="n"/>
      <c r="ED4" s="982" t="n"/>
      <c r="EE4" s="15" t="n"/>
      <c r="EF4" s="982" t="n"/>
      <c r="EG4" s="15" t="n"/>
      <c r="EH4" s="982" t="n"/>
      <c r="EI4" s="15" t="n"/>
      <c r="EJ4" s="982" t="n"/>
      <c r="EK4" s="15" t="n"/>
      <c r="EL4" s="982" t="n"/>
      <c r="EM4" s="15" t="n"/>
      <c r="EN4" s="983">
        <f>DP4+DR4+DT4+DV4+DX4+DZ4+EB4+ED4+EF4+EH4+EJ4+EL4</f>
        <v/>
      </c>
      <c r="EO4" s="983">
        <f>DQ4+DS4+DU4+DW4+DY4+EA4+EC4+EE4+EG4+EI4+EK4+EM4</f>
        <v/>
      </c>
      <c r="EP4" s="985">
        <f>EN4/2</f>
        <v/>
      </c>
      <c r="EQ4" s="1129">
        <f>EO4/2</f>
        <v/>
      </c>
      <c r="ER4" s="535">
        <f>EQ4/$EQ$57%</f>
        <v/>
      </c>
      <c r="ES4" s="1130">
        <f>ER4-DO4</f>
        <v/>
      </c>
      <c r="ET4" s="1130">
        <f>EQ4/DL4*100-100</f>
        <v/>
      </c>
      <c r="EU4" s="1130">
        <f>EQ4/DN4*100-100</f>
        <v/>
      </c>
      <c r="EV4" s="1130">
        <f>EQ4-DN4</f>
        <v/>
      </c>
      <c r="EW4" s="1000">
        <f>EQ4-DL4</f>
        <v/>
      </c>
      <c r="EX4" s="1130">
        <f>EV4/14</f>
        <v/>
      </c>
      <c r="EY4" s="1130">
        <f>EW4/14</f>
        <v/>
      </c>
      <c r="EZ4" s="1130">
        <f>EY4*2</f>
        <v/>
      </c>
    </row>
    <row r="5" customFormat="1" s="251">
      <c r="A5" s="246" t="n"/>
      <c r="B5" s="247" t="inlineStr">
        <is>
          <t>Zay Vodka</t>
        </is>
      </c>
      <c r="C5" s="247" t="n"/>
      <c r="D5" s="246" t="n"/>
      <c r="E5" s="246" t="n"/>
      <c r="F5" s="246" t="n"/>
      <c r="G5" s="1131" t="n"/>
      <c r="H5" s="1132" t="n"/>
      <c r="I5" s="1131" t="n"/>
      <c r="J5" s="1132" t="n"/>
      <c r="K5" s="1131" t="n"/>
      <c r="L5" s="1132" t="n"/>
      <c r="M5" s="1131" t="n"/>
      <c r="N5" s="1132" t="n"/>
      <c r="O5" s="1131" t="n"/>
      <c r="P5" s="1132" t="n"/>
      <c r="Q5" s="1131" t="n"/>
      <c r="R5" s="1132" t="n"/>
      <c r="S5" s="1131" t="n"/>
      <c r="T5" s="1132" t="n"/>
      <c r="U5" s="1131" t="n"/>
      <c r="V5" s="1132" t="n"/>
      <c r="W5" s="1131" t="n"/>
      <c r="X5" s="1132" t="n"/>
      <c r="Y5" s="1131" t="n"/>
      <c r="Z5" s="1132" t="n"/>
      <c r="AA5" s="1131" t="n"/>
      <c r="AB5" s="1132" t="n"/>
      <c r="AC5" s="1131" t="n"/>
      <c r="AD5" s="1132" t="n"/>
      <c r="AE5" s="1131" t="n"/>
      <c r="AF5" s="1132" t="n"/>
      <c r="AG5" s="1131" t="n"/>
      <c r="AH5" s="1132" t="n"/>
      <c r="AI5" s="1131" t="n"/>
      <c r="AJ5" s="1132" t="n"/>
      <c r="AK5" s="1131" t="n"/>
      <c r="AL5" s="1132" t="n"/>
      <c r="AM5" s="1131" t="n"/>
      <c r="AN5" s="1132" t="n"/>
      <c r="AO5" s="1131" t="n"/>
      <c r="AP5" s="1132" t="n"/>
      <c r="AQ5" s="1131" t="n"/>
      <c r="AR5" s="1132" t="n"/>
      <c r="AS5" s="1131" t="n"/>
      <c r="AT5" s="1132" t="n"/>
      <c r="AU5" s="1131" t="n"/>
      <c r="AV5" s="1132" t="n"/>
      <c r="AW5" s="1131" t="n"/>
      <c r="AX5" s="1132" t="n"/>
      <c r="AY5" s="1131" t="n"/>
      <c r="AZ5" s="1132" t="n"/>
      <c r="BA5" s="1131" t="n"/>
      <c r="BB5" s="1132" t="n"/>
      <c r="BC5" s="1131" t="n"/>
      <c r="BD5" s="1132" t="n"/>
      <c r="BE5" s="1131" t="n"/>
      <c r="BF5" s="1132" t="n"/>
      <c r="BG5" s="1131" t="n"/>
      <c r="BH5" s="1132" t="n"/>
      <c r="BI5" s="1131" t="n"/>
      <c r="BJ5" s="1132" t="n"/>
      <c r="BK5" s="1131" t="n"/>
      <c r="BL5" s="1132" t="n"/>
      <c r="BM5" s="1131" t="n"/>
      <c r="BN5" s="1132" t="n"/>
      <c r="BO5" s="1131" t="n"/>
      <c r="BP5" s="1132" t="n"/>
      <c r="BQ5" s="1131" t="n"/>
      <c r="BR5" s="1132" t="n"/>
      <c r="BS5" s="1131" t="n"/>
      <c r="BT5" s="1132" t="n"/>
      <c r="BU5" s="1131" t="n"/>
      <c r="BV5" s="1132" t="n"/>
      <c r="BW5" s="1131" t="n"/>
      <c r="BX5" s="1132" t="n"/>
      <c r="BY5" s="1131" t="n"/>
      <c r="BZ5" s="1132" t="n"/>
      <c r="CA5" s="1131" t="n"/>
      <c r="CB5" s="1132" t="n"/>
      <c r="CC5" s="1131" t="n"/>
      <c r="CD5" s="1132" t="n"/>
      <c r="CE5" s="1133">
        <f>SUM(CE4)</f>
        <v/>
      </c>
      <c r="CF5" s="1133">
        <f>SUM(CF4)</f>
        <v/>
      </c>
      <c r="CG5" s="1133">
        <f>SUM(CG4)</f>
        <v/>
      </c>
      <c r="CH5" s="1133">
        <f>SUM(CH4)</f>
        <v/>
      </c>
      <c r="CI5" s="1133">
        <f>SUM(CI4)</f>
        <v/>
      </c>
      <c r="CJ5" s="1133">
        <f>SUM(CJ4)</f>
        <v/>
      </c>
      <c r="CK5" s="1133">
        <f>SUM(CK4)</f>
        <v/>
      </c>
      <c r="CL5" s="1133">
        <f>SUM(CL4)</f>
        <v/>
      </c>
      <c r="CM5" s="1133">
        <f>SUM(CM4)</f>
        <v/>
      </c>
      <c r="CN5" s="1133">
        <f>SUM(CN4)</f>
        <v/>
      </c>
      <c r="CO5" s="1133">
        <f>SUM(CO4)</f>
        <v/>
      </c>
      <c r="CP5" s="1133">
        <f>SUM(CP4)</f>
        <v/>
      </c>
      <c r="CQ5" s="1133">
        <f>SUM(CQ4)</f>
        <v/>
      </c>
      <c r="CR5" s="1133">
        <f>SUM(CR4)</f>
        <v/>
      </c>
      <c r="CS5" s="1133">
        <f>SUM(CS4)</f>
        <v/>
      </c>
      <c r="CT5" s="1133">
        <f>SUM(CT4)</f>
        <v/>
      </c>
      <c r="CU5" s="1133">
        <f>SUM(CU4)</f>
        <v/>
      </c>
      <c r="CV5" s="1133">
        <f>SUM(CV4)</f>
        <v/>
      </c>
      <c r="CW5" s="1133">
        <f>SUM(CW4)</f>
        <v/>
      </c>
      <c r="CX5" s="1133">
        <f>SUM(CX4)</f>
        <v/>
      </c>
      <c r="CY5" s="1133">
        <f>SUM(CY4)</f>
        <v/>
      </c>
      <c r="CZ5" s="1133">
        <f>SUM(CZ4)</f>
        <v/>
      </c>
      <c r="DA5" s="1133">
        <f>SUM(DA4)</f>
        <v/>
      </c>
      <c r="DB5" s="1133">
        <f>SUM(DB4)</f>
        <v/>
      </c>
      <c r="DC5" s="1133">
        <f>SUM(DC4)</f>
        <v/>
      </c>
      <c r="DD5" s="1133">
        <f>SUM(DD4)</f>
        <v/>
      </c>
      <c r="DE5" s="1133">
        <f>SUM(DE4)</f>
        <v/>
      </c>
      <c r="DF5" s="1133">
        <f>SUM(DF4)</f>
        <v/>
      </c>
      <c r="DG5" s="1133">
        <f>SUM(DG4)</f>
        <v/>
      </c>
      <c r="DH5" s="1133">
        <f>SUM(DH4)</f>
        <v/>
      </c>
      <c r="DI5" s="1133">
        <f>SUM(DI4)</f>
        <v/>
      </c>
      <c r="DJ5" s="1133">
        <f>SUM(DJ4)</f>
        <v/>
      </c>
      <c r="DK5" s="1134">
        <f>(CK5+CM5)/2</f>
        <v/>
      </c>
      <c r="DL5" s="1135">
        <f>(CL5+CN5)/2</f>
        <v/>
      </c>
      <c r="DM5" s="1136">
        <f>DI5/12</f>
        <v/>
      </c>
      <c r="DN5" s="1137">
        <f>DJ5/12</f>
        <v/>
      </c>
      <c r="DO5" s="1133">
        <f>SUM(DO4)</f>
        <v/>
      </c>
      <c r="DP5" s="1133">
        <f>SUM(DP4)</f>
        <v/>
      </c>
      <c r="DQ5" s="1133">
        <f>SUM(DQ4)</f>
        <v/>
      </c>
      <c r="DR5" s="1133">
        <f>SUM(DR4)</f>
        <v/>
      </c>
      <c r="DS5" s="1133">
        <f>SUM(DS4)</f>
        <v/>
      </c>
      <c r="DT5" s="1133">
        <f>SUM(DT4)</f>
        <v/>
      </c>
      <c r="DU5" s="1133">
        <f>SUM(DU4)</f>
        <v/>
      </c>
      <c r="DV5" s="1133">
        <f>SUM(DV4)</f>
        <v/>
      </c>
      <c r="DW5" s="1133">
        <f>SUM(DW4)</f>
        <v/>
      </c>
      <c r="DX5" s="1133">
        <f>SUM(DX4)</f>
        <v/>
      </c>
      <c r="DY5" s="1133">
        <f>SUM(DY4)</f>
        <v/>
      </c>
      <c r="DZ5" s="1133">
        <f>SUM(DZ4)</f>
        <v/>
      </c>
      <c r="EA5" s="1133">
        <f>SUM(EA4)</f>
        <v/>
      </c>
      <c r="EB5" s="1133">
        <f>SUM(EB4)</f>
        <v/>
      </c>
      <c r="EC5" s="1133">
        <f>SUM(EC4)</f>
        <v/>
      </c>
      <c r="ED5" s="1133">
        <f>SUM(ED4)</f>
        <v/>
      </c>
      <c r="EE5" s="1133">
        <f>SUM(EE4)</f>
        <v/>
      </c>
      <c r="EF5" s="1133">
        <f>SUM(EF4)</f>
        <v/>
      </c>
      <c r="EG5" s="1133">
        <f>SUM(EG4)</f>
        <v/>
      </c>
      <c r="EH5" s="1133">
        <f>SUM(EH4)</f>
        <v/>
      </c>
      <c r="EI5" s="1133">
        <f>SUM(EI4)</f>
        <v/>
      </c>
      <c r="EJ5" s="1133">
        <f>SUM(EJ4)</f>
        <v/>
      </c>
      <c r="EK5" s="1133">
        <f>SUM(EK4)</f>
        <v/>
      </c>
      <c r="EL5" s="1133">
        <f>SUM(EL4)</f>
        <v/>
      </c>
      <c r="EM5" s="1133">
        <f>SUM(EM4)</f>
        <v/>
      </c>
      <c r="EN5" s="1133">
        <f>SUM(EN4)</f>
        <v/>
      </c>
      <c r="EO5" s="1133">
        <f>SUM(EO4)</f>
        <v/>
      </c>
      <c r="EP5" s="1136">
        <f>EN5/2</f>
        <v/>
      </c>
      <c r="EQ5" s="1137">
        <f>EO5/2</f>
        <v/>
      </c>
      <c r="ER5" s="536">
        <f>EQ5/$EQ$57%</f>
        <v/>
      </c>
      <c r="ES5" s="1138">
        <f>ER5-DO5</f>
        <v/>
      </c>
      <c r="ET5" s="1138">
        <f>EQ5/DL5*100-100</f>
        <v/>
      </c>
      <c r="EU5" s="1138">
        <f>EQ5/DN5*100-100</f>
        <v/>
      </c>
      <c r="EV5" s="1138">
        <f>EQ5-DN5</f>
        <v/>
      </c>
      <c r="EW5" s="1139">
        <f>EQ5-DL5</f>
        <v/>
      </c>
      <c r="EX5" s="1138">
        <f>EV5/14</f>
        <v/>
      </c>
      <c r="EY5" s="1138">
        <f>EW5/14</f>
        <v/>
      </c>
      <c r="EZ5" s="1138">
        <f>EY5*2</f>
        <v/>
      </c>
    </row>
    <row r="6">
      <c r="A6" s="7" t="n">
        <v>2</v>
      </c>
      <c r="B6" s="8" t="inlineStr">
        <is>
          <t>"Zay" (1 Liter)</t>
        </is>
      </c>
      <c r="C6" s="8" t="inlineStr">
        <is>
          <t>‌ကော်ဘူး</t>
        </is>
      </c>
      <c r="D6" s="7" t="n">
        <v>1</v>
      </c>
      <c r="E6" s="7" t="inlineStr">
        <is>
          <t>1 * 12</t>
        </is>
      </c>
      <c r="F6" s="7" t="n">
        <v>1580</v>
      </c>
      <c r="G6" s="975" t="n">
        <v>972</v>
      </c>
      <c r="H6" s="976" t="n">
        <v>972</v>
      </c>
      <c r="I6" s="975" t="n">
        <v>468</v>
      </c>
      <c r="J6" s="976" t="n">
        <v>468</v>
      </c>
      <c r="K6" s="975" t="n"/>
      <c r="L6" s="976" t="n">
        <v>0</v>
      </c>
      <c r="M6" s="975" t="n">
        <v>420</v>
      </c>
      <c r="N6" s="976" t="n">
        <v>420</v>
      </c>
      <c r="O6" s="975" t="n">
        <v>600</v>
      </c>
      <c r="P6" s="976" t="n">
        <v>600</v>
      </c>
      <c r="Q6" s="975" t="n"/>
      <c r="R6" s="976" t="n">
        <v>0</v>
      </c>
      <c r="S6" s="975" t="n"/>
      <c r="T6" s="976" t="n">
        <v>0</v>
      </c>
      <c r="U6" s="975" t="n">
        <v>420</v>
      </c>
      <c r="V6" s="976" t="n">
        <v>420</v>
      </c>
      <c r="W6" s="975" t="n">
        <v>288</v>
      </c>
      <c r="X6" s="976" t="n">
        <v>288</v>
      </c>
      <c r="Y6" s="975" t="n">
        <v>180</v>
      </c>
      <c r="Z6" s="976" t="n">
        <v>180</v>
      </c>
      <c r="AA6" s="975" t="n"/>
      <c r="AB6" s="976" t="n">
        <v>0</v>
      </c>
      <c r="AC6" s="975" t="n">
        <v>120</v>
      </c>
      <c r="AD6" s="976" t="n">
        <v>120</v>
      </c>
      <c r="AE6" s="977" t="n">
        <v>289</v>
      </c>
      <c r="AF6" s="978" t="n">
        <v>289</v>
      </c>
      <c r="AG6" s="975" t="n">
        <v>120</v>
      </c>
      <c r="AH6" s="976" t="n">
        <v>120</v>
      </c>
      <c r="AI6" s="975" t="n"/>
      <c r="AJ6" s="976" t="n">
        <v>0</v>
      </c>
      <c r="AK6" s="975" t="n">
        <v>60</v>
      </c>
      <c r="AL6" s="976" t="n">
        <v>60</v>
      </c>
      <c r="AM6" s="975" t="n"/>
      <c r="AN6" s="976" t="n">
        <v>0</v>
      </c>
      <c r="AO6" s="975" t="n">
        <v>300</v>
      </c>
      <c r="AP6" s="976" t="n">
        <v>300</v>
      </c>
      <c r="AQ6" s="975" t="n"/>
      <c r="AR6" s="976" t="n">
        <v>0</v>
      </c>
      <c r="AS6" s="975" t="n"/>
      <c r="AT6" s="976" t="n">
        <v>0</v>
      </c>
      <c r="AU6" s="975" t="n"/>
      <c r="AV6" s="976" t="n">
        <v>0</v>
      </c>
      <c r="AW6" s="975" t="n">
        <v>180</v>
      </c>
      <c r="AX6" s="976" t="n">
        <v>180</v>
      </c>
      <c r="AY6" s="975" t="n">
        <v>12</v>
      </c>
      <c r="AZ6" s="976" t="n">
        <v>12</v>
      </c>
      <c r="BA6" s="975" t="n">
        <v>828</v>
      </c>
      <c r="BB6" s="976" t="n">
        <v>828</v>
      </c>
      <c r="BC6" s="975" t="n">
        <v>600</v>
      </c>
      <c r="BD6" s="976" t="n">
        <v>600</v>
      </c>
      <c r="BE6" s="977" t="n">
        <v>175</v>
      </c>
      <c r="BF6" s="978" t="n">
        <v>175</v>
      </c>
      <c r="BG6" s="975" t="n"/>
      <c r="BH6" s="976" t="n">
        <v>0</v>
      </c>
      <c r="BI6" s="975" t="n">
        <v>240</v>
      </c>
      <c r="BJ6" s="976" t="n">
        <v>240</v>
      </c>
      <c r="BK6" s="975" t="n"/>
      <c r="BL6" s="976" t="n">
        <v>0</v>
      </c>
      <c r="BM6" s="975" t="n"/>
      <c r="BN6" s="976" t="n">
        <v>0</v>
      </c>
      <c r="BO6" s="975" t="n">
        <v>660</v>
      </c>
      <c r="BP6" s="976" t="n">
        <v>660</v>
      </c>
      <c r="BQ6" s="975" t="n"/>
      <c r="BR6" s="976" t="n">
        <v>0</v>
      </c>
      <c r="BS6" s="975" t="n"/>
      <c r="BT6" s="976" t="n">
        <v>0</v>
      </c>
      <c r="BU6" s="975" t="n"/>
      <c r="BV6" s="976" t="n">
        <v>0</v>
      </c>
      <c r="BW6" s="975" t="n"/>
      <c r="BX6" s="976" t="n">
        <v>0</v>
      </c>
      <c r="BY6" s="975" t="n"/>
      <c r="BZ6" s="976" t="n">
        <v>0</v>
      </c>
      <c r="CA6" s="975" t="n"/>
      <c r="CB6" s="976" t="n">
        <v>0</v>
      </c>
      <c r="CC6" s="975" t="n"/>
      <c r="CD6" s="976" t="n">
        <v>0</v>
      </c>
      <c r="CE6" s="979">
        <f>(BG6+BI6+BK6+BM6+BO6+BQ6+BS6+BU6+BW6+BY6+CA6)/11</f>
        <v/>
      </c>
      <c r="CF6" s="976">
        <f>(BH6+BJ6+BL6+BN6+BP6+BR6+BT6+BV6+BX6+BZ6+CB6)/11</f>
        <v/>
      </c>
      <c r="CG6" s="977" t="n">
        <v>75</v>
      </c>
      <c r="CH6" s="978" t="n">
        <v>75</v>
      </c>
      <c r="CI6" s="15" t="n">
        <v>0.01330481821041467</v>
      </c>
      <c r="CJ6" s="15" t="n"/>
      <c r="CK6" s="982" t="n"/>
      <c r="CL6" s="976" t="n">
        <v>0</v>
      </c>
      <c r="CM6" s="982" t="n"/>
      <c r="CN6" s="15" t="n">
        <v>0</v>
      </c>
      <c r="CO6" s="982" t="n"/>
      <c r="CP6" s="15" t="n">
        <v>0</v>
      </c>
      <c r="CQ6" s="982" t="n"/>
      <c r="CR6" s="15" t="n">
        <v>0</v>
      </c>
      <c r="CS6" s="982" t="n"/>
      <c r="CT6" s="15" t="n">
        <v>0</v>
      </c>
      <c r="CU6" s="982" t="n"/>
      <c r="CV6" s="15" t="n">
        <v>0</v>
      </c>
      <c r="CW6" s="982" t="n">
        <v>24</v>
      </c>
      <c r="CX6" s="984" t="n">
        <v>24</v>
      </c>
      <c r="CY6" s="982" t="n"/>
      <c r="CZ6" s="15" t="n">
        <v>0</v>
      </c>
      <c r="DA6" s="982" t="n"/>
      <c r="DB6" s="15" t="n">
        <v>0</v>
      </c>
      <c r="DC6" s="982" t="n"/>
      <c r="DD6" s="15" t="n">
        <v>0</v>
      </c>
      <c r="DE6" s="982" t="n"/>
      <c r="DF6" s="15" t="n">
        <v>0</v>
      </c>
      <c r="DG6" s="982" t="n"/>
      <c r="DH6" s="15" t="n">
        <v>0</v>
      </c>
      <c r="DI6" s="983">
        <f>CK6+CM6+CO6+CQ6+CS6+CU6+CW6+CY6+DA6+DC6+DE6+DG6</f>
        <v/>
      </c>
      <c r="DJ6" s="983">
        <f>CL6+CN6+CP6+CR6+CT6+CV6+CX6+CZ6+DB6+DD6+DF6+DH6</f>
        <v/>
      </c>
      <c r="DK6" s="983">
        <f>(CK6+CM6)/2</f>
        <v/>
      </c>
      <c r="DL6" s="984">
        <f>(CL6+CN6)/2</f>
        <v/>
      </c>
      <c r="DM6" s="985">
        <f>DI6/12</f>
        <v/>
      </c>
      <c r="DN6" s="1129">
        <f>DJ6/12</f>
        <v/>
      </c>
      <c r="DO6" s="69">
        <f>DN6/$DN$57%</f>
        <v/>
      </c>
      <c r="DP6" s="982" t="n"/>
      <c r="DQ6" s="976" t="n"/>
      <c r="DR6" s="975" t="n"/>
      <c r="DS6" s="976" t="n"/>
      <c r="DT6" s="982" t="n"/>
      <c r="DU6" s="15" t="n"/>
      <c r="DV6" s="982" t="n"/>
      <c r="DW6" s="15" t="n"/>
      <c r="DX6" s="982" t="n"/>
      <c r="DY6" s="15" t="n"/>
      <c r="DZ6" s="982" t="n"/>
      <c r="EA6" s="15" t="n"/>
      <c r="EB6" s="982" t="n"/>
      <c r="EC6" s="984" t="n"/>
      <c r="ED6" s="982" t="n"/>
      <c r="EE6" s="15" t="n"/>
      <c r="EF6" s="982" t="n"/>
      <c r="EG6" s="15" t="n"/>
      <c r="EH6" s="982" t="n"/>
      <c r="EI6" s="15" t="n"/>
      <c r="EJ6" s="982" t="n"/>
      <c r="EK6" s="15" t="n"/>
      <c r="EL6" s="982" t="n"/>
      <c r="EM6" s="15" t="n"/>
      <c r="EN6" s="983">
        <f>DP6+DR6+DT6+DV6+DX6+DZ6+EB6+ED6+EF6+EH6+EJ6+EL6</f>
        <v/>
      </c>
      <c r="EO6" s="983">
        <f>DQ6+DS6+DU6+DW6+DY6+EA6+EC6+EE6+EG6+EI6+EK6+EM6</f>
        <v/>
      </c>
      <c r="EP6" s="985">
        <f>EN6/2</f>
        <v/>
      </c>
      <c r="EQ6" s="1129">
        <f>EO6/2</f>
        <v/>
      </c>
      <c r="ER6" s="535">
        <f>EQ6/$EQ$57%</f>
        <v/>
      </c>
      <c r="ES6" s="1130">
        <f>ER6-DO6</f>
        <v/>
      </c>
      <c r="ET6" s="1130" t="n"/>
      <c r="EU6" s="1130">
        <f>EQ6/DN6*100-100</f>
        <v/>
      </c>
      <c r="EV6" s="1130">
        <f>EQ6-DN6</f>
        <v/>
      </c>
      <c r="EW6" s="1000">
        <f>EQ6-DL6</f>
        <v/>
      </c>
      <c r="EX6" s="1130">
        <f>EV6/14</f>
        <v/>
      </c>
      <c r="EY6" s="1130">
        <f>EW6/14</f>
        <v/>
      </c>
      <c r="EZ6" s="1130">
        <f>EY6*2</f>
        <v/>
      </c>
    </row>
    <row r="7">
      <c r="A7" s="7" t="n">
        <v>3</v>
      </c>
      <c r="B7" s="8" t="inlineStr">
        <is>
          <t>"Zay" Vodka - 640ml</t>
        </is>
      </c>
      <c r="C7" s="8" t="inlineStr">
        <is>
          <t>ပုလင်း</t>
        </is>
      </c>
      <c r="D7" s="7" t="n">
        <v>0.64</v>
      </c>
      <c r="E7" s="7" t="inlineStr">
        <is>
          <t>1 * 14</t>
        </is>
      </c>
      <c r="F7" s="7" t="n">
        <v>1230</v>
      </c>
      <c r="G7" s="975" t="n"/>
      <c r="H7" s="976" t="n">
        <v>0</v>
      </c>
      <c r="I7" s="975" t="n"/>
      <c r="J7" s="976" t="n">
        <v>0</v>
      </c>
      <c r="K7" s="975" t="n"/>
      <c r="L7" s="976" t="n">
        <v>0</v>
      </c>
      <c r="M7" s="975" t="n"/>
      <c r="N7" s="976" t="n">
        <v>0</v>
      </c>
      <c r="O7" s="975" t="n"/>
      <c r="P7" s="976" t="n">
        <v>0</v>
      </c>
      <c r="Q7" s="975" t="n"/>
      <c r="R7" s="976" t="n">
        <v>0</v>
      </c>
      <c r="S7" s="975" t="n"/>
      <c r="T7" s="976" t="n">
        <v>0</v>
      </c>
      <c r="U7" s="975" t="n"/>
      <c r="V7" s="976" t="n">
        <v>0</v>
      </c>
      <c r="W7" s="975" t="n"/>
      <c r="X7" s="976" t="n">
        <v>0</v>
      </c>
      <c r="Y7" s="975" t="n"/>
      <c r="Z7" s="976" t="n">
        <v>0</v>
      </c>
      <c r="AA7" s="975" t="n"/>
      <c r="AB7" s="976" t="n">
        <v>0</v>
      </c>
      <c r="AC7" s="975" t="n"/>
      <c r="AD7" s="976" t="n">
        <v>0</v>
      </c>
      <c r="AE7" s="977" t="n">
        <v>0</v>
      </c>
      <c r="AF7" s="978" t="n">
        <v>0</v>
      </c>
      <c r="AG7" s="975" t="n"/>
      <c r="AH7" s="976" t="n">
        <v>0</v>
      </c>
      <c r="AI7" s="975" t="n"/>
      <c r="AJ7" s="976" t="n">
        <v>0</v>
      </c>
      <c r="AK7" s="975" t="n"/>
      <c r="AL7" s="976" t="n">
        <v>0</v>
      </c>
      <c r="AM7" s="975" t="n"/>
      <c r="AN7" s="976" t="n">
        <v>0</v>
      </c>
      <c r="AO7" s="975" t="n"/>
      <c r="AP7" s="976" t="n">
        <v>0</v>
      </c>
      <c r="AQ7" s="975" t="n"/>
      <c r="AR7" s="976" t="n">
        <v>0</v>
      </c>
      <c r="AS7" s="975" t="n"/>
      <c r="AT7" s="976" t="n">
        <v>0</v>
      </c>
      <c r="AU7" s="975" t="n"/>
      <c r="AV7" s="976" t="n">
        <v>0</v>
      </c>
      <c r="AW7" s="975" t="n"/>
      <c r="AX7" s="976" t="n">
        <v>0</v>
      </c>
      <c r="AY7" s="975" t="n"/>
      <c r="AZ7" s="976" t="n">
        <v>0</v>
      </c>
      <c r="BA7" s="975" t="n"/>
      <c r="BB7" s="976" t="n">
        <v>0</v>
      </c>
      <c r="BC7" s="975" t="n"/>
      <c r="BD7" s="976" t="n">
        <v>0</v>
      </c>
      <c r="BE7" s="977" t="n">
        <v>0</v>
      </c>
      <c r="BF7" s="978" t="n">
        <v>0</v>
      </c>
      <c r="BG7" s="975" t="n">
        <v>175070</v>
      </c>
      <c r="BH7" s="976" t="n">
        <v>112044.8</v>
      </c>
      <c r="BI7" s="975" t="n">
        <v>155676</v>
      </c>
      <c r="BJ7" s="976" t="n">
        <v>99632.64</v>
      </c>
      <c r="BK7" s="975" t="n">
        <v>162568</v>
      </c>
      <c r="BL7" s="976" t="n">
        <v>104043.52</v>
      </c>
      <c r="BM7" s="975" t="n">
        <v>148862</v>
      </c>
      <c r="BN7" s="976" t="n">
        <v>95271.68000000001</v>
      </c>
      <c r="BO7" s="975" t="n">
        <v>160404</v>
      </c>
      <c r="BP7" s="976" t="n">
        <v>102658.56</v>
      </c>
      <c r="BQ7" s="975" t="n">
        <v>149233</v>
      </c>
      <c r="BR7" s="976" t="n">
        <v>95509.12</v>
      </c>
      <c r="BS7" s="975" t="n">
        <v>157353</v>
      </c>
      <c r="BT7" s="976" t="n">
        <v>100705.92</v>
      </c>
      <c r="BU7" s="975" t="n">
        <v>179116</v>
      </c>
      <c r="BV7" s="976" t="n">
        <v>114634.24</v>
      </c>
      <c r="BW7" s="975" t="n">
        <v>170683</v>
      </c>
      <c r="BX7" s="976" t="n">
        <v>109237.12</v>
      </c>
      <c r="BY7" s="975" t="n">
        <v>185136</v>
      </c>
      <c r="BZ7" s="976" t="n">
        <v>118487.04</v>
      </c>
      <c r="CA7" s="975" t="n">
        <v>155498</v>
      </c>
      <c r="CB7" s="976" t="n">
        <v>99518.72</v>
      </c>
      <c r="CC7" s="975" t="n">
        <v>193405</v>
      </c>
      <c r="CD7" s="976" t="n">
        <v>123779.2</v>
      </c>
      <c r="CE7" s="979">
        <f>(BG7+BI7+BK7+BM7+BO7+BQ7+BS7+BU7+BW7+BY7+CA7)/11</f>
        <v/>
      </c>
      <c r="CF7" s="976">
        <f>(BH7+BJ7+BL7+BN7+BP7+BR7+BT7+BV7+BX7+BZ7+CB7)/11</f>
        <v/>
      </c>
      <c r="CG7" s="977" t="n">
        <v>166083.6666666667</v>
      </c>
      <c r="CH7" s="978" t="n">
        <v>106293.5466666667</v>
      </c>
      <c r="CI7" s="15" t="n">
        <v>18.85621753786971</v>
      </c>
      <c r="CJ7" s="15" t="n">
        <v>19.13</v>
      </c>
      <c r="CK7" s="982" t="n">
        <v>179189</v>
      </c>
      <c r="CL7" s="976" t="n">
        <v>114680.96</v>
      </c>
      <c r="CM7" s="982" t="n">
        <v>156743</v>
      </c>
      <c r="CN7" s="15" t="n">
        <v>100315.52</v>
      </c>
      <c r="CO7" s="982" t="n">
        <v>209757</v>
      </c>
      <c r="CP7" s="15" t="n">
        <v>134244.48</v>
      </c>
      <c r="CQ7" s="982" t="n">
        <v>163352</v>
      </c>
      <c r="CR7" s="15" t="n">
        <v>104545.28</v>
      </c>
      <c r="CS7" s="982" t="n">
        <v>167668</v>
      </c>
      <c r="CT7" s="15" t="n">
        <v>107307.52</v>
      </c>
      <c r="CU7" s="982" t="n">
        <v>169518</v>
      </c>
      <c r="CV7" s="15" t="n">
        <v>108491.52</v>
      </c>
      <c r="CW7" s="982" t="n">
        <v>154737</v>
      </c>
      <c r="CX7" s="984" t="n">
        <v>99031.68000000001</v>
      </c>
      <c r="CY7" s="982" t="n">
        <v>177450</v>
      </c>
      <c r="CZ7" s="15" t="n">
        <v>113568</v>
      </c>
      <c r="DA7" s="982" t="n">
        <v>159414</v>
      </c>
      <c r="DB7" s="15" t="n">
        <v>102024.96</v>
      </c>
      <c r="DC7" s="982" t="n">
        <v>150772</v>
      </c>
      <c r="DD7" s="15" t="n">
        <v>96494.08</v>
      </c>
      <c r="DE7" s="982" t="n">
        <v>171122</v>
      </c>
      <c r="DF7" s="15" t="n">
        <v>109518.08</v>
      </c>
      <c r="DG7" s="982" t="n">
        <v>181923</v>
      </c>
      <c r="DH7" s="15" t="n">
        <v>116430.72</v>
      </c>
      <c r="DI7" s="983">
        <f>CK7+CM7+CO7+CQ7+CS7+CU7+CW7+CY7+DA7+DC7+DE7+DG7</f>
        <v/>
      </c>
      <c r="DJ7" s="983">
        <f>CL7+CN7+CP7+CR7+CT7+CV7+CX7+CZ7+DB7+DD7+DF7+DH7</f>
        <v/>
      </c>
      <c r="DK7" s="983">
        <f>(CK7+CM7)/2</f>
        <v/>
      </c>
      <c r="DL7" s="984">
        <f>(CL7+CN7)/2</f>
        <v/>
      </c>
      <c r="DM7" s="985">
        <f>DI7/12</f>
        <v/>
      </c>
      <c r="DN7" s="1129">
        <f>DJ7/12</f>
        <v/>
      </c>
      <c r="DO7" s="69">
        <f>DN7/$DN$57%</f>
        <v/>
      </c>
      <c r="DP7" s="982" t="n">
        <v>128898</v>
      </c>
      <c r="DQ7" s="976" t="n">
        <v>82494.72</v>
      </c>
      <c r="DR7" s="975" t="n">
        <v>121791</v>
      </c>
      <c r="DS7" s="976" t="n">
        <v>77946.24000000001</v>
      </c>
      <c r="DT7" s="982" t="n"/>
      <c r="DU7" s="15" t="n"/>
      <c r="DV7" s="982" t="n"/>
      <c r="DW7" s="15" t="n"/>
      <c r="DX7" s="982" t="n"/>
      <c r="DY7" s="15" t="n"/>
      <c r="DZ7" s="982" t="n"/>
      <c r="EA7" s="15" t="n"/>
      <c r="EB7" s="982" t="n"/>
      <c r="EC7" s="984" t="n"/>
      <c r="ED7" s="982" t="n"/>
      <c r="EE7" s="15" t="n"/>
      <c r="EF7" s="982" t="n"/>
      <c r="EG7" s="15" t="n"/>
      <c r="EH7" s="982" t="n"/>
      <c r="EI7" s="15" t="n"/>
      <c r="EJ7" s="982" t="n"/>
      <c r="EK7" s="15" t="n"/>
      <c r="EL7" s="982" t="n"/>
      <c r="EM7" s="15" t="n"/>
      <c r="EN7" s="983">
        <f>DP7+DR7+DT7+DV7+DX7+DZ7+EB7+ED7+EF7+EH7+EJ7+EL7</f>
        <v/>
      </c>
      <c r="EO7" s="983">
        <f>DQ7+DS7+DU7+DW7+DY7+EA7+EC7+EE7+EG7+EI7+EK7+EM7</f>
        <v/>
      </c>
      <c r="EP7" s="985">
        <f>EN7/2</f>
        <v/>
      </c>
      <c r="EQ7" s="1129">
        <f>EO7/2</f>
        <v/>
      </c>
      <c r="ER7" s="535">
        <f>EQ7/$EQ$57%</f>
        <v/>
      </c>
      <c r="ES7" s="1130">
        <f>ER7-DO7</f>
        <v/>
      </c>
      <c r="ET7" s="1130">
        <f>EQ7/DL7*100-100</f>
        <v/>
      </c>
      <c r="EU7" s="1130">
        <f>EQ7/DN7*100-100</f>
        <v/>
      </c>
      <c r="EV7" s="1130">
        <f>EQ7-DN7</f>
        <v/>
      </c>
      <c r="EW7" s="1000">
        <f>EQ7-DL7</f>
        <v/>
      </c>
      <c r="EX7" s="1130">
        <f>EV7/14</f>
        <v/>
      </c>
      <c r="EY7" s="1130">
        <f>EW7/14</f>
        <v/>
      </c>
      <c r="EZ7" s="1130">
        <f>EY7*2</f>
        <v/>
      </c>
    </row>
    <row r="8" customFormat="1" s="251">
      <c r="A8" s="246" t="n"/>
      <c r="B8" s="247" t="inlineStr">
        <is>
          <t>Zay</t>
        </is>
      </c>
      <c r="C8" s="247" t="n"/>
      <c r="D8" s="246" t="n"/>
      <c r="E8" s="246" t="n"/>
      <c r="F8" s="246" t="n"/>
      <c r="G8" s="1131" t="n"/>
      <c r="H8" s="1132" t="n"/>
      <c r="I8" s="1131" t="n"/>
      <c r="J8" s="1132" t="n"/>
      <c r="K8" s="1131" t="n"/>
      <c r="L8" s="1132" t="n"/>
      <c r="M8" s="1131" t="n"/>
      <c r="N8" s="1132" t="n"/>
      <c r="O8" s="1131" t="n"/>
      <c r="P8" s="1132" t="n"/>
      <c r="Q8" s="1131" t="n"/>
      <c r="R8" s="1132" t="n"/>
      <c r="S8" s="1131" t="n"/>
      <c r="T8" s="1132" t="n"/>
      <c r="U8" s="1131" t="n"/>
      <c r="V8" s="1132" t="n"/>
      <c r="W8" s="1131" t="n"/>
      <c r="X8" s="1132" t="n"/>
      <c r="Y8" s="1131" t="n"/>
      <c r="Z8" s="1132" t="n"/>
      <c r="AA8" s="1131" t="n"/>
      <c r="AB8" s="1132" t="n"/>
      <c r="AC8" s="1131" t="n"/>
      <c r="AD8" s="1132" t="n"/>
      <c r="AE8" s="1131" t="n"/>
      <c r="AF8" s="1132" t="n"/>
      <c r="AG8" s="1131" t="n"/>
      <c r="AH8" s="1132" t="n"/>
      <c r="AI8" s="1131" t="n"/>
      <c r="AJ8" s="1132" t="n"/>
      <c r="AK8" s="1131" t="n"/>
      <c r="AL8" s="1132" t="n"/>
      <c r="AM8" s="1131" t="n"/>
      <c r="AN8" s="1132" t="n"/>
      <c r="AO8" s="1131" t="n"/>
      <c r="AP8" s="1132" t="n"/>
      <c r="AQ8" s="1131" t="n"/>
      <c r="AR8" s="1132" t="n"/>
      <c r="AS8" s="1131" t="n"/>
      <c r="AT8" s="1132" t="n"/>
      <c r="AU8" s="1131" t="n"/>
      <c r="AV8" s="1132" t="n"/>
      <c r="AW8" s="1131" t="n"/>
      <c r="AX8" s="1132" t="n"/>
      <c r="AY8" s="1131" t="n"/>
      <c r="AZ8" s="1132" t="n"/>
      <c r="BA8" s="1131" t="n"/>
      <c r="BB8" s="1132" t="n"/>
      <c r="BC8" s="1131" t="n"/>
      <c r="BD8" s="1132" t="n"/>
      <c r="BE8" s="1131" t="n"/>
      <c r="BF8" s="1132" t="n"/>
      <c r="BG8" s="1131" t="n"/>
      <c r="BH8" s="1132" t="n"/>
      <c r="BI8" s="1131" t="n"/>
      <c r="BJ8" s="1132" t="n"/>
      <c r="BK8" s="1131" t="n"/>
      <c r="BL8" s="1132" t="n"/>
      <c r="BM8" s="1131" t="n"/>
      <c r="BN8" s="1132" t="n"/>
      <c r="BO8" s="1131" t="n"/>
      <c r="BP8" s="1132" t="n"/>
      <c r="BQ8" s="1131" t="n"/>
      <c r="BR8" s="1132" t="n"/>
      <c r="BS8" s="1131" t="n"/>
      <c r="BT8" s="1132" t="n"/>
      <c r="BU8" s="1131" t="n"/>
      <c r="BV8" s="1132" t="n"/>
      <c r="BW8" s="1131" t="n"/>
      <c r="BX8" s="1132" t="n"/>
      <c r="BY8" s="1131" t="n"/>
      <c r="BZ8" s="1132" t="n"/>
      <c r="CA8" s="1131" t="n"/>
      <c r="CB8" s="1132" t="n"/>
      <c r="CC8" s="1131" t="n"/>
      <c r="CD8" s="1132" t="n"/>
      <c r="CE8" s="1133">
        <f>SUM(CE6:CE7)</f>
        <v/>
      </c>
      <c r="CF8" s="1133">
        <f>SUM(CF6:CF7)</f>
        <v/>
      </c>
      <c r="CG8" s="1133">
        <f>SUM(CG6:CG7)</f>
        <v/>
      </c>
      <c r="CH8" s="1133">
        <f>SUM(CH6:CH7)</f>
        <v/>
      </c>
      <c r="CI8" s="1133">
        <f>SUM(CI6:CI7)</f>
        <v/>
      </c>
      <c r="CJ8" s="1133">
        <f>SUM(CJ6:CJ7)</f>
        <v/>
      </c>
      <c r="CK8" s="1133">
        <f>SUM(CK6:CK7)</f>
        <v/>
      </c>
      <c r="CL8" s="1133">
        <f>SUM(CL6:CL7)</f>
        <v/>
      </c>
      <c r="CM8" s="1133">
        <f>SUM(CM6:CM7)</f>
        <v/>
      </c>
      <c r="CN8" s="1133">
        <f>SUM(CN6:CN7)</f>
        <v/>
      </c>
      <c r="CO8" s="1133">
        <f>SUM(CO6:CO7)</f>
        <v/>
      </c>
      <c r="CP8" s="1133">
        <f>SUM(CP6:CP7)</f>
        <v/>
      </c>
      <c r="CQ8" s="1133">
        <f>SUM(CQ6:CQ7)</f>
        <v/>
      </c>
      <c r="CR8" s="1133">
        <f>SUM(CR6:CR7)</f>
        <v/>
      </c>
      <c r="CS8" s="1133">
        <f>SUM(CS6:CS7)</f>
        <v/>
      </c>
      <c r="CT8" s="1133">
        <f>SUM(CT6:CT7)</f>
        <v/>
      </c>
      <c r="CU8" s="1133">
        <f>SUM(CU6:CU7)</f>
        <v/>
      </c>
      <c r="CV8" s="1133">
        <f>SUM(CV6:CV7)</f>
        <v/>
      </c>
      <c r="CW8" s="1133">
        <f>SUM(CW6:CW7)</f>
        <v/>
      </c>
      <c r="CX8" s="1133">
        <f>SUM(CX6:CX7)</f>
        <v/>
      </c>
      <c r="CY8" s="1133">
        <f>SUM(CY6:CY7)</f>
        <v/>
      </c>
      <c r="CZ8" s="1133">
        <f>SUM(CZ6:CZ7)</f>
        <v/>
      </c>
      <c r="DA8" s="1133">
        <f>SUM(DA6:DA7)</f>
        <v/>
      </c>
      <c r="DB8" s="1133">
        <f>SUM(DB6:DB7)</f>
        <v/>
      </c>
      <c r="DC8" s="1133">
        <f>SUM(DC6:DC7)</f>
        <v/>
      </c>
      <c r="DD8" s="1133">
        <f>SUM(DD6:DD7)</f>
        <v/>
      </c>
      <c r="DE8" s="1133">
        <f>SUM(DE6:DE7)</f>
        <v/>
      </c>
      <c r="DF8" s="1133">
        <f>SUM(DF6:DF7)</f>
        <v/>
      </c>
      <c r="DG8" s="1133">
        <f>SUM(DG6:DG7)</f>
        <v/>
      </c>
      <c r="DH8" s="1133">
        <f>SUM(DH6:DH7)</f>
        <v/>
      </c>
      <c r="DI8" s="1133">
        <f>SUM(DI6:DI7)</f>
        <v/>
      </c>
      <c r="DJ8" s="1133">
        <f>SUM(DJ6:DJ7)</f>
        <v/>
      </c>
      <c r="DK8" s="1134">
        <f>(CK8+CM8)/2</f>
        <v/>
      </c>
      <c r="DL8" s="1135">
        <f>(CL8+CN8)/2</f>
        <v/>
      </c>
      <c r="DM8" s="1136">
        <f>DI8/12</f>
        <v/>
      </c>
      <c r="DN8" s="1137">
        <f>DJ8/12</f>
        <v/>
      </c>
      <c r="DO8" s="1133">
        <f>SUM(DO6:DO7)</f>
        <v/>
      </c>
      <c r="DP8" s="1133">
        <f>SUM(DP6:DP7)</f>
        <v/>
      </c>
      <c r="DQ8" s="1133">
        <f>SUM(DQ6:DQ7)</f>
        <v/>
      </c>
      <c r="DR8" s="1133">
        <f>SUM(DR6:DR7)</f>
        <v/>
      </c>
      <c r="DS8" s="1133">
        <f>SUM(DS6:DS7)</f>
        <v/>
      </c>
      <c r="DT8" s="1133">
        <f>SUM(DT6:DT7)</f>
        <v/>
      </c>
      <c r="DU8" s="1133">
        <f>SUM(DU6:DU7)</f>
        <v/>
      </c>
      <c r="DV8" s="1133">
        <f>SUM(DV6:DV7)</f>
        <v/>
      </c>
      <c r="DW8" s="1133">
        <f>SUM(DW6:DW7)</f>
        <v/>
      </c>
      <c r="DX8" s="1133">
        <f>SUM(DX6:DX7)</f>
        <v/>
      </c>
      <c r="DY8" s="1133">
        <f>SUM(DY6:DY7)</f>
        <v/>
      </c>
      <c r="DZ8" s="1133">
        <f>SUM(DZ6:DZ7)</f>
        <v/>
      </c>
      <c r="EA8" s="1133">
        <f>SUM(EA6:EA7)</f>
        <v/>
      </c>
      <c r="EB8" s="1133">
        <f>SUM(EB6:EB7)</f>
        <v/>
      </c>
      <c r="EC8" s="1133">
        <f>SUM(EC6:EC7)</f>
        <v/>
      </c>
      <c r="ED8" s="1133">
        <f>SUM(ED6:ED7)</f>
        <v/>
      </c>
      <c r="EE8" s="1133">
        <f>SUM(EE6:EE7)</f>
        <v/>
      </c>
      <c r="EF8" s="1133">
        <f>SUM(EF6:EF7)</f>
        <v/>
      </c>
      <c r="EG8" s="1133">
        <f>SUM(EG6:EG7)</f>
        <v/>
      </c>
      <c r="EH8" s="1133">
        <f>SUM(EH6:EH7)</f>
        <v/>
      </c>
      <c r="EI8" s="1133">
        <f>SUM(EI6:EI7)</f>
        <v/>
      </c>
      <c r="EJ8" s="1133">
        <f>SUM(EJ6:EJ7)</f>
        <v/>
      </c>
      <c r="EK8" s="1133">
        <f>SUM(EK6:EK7)</f>
        <v/>
      </c>
      <c r="EL8" s="1133">
        <f>SUM(EL6:EL7)</f>
        <v/>
      </c>
      <c r="EM8" s="1133">
        <f>SUM(EM6:EM7)</f>
        <v/>
      </c>
      <c r="EN8" s="1133">
        <f>SUM(EN6:EN7)</f>
        <v/>
      </c>
      <c r="EO8" s="1133">
        <f>SUM(EO6:EO7)</f>
        <v/>
      </c>
      <c r="EP8" s="1136">
        <f>EN8/2</f>
        <v/>
      </c>
      <c r="EQ8" s="1137">
        <f>EO8/2</f>
        <v/>
      </c>
      <c r="ER8" s="536">
        <f>EQ8/$EQ$57%</f>
        <v/>
      </c>
      <c r="ES8" s="1138">
        <f>ER8-DO8</f>
        <v/>
      </c>
      <c r="ET8" s="1138">
        <f>EQ8/DL8*100-100</f>
        <v/>
      </c>
      <c r="EU8" s="1138">
        <f>EQ8/DN8*100-100</f>
        <v/>
      </c>
      <c r="EV8" s="1138">
        <f>EQ8-DN8</f>
        <v/>
      </c>
      <c r="EW8" s="1139">
        <f>EQ8-DL8</f>
        <v/>
      </c>
      <c r="EX8" s="1138">
        <f>EV8/14</f>
        <v/>
      </c>
      <c r="EY8" s="1138">
        <f>EW8/14</f>
        <v/>
      </c>
      <c r="EZ8" s="1138">
        <f>EY8*2</f>
        <v/>
      </c>
    </row>
    <row r="9">
      <c r="A9" s="7" t="n">
        <v>4</v>
      </c>
      <c r="B9" s="8" t="inlineStr">
        <is>
          <t>Kaung Kyi (1 Liter)_25%</t>
        </is>
      </c>
      <c r="C9" s="8" t="inlineStr">
        <is>
          <t>‌ကော်ဘူး</t>
        </is>
      </c>
      <c r="D9" s="7" t="n">
        <v>1</v>
      </c>
      <c r="E9" s="7" t="inlineStr">
        <is>
          <t>1 * 12</t>
        </is>
      </c>
      <c r="F9" s="7" t="n">
        <v>1530</v>
      </c>
      <c r="G9" s="975" t="n">
        <v>8475</v>
      </c>
      <c r="H9" s="976" t="n">
        <v>8475</v>
      </c>
      <c r="I9" s="975" t="n">
        <v>7344</v>
      </c>
      <c r="J9" s="976" t="n">
        <v>7344</v>
      </c>
      <c r="K9" s="975" t="n">
        <v>14040</v>
      </c>
      <c r="L9" s="976" t="n">
        <v>14040</v>
      </c>
      <c r="M9" s="975" t="n">
        <v>10788</v>
      </c>
      <c r="N9" s="976" t="n">
        <v>10788</v>
      </c>
      <c r="O9" s="975" t="n">
        <v>5844</v>
      </c>
      <c r="P9" s="976" t="n">
        <v>5844</v>
      </c>
      <c r="Q9" s="975" t="n">
        <v>7104</v>
      </c>
      <c r="R9" s="976" t="n">
        <v>7104</v>
      </c>
      <c r="S9" s="975" t="n">
        <v>10047</v>
      </c>
      <c r="T9" s="976" t="n">
        <v>10047</v>
      </c>
      <c r="U9" s="975" t="n">
        <v>12900</v>
      </c>
      <c r="V9" s="976" t="n">
        <v>12900</v>
      </c>
      <c r="W9" s="975" t="n">
        <v>8244</v>
      </c>
      <c r="X9" s="976" t="n">
        <v>8244</v>
      </c>
      <c r="Y9" s="975" t="n">
        <v>9120</v>
      </c>
      <c r="Z9" s="976" t="n">
        <v>9120</v>
      </c>
      <c r="AA9" s="975" t="n">
        <v>13236</v>
      </c>
      <c r="AB9" s="976" t="n">
        <v>13236</v>
      </c>
      <c r="AC9" s="975" t="n">
        <v>10632</v>
      </c>
      <c r="AD9" s="976" t="n">
        <v>10632</v>
      </c>
      <c r="AE9" s="977" t="n">
        <v>9814.5</v>
      </c>
      <c r="AF9" s="978" t="n">
        <v>9814.5</v>
      </c>
      <c r="AG9" s="975" t="n">
        <v>12312</v>
      </c>
      <c r="AH9" s="976" t="n">
        <v>12312</v>
      </c>
      <c r="AI9" s="975" t="n">
        <v>6684</v>
      </c>
      <c r="AJ9" s="976" t="n">
        <v>6684</v>
      </c>
      <c r="AK9" s="975" t="n">
        <v>12432</v>
      </c>
      <c r="AL9" s="976" t="n">
        <v>12432</v>
      </c>
      <c r="AM9" s="975" t="n">
        <v>12108</v>
      </c>
      <c r="AN9" s="976" t="n">
        <v>12108</v>
      </c>
      <c r="AO9" s="975" t="n">
        <v>12456</v>
      </c>
      <c r="AP9" s="976" t="n">
        <v>12456</v>
      </c>
      <c r="AQ9" s="975" t="n">
        <v>13150</v>
      </c>
      <c r="AR9" s="976" t="n">
        <v>13150</v>
      </c>
      <c r="AS9" s="975" t="n">
        <v>15358</v>
      </c>
      <c r="AT9" s="976" t="n">
        <v>15358</v>
      </c>
      <c r="AU9" s="975" t="n">
        <v>10075</v>
      </c>
      <c r="AV9" s="976" t="n">
        <v>10075</v>
      </c>
      <c r="AW9" s="975" t="n">
        <v>13018</v>
      </c>
      <c r="AX9" s="976" t="n">
        <v>13018</v>
      </c>
      <c r="AY9" s="975" t="n">
        <v>10356</v>
      </c>
      <c r="AZ9" s="976" t="n">
        <v>10356</v>
      </c>
      <c r="BA9" s="975" t="n">
        <v>16800</v>
      </c>
      <c r="BB9" s="976" t="n">
        <v>16800</v>
      </c>
      <c r="BC9" s="975" t="n">
        <v>16884</v>
      </c>
      <c r="BD9" s="976" t="n">
        <v>16884</v>
      </c>
      <c r="BE9" s="977" t="n">
        <v>12636.08333333333</v>
      </c>
      <c r="BF9" s="978" t="n">
        <v>12636.08333333333</v>
      </c>
      <c r="BG9" s="975" t="n">
        <v>15300</v>
      </c>
      <c r="BH9" s="976" t="n">
        <v>15300</v>
      </c>
      <c r="BI9" s="975" t="n">
        <v>13344</v>
      </c>
      <c r="BJ9" s="976" t="n">
        <v>13344</v>
      </c>
      <c r="BK9" s="975" t="n">
        <v>11724</v>
      </c>
      <c r="BL9" s="976" t="n">
        <v>11724</v>
      </c>
      <c r="BM9" s="975" t="n">
        <v>18996</v>
      </c>
      <c r="BN9" s="976" t="n">
        <v>18996</v>
      </c>
      <c r="BO9" s="975" t="n">
        <v>9228</v>
      </c>
      <c r="BP9" s="976" t="n">
        <v>9228</v>
      </c>
      <c r="BQ9" s="975" t="n">
        <v>13296</v>
      </c>
      <c r="BR9" s="976" t="n">
        <v>13296</v>
      </c>
      <c r="BS9" s="975" t="n">
        <v>18504</v>
      </c>
      <c r="BT9" s="976" t="n">
        <v>18504</v>
      </c>
      <c r="BU9" s="975" t="n">
        <v>21840</v>
      </c>
      <c r="BV9" s="976" t="n">
        <v>21840</v>
      </c>
      <c r="BW9" s="975" t="n">
        <v>19896</v>
      </c>
      <c r="BX9" s="976" t="n">
        <v>19896</v>
      </c>
      <c r="BY9" s="975" t="n">
        <v>28848</v>
      </c>
      <c r="BZ9" s="976" t="n">
        <v>28848</v>
      </c>
      <c r="CA9" s="975" t="n">
        <v>25560</v>
      </c>
      <c r="CB9" s="976" t="n">
        <v>25560</v>
      </c>
      <c r="CC9" s="975" t="n">
        <v>36288</v>
      </c>
      <c r="CD9" s="976" t="n">
        <v>36288</v>
      </c>
      <c r="CE9" s="979">
        <f>(BG9+BI9+BK9+BM9+BO9+BQ9+BS9+BU9+BW9+BY9+CA9)/11</f>
        <v/>
      </c>
      <c r="CF9" s="976">
        <f>(BH9+BJ9+BL9+BN9+BP9+BR9+BT9+BV9+BX9+BZ9+CB9)/11</f>
        <v/>
      </c>
      <c r="CG9" s="977" t="n">
        <v>19402</v>
      </c>
      <c r="CH9" s="978" t="n">
        <v>19402</v>
      </c>
      <c r="CI9" s="15" t="n">
        <v>3.441867772246206</v>
      </c>
      <c r="CJ9" s="15" t="n"/>
      <c r="CK9" s="982" t="n">
        <v>33792</v>
      </c>
      <c r="CL9" s="976" t="n">
        <v>33792</v>
      </c>
      <c r="CM9" s="982" t="n">
        <v>20238</v>
      </c>
      <c r="CN9" s="15" t="n">
        <v>20238</v>
      </c>
      <c r="CO9" s="982" t="n">
        <v>48540</v>
      </c>
      <c r="CP9" s="15" t="n">
        <v>48540</v>
      </c>
      <c r="CQ9" s="982" t="n">
        <v>22764</v>
      </c>
      <c r="CR9" s="15" t="n">
        <v>22764</v>
      </c>
      <c r="CS9" s="982" t="n">
        <v>26844</v>
      </c>
      <c r="CT9" s="15" t="n">
        <v>26844</v>
      </c>
      <c r="CU9" s="982" t="n">
        <v>33972</v>
      </c>
      <c r="CV9" s="15" t="n">
        <v>33972</v>
      </c>
      <c r="CW9" s="982" t="n">
        <v>40620</v>
      </c>
      <c r="CX9" s="15" t="n">
        <v>40620</v>
      </c>
      <c r="CY9" s="982" t="n">
        <v>36588</v>
      </c>
      <c r="CZ9" s="15" t="n">
        <v>36588</v>
      </c>
      <c r="DA9" s="982" t="n">
        <v>57684</v>
      </c>
      <c r="DB9" s="15" t="n">
        <v>57684</v>
      </c>
      <c r="DC9" s="982" t="n">
        <v>67716</v>
      </c>
      <c r="DD9" s="15" t="n">
        <v>67716</v>
      </c>
      <c r="DE9" s="982" t="n">
        <v>32580</v>
      </c>
      <c r="DF9" s="15" t="n">
        <v>32580</v>
      </c>
      <c r="DG9" s="982" t="n">
        <v>53064</v>
      </c>
      <c r="DH9" s="15" t="n">
        <v>53064</v>
      </c>
      <c r="DI9" s="983">
        <f>CK9+CM9+CO9+CQ9+CS9+CU9+CW9+CY9+DA9+DC9+DE9+DG9</f>
        <v/>
      </c>
      <c r="DJ9" s="983">
        <f>CL9+CN9+CP9+CR9+CT9+CV9+CX9+CZ9+DB9+DD9+DF9+DH9</f>
        <v/>
      </c>
      <c r="DK9" s="983">
        <f>(CK9+CM9)/2</f>
        <v/>
      </c>
      <c r="DL9" s="984">
        <f>(CL9+CN9)/2</f>
        <v/>
      </c>
      <c r="DM9" s="985">
        <f>DI9/12</f>
        <v/>
      </c>
      <c r="DN9" s="1129">
        <f>DJ9/12</f>
        <v/>
      </c>
      <c r="DO9" s="69">
        <f>DN9/$DN$57%</f>
        <v/>
      </c>
      <c r="DP9" s="982" t="n">
        <v>51190</v>
      </c>
      <c r="DQ9" s="976" t="n">
        <v>51190</v>
      </c>
      <c r="DR9" s="975" t="n">
        <v>42868</v>
      </c>
      <c r="DS9" s="976" t="n">
        <v>42868</v>
      </c>
      <c r="DT9" s="982" t="n"/>
      <c r="DU9" s="15" t="n"/>
      <c r="DV9" s="982" t="n"/>
      <c r="DW9" s="15" t="n"/>
      <c r="DX9" s="982" t="n"/>
      <c r="DY9" s="15" t="n"/>
      <c r="DZ9" s="982" t="n"/>
      <c r="EA9" s="15" t="n"/>
      <c r="EB9" s="982" t="n"/>
      <c r="EC9" s="15" t="n"/>
      <c r="ED9" s="982" t="n"/>
      <c r="EE9" s="15" t="n"/>
      <c r="EF9" s="982" t="n"/>
      <c r="EG9" s="15" t="n"/>
      <c r="EH9" s="982" t="n"/>
      <c r="EI9" s="15" t="n"/>
      <c r="EJ9" s="982" t="n"/>
      <c r="EK9" s="15" t="n"/>
      <c r="EL9" s="982" t="n"/>
      <c r="EM9" s="15" t="n"/>
      <c r="EN9" s="983">
        <f>DP9+DR9+DT9+DV9+DX9+DZ9+EB9+ED9+EF9+EH9+EJ9+EL9</f>
        <v/>
      </c>
      <c r="EO9" s="983">
        <f>DQ9+DS9+DU9+DW9+DY9+EA9+EC9+EE9+EG9+EI9+EK9+EM9</f>
        <v/>
      </c>
      <c r="EP9" s="985">
        <f>EN9/2</f>
        <v/>
      </c>
      <c r="EQ9" s="1129">
        <f>EO9/2</f>
        <v/>
      </c>
      <c r="ER9" s="535">
        <f>EQ9/$EQ$57%</f>
        <v/>
      </c>
      <c r="ES9" s="1130">
        <f>ER9-DO9</f>
        <v/>
      </c>
      <c r="ET9" s="1130">
        <f>EQ9/DL9*100-100</f>
        <v/>
      </c>
      <c r="EU9" s="1130">
        <f>EQ9/DN9*100-100</f>
        <v/>
      </c>
      <c r="EV9" s="1130">
        <f>EQ9-DN9</f>
        <v/>
      </c>
      <c r="EW9" s="1000">
        <f>EQ9-DL9</f>
        <v/>
      </c>
      <c r="EX9" s="1130">
        <f>EV9/14</f>
        <v/>
      </c>
      <c r="EY9" s="1130">
        <f>EW9/14</f>
        <v/>
      </c>
      <c r="EZ9" s="1130">
        <f>EY9*2</f>
        <v/>
      </c>
    </row>
    <row r="10">
      <c r="A10" s="7" t="n">
        <v>5</v>
      </c>
      <c r="B10" s="8" t="inlineStr">
        <is>
          <t>Kaung Kyi (0.6 Liter)_25%</t>
        </is>
      </c>
      <c r="C10" s="8" t="inlineStr">
        <is>
          <t>‌ကော်ဘူး</t>
        </is>
      </c>
      <c r="D10" s="7" t="n">
        <v>0.6</v>
      </c>
      <c r="E10" s="7" t="inlineStr">
        <is>
          <t>1 * 12</t>
        </is>
      </c>
      <c r="F10" s="7" t="n">
        <v>1090</v>
      </c>
      <c r="G10" s="975" t="n">
        <v>1824</v>
      </c>
      <c r="H10" s="976" t="n">
        <v>1094.4</v>
      </c>
      <c r="I10" s="975" t="n">
        <v>1464</v>
      </c>
      <c r="J10" s="976" t="n">
        <v>878.4</v>
      </c>
      <c r="K10" s="975" t="n">
        <v>3360</v>
      </c>
      <c r="L10" s="976" t="n">
        <v>2016</v>
      </c>
      <c r="M10" s="975" t="n">
        <v>3240</v>
      </c>
      <c r="N10" s="976" t="n">
        <v>1944</v>
      </c>
      <c r="O10" s="975" t="n">
        <v>660</v>
      </c>
      <c r="P10" s="976" t="n">
        <v>396</v>
      </c>
      <c r="Q10" s="975" t="n">
        <v>720</v>
      </c>
      <c r="R10" s="976" t="n">
        <v>432</v>
      </c>
      <c r="S10" s="975" t="n">
        <v>1056</v>
      </c>
      <c r="T10" s="976" t="n">
        <v>633.6</v>
      </c>
      <c r="U10" s="975" t="n">
        <v>1224</v>
      </c>
      <c r="V10" s="976" t="n">
        <v>734.4</v>
      </c>
      <c r="W10" s="975" t="n">
        <v>852</v>
      </c>
      <c r="X10" s="976" t="n">
        <v>511.2</v>
      </c>
      <c r="Y10" s="975" t="n">
        <v>480</v>
      </c>
      <c r="Z10" s="976" t="n">
        <v>288</v>
      </c>
      <c r="AA10" s="975" t="n">
        <v>744</v>
      </c>
      <c r="AB10" s="976" t="n">
        <v>446.4</v>
      </c>
      <c r="AC10" s="975" t="n">
        <v>1608</v>
      </c>
      <c r="AD10" s="976" t="n">
        <v>964.8</v>
      </c>
      <c r="AE10" s="977" t="n">
        <v>1436</v>
      </c>
      <c r="AF10" s="978" t="n">
        <v>861.6</v>
      </c>
      <c r="AG10" s="975" t="n">
        <v>1488</v>
      </c>
      <c r="AH10" s="976" t="n">
        <v>892.8</v>
      </c>
      <c r="AI10" s="975" t="n">
        <v>492</v>
      </c>
      <c r="AJ10" s="976" t="n">
        <v>295.2</v>
      </c>
      <c r="AK10" s="975" t="n">
        <v>552</v>
      </c>
      <c r="AL10" s="976" t="n">
        <v>331.2</v>
      </c>
      <c r="AM10" s="975" t="n">
        <v>600</v>
      </c>
      <c r="AN10" s="976" t="n">
        <v>360</v>
      </c>
      <c r="AO10" s="975" t="n">
        <v>780</v>
      </c>
      <c r="AP10" s="976" t="n">
        <v>468</v>
      </c>
      <c r="AQ10" s="975" t="n">
        <v>648</v>
      </c>
      <c r="AR10" s="976" t="n">
        <v>388.8</v>
      </c>
      <c r="AS10" s="975" t="n">
        <v>564</v>
      </c>
      <c r="AT10" s="976" t="n">
        <v>338.4</v>
      </c>
      <c r="AU10" s="975" t="n">
        <v>636</v>
      </c>
      <c r="AV10" s="976" t="n">
        <v>381.6</v>
      </c>
      <c r="AW10" s="975" t="n">
        <v>600</v>
      </c>
      <c r="AX10" s="976" t="n">
        <v>360</v>
      </c>
      <c r="AY10" s="975" t="n">
        <v>876</v>
      </c>
      <c r="AZ10" s="976" t="n">
        <v>525.6</v>
      </c>
      <c r="BA10" s="975" t="n">
        <v>720</v>
      </c>
      <c r="BB10" s="976" t="n">
        <v>432</v>
      </c>
      <c r="BC10" s="975" t="n">
        <v>576</v>
      </c>
      <c r="BD10" s="976" t="n">
        <v>345.6</v>
      </c>
      <c r="BE10" s="977" t="n">
        <v>711</v>
      </c>
      <c r="BF10" s="978" t="n">
        <v>426.6</v>
      </c>
      <c r="BG10" s="975" t="n">
        <v>900</v>
      </c>
      <c r="BH10" s="976" t="n">
        <v>540</v>
      </c>
      <c r="BI10" s="975" t="n">
        <v>564</v>
      </c>
      <c r="BJ10" s="976" t="n">
        <v>338.4</v>
      </c>
      <c r="BK10" s="975" t="n">
        <v>744</v>
      </c>
      <c r="BL10" s="976" t="n">
        <v>446.4</v>
      </c>
      <c r="BM10" s="975" t="n">
        <v>612</v>
      </c>
      <c r="BN10" s="976" t="n">
        <v>367.2</v>
      </c>
      <c r="BO10" s="975" t="n">
        <v>12</v>
      </c>
      <c r="BP10" s="976" t="n">
        <v>7.199999999999999</v>
      </c>
      <c r="BQ10" s="975" t="n">
        <v>336</v>
      </c>
      <c r="BR10" s="976" t="n">
        <v>201.6</v>
      </c>
      <c r="BS10" s="975" t="n">
        <v>408</v>
      </c>
      <c r="BT10" s="976" t="n">
        <v>244.8</v>
      </c>
      <c r="BU10" s="975" t="n">
        <v>336</v>
      </c>
      <c r="BV10" s="976" t="n">
        <v>201.6</v>
      </c>
      <c r="BW10" s="975" t="n">
        <v>840</v>
      </c>
      <c r="BX10" s="976" t="n">
        <v>504</v>
      </c>
      <c r="BY10" s="975" t="n">
        <v>1152</v>
      </c>
      <c r="BZ10" s="976" t="n">
        <v>691.1999999999999</v>
      </c>
      <c r="CA10" s="975" t="n">
        <v>1776</v>
      </c>
      <c r="CB10" s="976" t="n">
        <v>1065.6</v>
      </c>
      <c r="CC10" s="975" t="n">
        <v>600</v>
      </c>
      <c r="CD10" s="976" t="n">
        <v>360</v>
      </c>
      <c r="CE10" s="979">
        <f>(BG10+BI10+BK10+BM10+BO10+BQ10+BS10+BU10+BW10+BY10+CA10)/11</f>
        <v/>
      </c>
      <c r="CF10" s="976">
        <f>(BH10+BJ10+BL10+BN10+BP10+BR10+BT10+BV10+BX10+BZ10+CB10)/11</f>
        <v/>
      </c>
      <c r="CG10" s="977" t="n">
        <v>690</v>
      </c>
      <c r="CH10" s="978" t="n">
        <v>414</v>
      </c>
      <c r="CI10" s="15" t="n">
        <v>0.07344259652148899</v>
      </c>
      <c r="CJ10" s="15" t="n"/>
      <c r="CK10" s="982" t="n">
        <v>672</v>
      </c>
      <c r="CL10" s="976" t="n">
        <v>403.2</v>
      </c>
      <c r="CM10" s="982" t="n">
        <v>756</v>
      </c>
      <c r="CN10" s="15" t="n">
        <v>453.6</v>
      </c>
      <c r="CO10" s="982" t="n">
        <v>540</v>
      </c>
      <c r="CP10" s="15" t="n">
        <v>324</v>
      </c>
      <c r="CQ10" s="982" t="n">
        <v>756</v>
      </c>
      <c r="CR10" s="15" t="n">
        <v>453.6</v>
      </c>
      <c r="CS10" s="982" t="n">
        <v>720</v>
      </c>
      <c r="CT10" s="15" t="n">
        <v>432</v>
      </c>
      <c r="CU10" s="982" t="n">
        <v>456</v>
      </c>
      <c r="CV10" s="15" t="n">
        <v>273.6</v>
      </c>
      <c r="CW10" s="982" t="n">
        <v>648</v>
      </c>
      <c r="CX10" s="15" t="n">
        <v>388.8</v>
      </c>
      <c r="CY10" s="982" t="n">
        <v>552</v>
      </c>
      <c r="CZ10" s="15" t="n">
        <v>331.2</v>
      </c>
      <c r="DA10" s="982" t="n">
        <v>660</v>
      </c>
      <c r="DB10" s="15" t="n">
        <v>396</v>
      </c>
      <c r="DC10" s="982" t="n">
        <v>840</v>
      </c>
      <c r="DD10" s="15" t="n">
        <v>504</v>
      </c>
      <c r="DE10" s="982" t="n">
        <v>456</v>
      </c>
      <c r="DF10" s="15" t="n">
        <v>273.6</v>
      </c>
      <c r="DG10" s="982" t="n">
        <v>516</v>
      </c>
      <c r="DH10" s="15" t="n">
        <v>309.6</v>
      </c>
      <c r="DI10" s="983">
        <f>CK10+CM10+CO10+CQ10+CS10+CU10+CW10+CY10+DA10+DC10+DE10+DG10</f>
        <v/>
      </c>
      <c r="DJ10" s="983">
        <f>CL10+CN10+CP10+CR10+CT10+CV10+CX10+CZ10+DB10+DD10+DF10+DH10</f>
        <v/>
      </c>
      <c r="DK10" s="983">
        <f>(CK10+CM10)/2</f>
        <v/>
      </c>
      <c r="DL10" s="984">
        <f>(CL10+CN10)/2</f>
        <v/>
      </c>
      <c r="DM10" s="985">
        <f>DI10/12</f>
        <v/>
      </c>
      <c r="DN10" s="1129">
        <f>DJ10/12</f>
        <v/>
      </c>
      <c r="DO10" s="69">
        <f>DN10/$DN$57%</f>
        <v/>
      </c>
      <c r="DP10" s="982" t="n">
        <v>216</v>
      </c>
      <c r="DQ10" s="976" t="n">
        <v>129.6</v>
      </c>
      <c r="DR10" s="975" t="n"/>
      <c r="DS10" s="976" t="n"/>
      <c r="DT10" s="982" t="n"/>
      <c r="DU10" s="15" t="n"/>
      <c r="DV10" s="982" t="n"/>
      <c r="DW10" s="15" t="n"/>
      <c r="DX10" s="982" t="n"/>
      <c r="DY10" s="15" t="n"/>
      <c r="DZ10" s="982" t="n"/>
      <c r="EA10" s="15" t="n"/>
      <c r="EB10" s="982" t="n"/>
      <c r="EC10" s="15" t="n"/>
      <c r="ED10" s="982" t="n"/>
      <c r="EE10" s="15" t="n"/>
      <c r="EF10" s="982" t="n"/>
      <c r="EG10" s="15" t="n"/>
      <c r="EH10" s="982" t="n"/>
      <c r="EI10" s="15" t="n"/>
      <c r="EJ10" s="982" t="n"/>
      <c r="EK10" s="15" t="n"/>
      <c r="EL10" s="982" t="n"/>
      <c r="EM10" s="15" t="n"/>
      <c r="EN10" s="983">
        <f>DP10+DR10+DT10+DV10+DX10+DZ10+EB10+ED10+EF10+EH10+EJ10+EL10</f>
        <v/>
      </c>
      <c r="EO10" s="983">
        <f>DQ10+DS10+DU10+DW10+DY10+EA10+EC10+EE10+EG10+EI10+EK10+EM10</f>
        <v/>
      </c>
      <c r="EP10" s="985">
        <f>EN10/2</f>
        <v/>
      </c>
      <c r="EQ10" s="1129">
        <f>EO10/2</f>
        <v/>
      </c>
      <c r="ER10" s="535">
        <f>EQ10/$EQ$57%</f>
        <v/>
      </c>
      <c r="ES10" s="1130">
        <f>ER10-DO10</f>
        <v/>
      </c>
      <c r="ET10" s="1130">
        <f>EQ10/DL10*100-100</f>
        <v/>
      </c>
      <c r="EU10" s="1130">
        <f>EQ10/DN10*100-100</f>
        <v/>
      </c>
      <c r="EV10" s="1130">
        <f>EQ10-DN10</f>
        <v/>
      </c>
      <c r="EW10" s="1000">
        <f>EQ10-DL10</f>
        <v/>
      </c>
      <c r="EX10" s="1130">
        <f>EV10/14</f>
        <v/>
      </c>
      <c r="EY10" s="1130">
        <f>EW10/14</f>
        <v/>
      </c>
      <c r="EZ10" s="1130">
        <f>EY10*2</f>
        <v/>
      </c>
    </row>
    <row r="11">
      <c r="A11" s="7" t="n">
        <v>6</v>
      </c>
      <c r="B11" s="8" t="inlineStr">
        <is>
          <t xml:space="preserve">Kaung Kyi </t>
        </is>
      </c>
      <c r="C11" s="8" t="inlineStr">
        <is>
          <t>ပုလင်း</t>
        </is>
      </c>
      <c r="D11" s="7" t="n">
        <v>0.64</v>
      </c>
      <c r="E11" s="7" t="inlineStr">
        <is>
          <t>1 * 14</t>
        </is>
      </c>
      <c r="F11" s="7" t="n">
        <v>1230</v>
      </c>
      <c r="G11" s="975" t="n">
        <v>70658</v>
      </c>
      <c r="H11" s="976" t="n">
        <v>45221.12</v>
      </c>
      <c r="I11" s="975" t="n">
        <v>66416</v>
      </c>
      <c r="J11" s="976" t="n">
        <v>42506.24</v>
      </c>
      <c r="K11" s="975" t="n">
        <v>74508</v>
      </c>
      <c r="L11" s="976" t="n">
        <v>47685.12</v>
      </c>
      <c r="M11" s="975" t="n">
        <v>54532</v>
      </c>
      <c r="N11" s="976" t="n">
        <v>34900.48</v>
      </c>
      <c r="O11" s="975" t="n">
        <v>57792</v>
      </c>
      <c r="P11" s="976" t="n">
        <v>36986.88</v>
      </c>
      <c r="Q11" s="975" t="n">
        <v>64400</v>
      </c>
      <c r="R11" s="976" t="n">
        <v>41216</v>
      </c>
      <c r="S11" s="975" t="n">
        <v>60830</v>
      </c>
      <c r="T11" s="976" t="n">
        <v>38931.2</v>
      </c>
      <c r="U11" s="975" t="n">
        <v>64428</v>
      </c>
      <c r="V11" s="976" t="n">
        <v>41233.92</v>
      </c>
      <c r="W11" s="975" t="n">
        <v>58705</v>
      </c>
      <c r="X11" s="976" t="n">
        <v>37571.2</v>
      </c>
      <c r="Y11" s="975" t="n">
        <v>62384</v>
      </c>
      <c r="Z11" s="976" t="n">
        <v>39925.76</v>
      </c>
      <c r="AA11" s="975" t="n">
        <v>67326</v>
      </c>
      <c r="AB11" s="976" t="n">
        <v>43088.64</v>
      </c>
      <c r="AC11" s="975" t="n">
        <v>82770</v>
      </c>
      <c r="AD11" s="976" t="n">
        <v>52972.8</v>
      </c>
      <c r="AE11" s="977" t="n">
        <v>65395.75</v>
      </c>
      <c r="AF11" s="978" t="n">
        <v>41853.28</v>
      </c>
      <c r="AG11" s="975" t="n">
        <v>67662</v>
      </c>
      <c r="AH11" s="976" t="n">
        <v>43303.68</v>
      </c>
      <c r="AI11" s="975" t="n">
        <v>58922</v>
      </c>
      <c r="AJ11" s="976" t="n">
        <v>37710.08</v>
      </c>
      <c r="AK11" s="975" t="n">
        <v>61334</v>
      </c>
      <c r="AL11" s="976" t="n">
        <v>39253.76</v>
      </c>
      <c r="AM11" s="975" t="n">
        <v>59794</v>
      </c>
      <c r="AN11" s="976" t="n">
        <v>38268.16</v>
      </c>
      <c r="AO11" s="975" t="n">
        <v>45528</v>
      </c>
      <c r="AP11" s="976" t="n">
        <v>29137.92</v>
      </c>
      <c r="AQ11" s="975" t="n">
        <v>58940</v>
      </c>
      <c r="AR11" s="976" t="n">
        <v>37721.6</v>
      </c>
      <c r="AS11" s="975" t="n">
        <v>68562</v>
      </c>
      <c r="AT11" s="976" t="n">
        <v>43879.68</v>
      </c>
      <c r="AU11" s="975" t="n">
        <v>62636</v>
      </c>
      <c r="AV11" s="976" t="n">
        <v>40087.04</v>
      </c>
      <c r="AW11" s="975" t="n">
        <v>66628</v>
      </c>
      <c r="AX11" s="976" t="n">
        <v>42641.92</v>
      </c>
      <c r="AY11" s="975" t="n">
        <v>67270</v>
      </c>
      <c r="AZ11" s="976" t="n">
        <v>43052.8</v>
      </c>
      <c r="BA11" s="975" t="n">
        <v>65856</v>
      </c>
      <c r="BB11" s="976" t="n">
        <v>42147.84</v>
      </c>
      <c r="BC11" s="975" t="n">
        <v>87710</v>
      </c>
      <c r="BD11" s="976" t="n">
        <v>56134.4</v>
      </c>
      <c r="BE11" s="977" t="n">
        <v>64236.83333333334</v>
      </c>
      <c r="BF11" s="978" t="n">
        <v>41111.57333333333</v>
      </c>
      <c r="BG11" s="975" t="n">
        <v>75935</v>
      </c>
      <c r="BH11" s="976" t="n">
        <v>48598.4</v>
      </c>
      <c r="BI11" s="975" t="n">
        <v>64518</v>
      </c>
      <c r="BJ11" s="976" t="n">
        <v>41291.52</v>
      </c>
      <c r="BK11" s="975" t="n">
        <v>69272</v>
      </c>
      <c r="BL11" s="976" t="n">
        <v>44334.08</v>
      </c>
      <c r="BM11" s="975" t="n">
        <v>59570</v>
      </c>
      <c r="BN11" s="976" t="n">
        <v>38124.8</v>
      </c>
      <c r="BO11" s="975" t="n">
        <v>65708</v>
      </c>
      <c r="BP11" s="976" t="n">
        <v>42053.12</v>
      </c>
      <c r="BQ11" s="975" t="n">
        <v>66472</v>
      </c>
      <c r="BR11" s="976" t="n">
        <v>42542.08</v>
      </c>
      <c r="BS11" s="975" t="n">
        <v>71516</v>
      </c>
      <c r="BT11" s="976" t="n">
        <v>45770.24</v>
      </c>
      <c r="BU11" s="975" t="n">
        <v>59500</v>
      </c>
      <c r="BV11" s="976" t="n">
        <v>38080</v>
      </c>
      <c r="BW11" s="975" t="n">
        <v>66640</v>
      </c>
      <c r="BX11" s="976" t="n">
        <v>42649.6</v>
      </c>
      <c r="BY11" s="975" t="n">
        <v>76510</v>
      </c>
      <c r="BZ11" s="976" t="n">
        <v>48966.4</v>
      </c>
      <c r="CA11" s="975" t="n">
        <v>66934</v>
      </c>
      <c r="CB11" s="976" t="n">
        <v>42837.76</v>
      </c>
      <c r="CC11" s="975" t="n">
        <v>79688</v>
      </c>
      <c r="CD11" s="976" t="n">
        <v>51000.32</v>
      </c>
      <c r="CE11" s="979">
        <f>(BG11+BI11+BK11+BM11+BO11+BQ11+BS11+BU11+BW11+BY11+CA11)/11</f>
        <v/>
      </c>
      <c r="CF11" s="976">
        <f>(BH11+BJ11+BL11+BN11+BP11+BR11+BT11+BV11+BX11+BZ11+CB11)/11</f>
        <v/>
      </c>
      <c r="CG11" s="977" t="n">
        <v>68521.91666666667</v>
      </c>
      <c r="CH11" s="978" t="n">
        <v>43854.02666666667</v>
      </c>
      <c r="CI11" s="15" t="n">
        <v>7.779598034595698</v>
      </c>
      <c r="CJ11" s="15" t="n">
        <v>11.29</v>
      </c>
      <c r="CK11" s="982" t="n">
        <v>78915</v>
      </c>
      <c r="CL11" s="976" t="n">
        <v>50505.6</v>
      </c>
      <c r="CM11" s="982" t="n">
        <v>57960</v>
      </c>
      <c r="CN11" s="15" t="n">
        <v>37094.4</v>
      </c>
      <c r="CO11" s="982" t="n">
        <v>67424</v>
      </c>
      <c r="CP11" s="15" t="n">
        <v>43151.36</v>
      </c>
      <c r="CQ11" s="982" t="n">
        <v>59108</v>
      </c>
      <c r="CR11" s="15" t="n">
        <v>37829.12</v>
      </c>
      <c r="CS11" s="982" t="n">
        <v>62751</v>
      </c>
      <c r="CT11" s="15" t="n">
        <v>40160.64</v>
      </c>
      <c r="CU11" s="982" t="n">
        <v>60505</v>
      </c>
      <c r="CV11" s="15" t="n">
        <v>38723.2</v>
      </c>
      <c r="CW11" s="982" t="n">
        <v>62881</v>
      </c>
      <c r="CX11" s="15" t="n">
        <v>40243.84</v>
      </c>
      <c r="CY11" s="982" t="n">
        <v>62132</v>
      </c>
      <c r="CZ11" s="15" t="n">
        <v>39764.48</v>
      </c>
      <c r="DA11" s="982" t="n">
        <v>62320</v>
      </c>
      <c r="DB11" s="15" t="n">
        <v>39884.8</v>
      </c>
      <c r="DC11" s="982" t="n">
        <v>61037</v>
      </c>
      <c r="DD11" s="15" t="n">
        <v>39063.68</v>
      </c>
      <c r="DE11" s="982" t="n">
        <v>68404</v>
      </c>
      <c r="DF11" s="15" t="n">
        <v>43778.56</v>
      </c>
      <c r="DG11" s="982" t="n">
        <v>62636</v>
      </c>
      <c r="DH11" s="15" t="n">
        <v>40087.04</v>
      </c>
      <c r="DI11" s="983">
        <f>CK11+CM11+CO11+CQ11+CS11+CU11+CW11+CY11+DA11+DC11+DE11+DG11</f>
        <v/>
      </c>
      <c r="DJ11" s="983">
        <f>CL11+CN11+CP11+CR11+CT11+CV11+CX11+CZ11+DB11+DD11+DF11+DH11</f>
        <v/>
      </c>
      <c r="DK11" s="983">
        <f>(CK11+CM11)/2</f>
        <v/>
      </c>
      <c r="DL11" s="984">
        <f>(CL11+CN11)/2</f>
        <v/>
      </c>
      <c r="DM11" s="985">
        <f>DI11/12</f>
        <v/>
      </c>
      <c r="DN11" s="1129">
        <f>DJ11/12</f>
        <v/>
      </c>
      <c r="DO11" s="69">
        <f>DN11/$DN$57%</f>
        <v/>
      </c>
      <c r="DP11" s="982" t="n">
        <v>58716</v>
      </c>
      <c r="DQ11" s="976" t="n">
        <v>37578.24</v>
      </c>
      <c r="DR11" s="975" t="n">
        <v>55034</v>
      </c>
      <c r="DS11" s="976" t="n">
        <v>35221.76</v>
      </c>
      <c r="DT11" s="982" t="n"/>
      <c r="DU11" s="15" t="n"/>
      <c r="DV11" s="982" t="n"/>
      <c r="DW11" s="15" t="n"/>
      <c r="DX11" s="982" t="n"/>
      <c r="DY11" s="15" t="n"/>
      <c r="DZ11" s="982" t="n"/>
      <c r="EA11" s="15" t="n"/>
      <c r="EB11" s="982" t="n"/>
      <c r="EC11" s="15" t="n"/>
      <c r="ED11" s="982" t="n"/>
      <c r="EE11" s="15" t="n"/>
      <c r="EF11" s="982" t="n"/>
      <c r="EG11" s="15" t="n"/>
      <c r="EH11" s="982" t="n"/>
      <c r="EI11" s="15" t="n"/>
      <c r="EJ11" s="982" t="n"/>
      <c r="EK11" s="15" t="n"/>
      <c r="EL11" s="982" t="n"/>
      <c r="EM11" s="15" t="n"/>
      <c r="EN11" s="983">
        <f>DP11+DR11+DT11+DV11+DX11+DZ11+EB11+ED11+EF11+EH11+EJ11+EL11</f>
        <v/>
      </c>
      <c r="EO11" s="983">
        <f>DQ11+DS11+DU11+DW11+DY11+EA11+EC11+EE11+EG11+EI11+EK11+EM11</f>
        <v/>
      </c>
      <c r="EP11" s="985">
        <f>EN11/2</f>
        <v/>
      </c>
      <c r="EQ11" s="1129">
        <f>EO11/2</f>
        <v/>
      </c>
      <c r="ER11" s="535">
        <f>EQ11/$EQ$57%</f>
        <v/>
      </c>
      <c r="ES11" s="1130">
        <f>ER11-DO11</f>
        <v/>
      </c>
      <c r="ET11" s="1130">
        <f>EQ11/DL11*100-100</f>
        <v/>
      </c>
      <c r="EU11" s="1130">
        <f>EQ11/DN11*100-100</f>
        <v/>
      </c>
      <c r="EV11" s="1130">
        <f>EQ11-DN11</f>
        <v/>
      </c>
      <c r="EW11" s="1000">
        <f>EQ11-DL11</f>
        <v/>
      </c>
      <c r="EX11" s="1130">
        <f>EV11/14</f>
        <v/>
      </c>
      <c r="EY11" s="1130">
        <f>EW11/14</f>
        <v/>
      </c>
      <c r="EZ11" s="1130">
        <f>EY11*2</f>
        <v/>
      </c>
    </row>
    <row r="12" customFormat="1" s="251">
      <c r="A12" s="246" t="n"/>
      <c r="B12" s="247" t="inlineStr">
        <is>
          <t xml:space="preserve">Kaung Kyi </t>
        </is>
      </c>
      <c r="C12" s="247" t="n"/>
      <c r="D12" s="246" t="n"/>
      <c r="E12" s="246" t="n"/>
      <c r="F12" s="246" t="n"/>
      <c r="G12" s="1131" t="n"/>
      <c r="H12" s="1132" t="n"/>
      <c r="I12" s="1131" t="n"/>
      <c r="J12" s="1132" t="n"/>
      <c r="K12" s="1131" t="n"/>
      <c r="L12" s="1132" t="n"/>
      <c r="M12" s="1131" t="n"/>
      <c r="N12" s="1132" t="n"/>
      <c r="O12" s="1131" t="n"/>
      <c r="P12" s="1132" t="n"/>
      <c r="Q12" s="1131" t="n"/>
      <c r="R12" s="1132" t="n"/>
      <c r="S12" s="1131" t="n"/>
      <c r="T12" s="1132" t="n"/>
      <c r="U12" s="1131" t="n"/>
      <c r="V12" s="1132" t="n"/>
      <c r="W12" s="1131" t="n"/>
      <c r="X12" s="1132" t="n"/>
      <c r="Y12" s="1131" t="n"/>
      <c r="Z12" s="1132" t="n"/>
      <c r="AA12" s="1131" t="n"/>
      <c r="AB12" s="1132" t="n"/>
      <c r="AC12" s="1131" t="n"/>
      <c r="AD12" s="1132" t="n"/>
      <c r="AE12" s="1131" t="n"/>
      <c r="AF12" s="1132" t="n"/>
      <c r="AG12" s="1131" t="n"/>
      <c r="AH12" s="1132" t="n"/>
      <c r="AI12" s="1131" t="n"/>
      <c r="AJ12" s="1132" t="n"/>
      <c r="AK12" s="1131" t="n"/>
      <c r="AL12" s="1132" t="n"/>
      <c r="AM12" s="1131" t="n"/>
      <c r="AN12" s="1132" t="n"/>
      <c r="AO12" s="1131" t="n"/>
      <c r="AP12" s="1132" t="n"/>
      <c r="AQ12" s="1131" t="n"/>
      <c r="AR12" s="1132" t="n"/>
      <c r="AS12" s="1131" t="n"/>
      <c r="AT12" s="1132" t="n"/>
      <c r="AU12" s="1131" t="n"/>
      <c r="AV12" s="1132" t="n"/>
      <c r="AW12" s="1131" t="n"/>
      <c r="AX12" s="1132" t="n"/>
      <c r="AY12" s="1131" t="n"/>
      <c r="AZ12" s="1132" t="n"/>
      <c r="BA12" s="1131" t="n"/>
      <c r="BB12" s="1132" t="n"/>
      <c r="BC12" s="1131" t="n"/>
      <c r="BD12" s="1132" t="n"/>
      <c r="BE12" s="1131" t="n"/>
      <c r="BF12" s="1132" t="n"/>
      <c r="BG12" s="1131" t="n"/>
      <c r="BH12" s="1132" t="n"/>
      <c r="BI12" s="1131" t="n"/>
      <c r="BJ12" s="1132" t="n"/>
      <c r="BK12" s="1131" t="n"/>
      <c r="BL12" s="1132" t="n"/>
      <c r="BM12" s="1131" t="n"/>
      <c r="BN12" s="1132" t="n"/>
      <c r="BO12" s="1131" t="n"/>
      <c r="BP12" s="1132" t="n"/>
      <c r="BQ12" s="1131" t="n"/>
      <c r="BR12" s="1132" t="n"/>
      <c r="BS12" s="1131" t="n"/>
      <c r="BT12" s="1132" t="n"/>
      <c r="BU12" s="1131" t="n"/>
      <c r="BV12" s="1132" t="n"/>
      <c r="BW12" s="1131" t="n"/>
      <c r="BX12" s="1132" t="n"/>
      <c r="BY12" s="1131" t="n"/>
      <c r="BZ12" s="1132" t="n"/>
      <c r="CA12" s="1131" t="n"/>
      <c r="CB12" s="1132" t="n"/>
      <c r="CC12" s="1131" t="n"/>
      <c r="CD12" s="1132" t="n"/>
      <c r="CE12" s="1133">
        <f>SUM(CE9:CE11)</f>
        <v/>
      </c>
      <c r="CF12" s="1133">
        <f>SUM(CF9:CF11)</f>
        <v/>
      </c>
      <c r="CG12" s="1133">
        <f>SUM(CG9:CG11)</f>
        <v/>
      </c>
      <c r="CH12" s="1133">
        <f>SUM(CH9:CH11)</f>
        <v/>
      </c>
      <c r="CI12" s="1133">
        <f>SUM(CI9:CI11)</f>
        <v/>
      </c>
      <c r="CJ12" s="1133">
        <f>SUM(CJ9:CJ11)</f>
        <v/>
      </c>
      <c r="CK12" s="1133">
        <f>SUM(CK9:CK11)</f>
        <v/>
      </c>
      <c r="CL12" s="1133">
        <f>SUM(CL9:CL11)</f>
        <v/>
      </c>
      <c r="CM12" s="1133">
        <f>SUM(CM9:CM11)</f>
        <v/>
      </c>
      <c r="CN12" s="1133">
        <f>SUM(CN9:CN11)</f>
        <v/>
      </c>
      <c r="CO12" s="1133">
        <f>SUM(CO9:CO11)</f>
        <v/>
      </c>
      <c r="CP12" s="1133">
        <f>SUM(CP9:CP11)</f>
        <v/>
      </c>
      <c r="CQ12" s="1133">
        <f>SUM(CQ9:CQ11)</f>
        <v/>
      </c>
      <c r="CR12" s="1133">
        <f>SUM(CR9:CR11)</f>
        <v/>
      </c>
      <c r="CS12" s="1133">
        <f>SUM(CS9:CS11)</f>
        <v/>
      </c>
      <c r="CT12" s="1133">
        <f>SUM(CT9:CT11)</f>
        <v/>
      </c>
      <c r="CU12" s="1133">
        <f>SUM(CU9:CU11)</f>
        <v/>
      </c>
      <c r="CV12" s="1133">
        <f>SUM(CV9:CV11)</f>
        <v/>
      </c>
      <c r="CW12" s="1133">
        <f>SUM(CW9:CW11)</f>
        <v/>
      </c>
      <c r="CX12" s="1133">
        <f>SUM(CX9:CX11)</f>
        <v/>
      </c>
      <c r="CY12" s="1133">
        <f>SUM(CY9:CY11)</f>
        <v/>
      </c>
      <c r="CZ12" s="1133">
        <f>SUM(CZ9:CZ11)</f>
        <v/>
      </c>
      <c r="DA12" s="1133">
        <f>SUM(DA9:DA11)</f>
        <v/>
      </c>
      <c r="DB12" s="1133">
        <f>SUM(DB9:DB11)</f>
        <v/>
      </c>
      <c r="DC12" s="1133">
        <f>SUM(DC9:DC11)</f>
        <v/>
      </c>
      <c r="DD12" s="1133">
        <f>SUM(DD9:DD11)</f>
        <v/>
      </c>
      <c r="DE12" s="1133">
        <f>SUM(DE9:DE11)</f>
        <v/>
      </c>
      <c r="DF12" s="1133">
        <f>SUM(DF9:DF11)</f>
        <v/>
      </c>
      <c r="DG12" s="1133">
        <f>SUM(DG9:DG11)</f>
        <v/>
      </c>
      <c r="DH12" s="1133">
        <f>SUM(DH9:DH11)</f>
        <v/>
      </c>
      <c r="DI12" s="1133">
        <f>SUM(DI9:DI11)</f>
        <v/>
      </c>
      <c r="DJ12" s="1133">
        <f>SUM(DJ9:DJ11)</f>
        <v/>
      </c>
      <c r="DK12" s="1134">
        <f>(CK12+CM12)/2</f>
        <v/>
      </c>
      <c r="DL12" s="1135">
        <f>(CL12+CN12)/2</f>
        <v/>
      </c>
      <c r="DM12" s="1136">
        <f>DI12/12</f>
        <v/>
      </c>
      <c r="DN12" s="1137">
        <f>DJ12/12</f>
        <v/>
      </c>
      <c r="DO12" s="1133">
        <f>SUM(DO9:DO11)</f>
        <v/>
      </c>
      <c r="DP12" s="1133">
        <f>SUM(DP9:DP11)</f>
        <v/>
      </c>
      <c r="DQ12" s="1133">
        <f>SUM(DQ9:DQ11)</f>
        <v/>
      </c>
      <c r="DR12" s="1133">
        <f>SUM(DR9:DR11)</f>
        <v/>
      </c>
      <c r="DS12" s="1133">
        <f>SUM(DS9:DS11)</f>
        <v/>
      </c>
      <c r="DT12" s="1133">
        <f>SUM(DT9:DT11)</f>
        <v/>
      </c>
      <c r="DU12" s="1133">
        <f>SUM(DU9:DU11)</f>
        <v/>
      </c>
      <c r="DV12" s="1133">
        <f>SUM(DV9:DV11)</f>
        <v/>
      </c>
      <c r="DW12" s="1133">
        <f>SUM(DW9:DW11)</f>
        <v/>
      </c>
      <c r="DX12" s="1133">
        <f>SUM(DX9:DX11)</f>
        <v/>
      </c>
      <c r="DY12" s="1133">
        <f>SUM(DY9:DY11)</f>
        <v/>
      </c>
      <c r="DZ12" s="1133">
        <f>SUM(DZ9:DZ11)</f>
        <v/>
      </c>
      <c r="EA12" s="1133">
        <f>SUM(EA9:EA11)</f>
        <v/>
      </c>
      <c r="EB12" s="1133">
        <f>SUM(EB9:EB11)</f>
        <v/>
      </c>
      <c r="EC12" s="1133">
        <f>SUM(EC9:EC11)</f>
        <v/>
      </c>
      <c r="ED12" s="1133">
        <f>SUM(ED9:ED11)</f>
        <v/>
      </c>
      <c r="EE12" s="1133">
        <f>SUM(EE9:EE11)</f>
        <v/>
      </c>
      <c r="EF12" s="1133">
        <f>SUM(EF9:EF11)</f>
        <v/>
      </c>
      <c r="EG12" s="1133">
        <f>SUM(EG9:EG11)</f>
        <v/>
      </c>
      <c r="EH12" s="1133">
        <f>SUM(EH9:EH11)</f>
        <v/>
      </c>
      <c r="EI12" s="1133">
        <f>SUM(EI9:EI11)</f>
        <v/>
      </c>
      <c r="EJ12" s="1133">
        <f>SUM(EJ9:EJ11)</f>
        <v/>
      </c>
      <c r="EK12" s="1133">
        <f>SUM(EK9:EK11)</f>
        <v/>
      </c>
      <c r="EL12" s="1133">
        <f>SUM(EL9:EL11)</f>
        <v/>
      </c>
      <c r="EM12" s="1133">
        <f>SUM(EM9:EM11)</f>
        <v/>
      </c>
      <c r="EN12" s="1133">
        <f>SUM(EN9:EN11)</f>
        <v/>
      </c>
      <c r="EO12" s="1133">
        <f>SUM(EO9:EO11)</f>
        <v/>
      </c>
      <c r="EP12" s="1136">
        <f>EN12/2</f>
        <v/>
      </c>
      <c r="EQ12" s="1137">
        <f>EO12/2</f>
        <v/>
      </c>
      <c r="ER12" s="536">
        <f>EQ12/$EQ$57%</f>
        <v/>
      </c>
      <c r="ES12" s="1138">
        <f>ER12-DO12</f>
        <v/>
      </c>
      <c r="ET12" s="1138">
        <f>EQ12/DL12*100-100</f>
        <v/>
      </c>
      <c r="EU12" s="1138">
        <f>EQ12/DN12*100-100</f>
        <v/>
      </c>
      <c r="EV12" s="1138">
        <f>EQ12-DN12</f>
        <v/>
      </c>
      <c r="EW12" s="1139">
        <f>EQ12-DL12</f>
        <v/>
      </c>
      <c r="EX12" s="1138">
        <f>EV12/14</f>
        <v/>
      </c>
      <c r="EY12" s="1138">
        <f>EW12/14</f>
        <v/>
      </c>
      <c r="EZ12" s="1138">
        <f>EY12*2</f>
        <v/>
      </c>
    </row>
    <row r="13">
      <c r="A13" s="7" t="n">
        <v>7</v>
      </c>
      <c r="B13" s="8" t="inlineStr">
        <is>
          <t>မိုးနဲကွန်ကီကော်ဘူး(1 Liter)</t>
        </is>
      </c>
      <c r="C13" s="8" t="inlineStr">
        <is>
          <t>‌ကော်ဘူး</t>
        </is>
      </c>
      <c r="D13" s="7" t="n">
        <v>1</v>
      </c>
      <c r="E13" s="7" t="inlineStr">
        <is>
          <t>1 * 24</t>
        </is>
      </c>
      <c r="F13" s="7" t="n">
        <v>1900</v>
      </c>
      <c r="G13" s="975" t="n"/>
      <c r="H13" s="976" t="n">
        <v>0</v>
      </c>
      <c r="I13" s="975" t="n"/>
      <c r="J13" s="976" t="n">
        <v>0</v>
      </c>
      <c r="K13" s="975" t="n"/>
      <c r="L13" s="976" t="n">
        <v>0</v>
      </c>
      <c r="M13" s="975" t="n"/>
      <c r="N13" s="976" t="n">
        <v>0</v>
      </c>
      <c r="O13" s="975" t="n"/>
      <c r="P13" s="976" t="n">
        <v>0</v>
      </c>
      <c r="Q13" s="975" t="n"/>
      <c r="R13" s="976" t="n">
        <v>0</v>
      </c>
      <c r="S13" s="975" t="n"/>
      <c r="T13" s="976" t="n">
        <v>0</v>
      </c>
      <c r="U13" s="975" t="n"/>
      <c r="V13" s="976" t="n">
        <v>0</v>
      </c>
      <c r="W13" s="975" t="n"/>
      <c r="X13" s="976" t="n">
        <v>0</v>
      </c>
      <c r="Y13" s="975" t="n"/>
      <c r="Z13" s="976" t="n">
        <v>0</v>
      </c>
      <c r="AA13" s="975" t="n"/>
      <c r="AB13" s="976" t="n">
        <v>0</v>
      </c>
      <c r="AC13" s="975" t="n"/>
      <c r="AD13" s="976" t="n">
        <v>0</v>
      </c>
      <c r="AE13" s="977" t="n">
        <v>0</v>
      </c>
      <c r="AF13" s="978" t="n">
        <v>0</v>
      </c>
      <c r="AG13" s="975" t="n"/>
      <c r="AH13" s="976" t="n">
        <v>0</v>
      </c>
      <c r="AI13" s="975" t="n"/>
      <c r="AJ13" s="976" t="n">
        <v>0</v>
      </c>
      <c r="AK13" s="975" t="n"/>
      <c r="AL13" s="976" t="n">
        <v>0</v>
      </c>
      <c r="AM13" s="975" t="n"/>
      <c r="AN13" s="976" t="n">
        <v>0</v>
      </c>
      <c r="AO13" s="975" t="n"/>
      <c r="AP13" s="976" t="n">
        <v>0</v>
      </c>
      <c r="AQ13" s="975" t="n"/>
      <c r="AR13" s="976" t="n">
        <v>0</v>
      </c>
      <c r="AS13" s="975" t="n"/>
      <c r="AT13" s="976" t="n">
        <v>0</v>
      </c>
      <c r="AU13" s="975" t="n"/>
      <c r="AV13" s="976" t="n">
        <v>0</v>
      </c>
      <c r="AW13" s="975" t="n"/>
      <c r="AX13" s="976" t="n">
        <v>0</v>
      </c>
      <c r="AY13" s="975" t="n"/>
      <c r="AZ13" s="976" t="n">
        <v>0</v>
      </c>
      <c r="BA13" s="975" t="n"/>
      <c r="BB13" s="976" t="n">
        <v>0</v>
      </c>
      <c r="BC13" s="975" t="n"/>
      <c r="BD13" s="976" t="n">
        <v>0</v>
      </c>
      <c r="BE13" s="977" t="n">
        <v>0</v>
      </c>
      <c r="BF13" s="978" t="n">
        <v>0</v>
      </c>
      <c r="BG13" s="975" t="n"/>
      <c r="BH13" s="976" t="n">
        <v>0</v>
      </c>
      <c r="BI13" s="975" t="n"/>
      <c r="BJ13" s="976" t="n">
        <v>0</v>
      </c>
      <c r="BK13" s="975" t="n"/>
      <c r="BL13" s="976" t="n">
        <v>0</v>
      </c>
      <c r="BM13" s="975" t="n"/>
      <c r="BN13" s="976" t="n">
        <v>0</v>
      </c>
      <c r="BO13" s="975" t="n"/>
      <c r="BP13" s="976" t="n">
        <v>0</v>
      </c>
      <c r="BQ13" s="975" t="n"/>
      <c r="BR13" s="976" t="n">
        <v>0</v>
      </c>
      <c r="BS13" s="975" t="n"/>
      <c r="BT13" s="976" t="n">
        <v>0</v>
      </c>
      <c r="BU13" s="975" t="n"/>
      <c r="BV13" s="976" t="n">
        <v>0</v>
      </c>
      <c r="BW13" s="975" t="n"/>
      <c r="BX13" s="976" t="n">
        <v>0</v>
      </c>
      <c r="BY13" s="975" t="n"/>
      <c r="BZ13" s="976" t="n">
        <v>0</v>
      </c>
      <c r="CA13" s="975" t="n"/>
      <c r="CB13" s="976" t="n">
        <v>0</v>
      </c>
      <c r="CC13" s="975" t="n"/>
      <c r="CD13" s="976" t="n">
        <v>0</v>
      </c>
      <c r="CE13" s="979">
        <f>(BG13+BI13+BK13+BM13+BO13+BQ13+BS13+BU13+BW13+BY13+CA13)/11</f>
        <v/>
      </c>
      <c r="CF13" s="976">
        <f>(BH13+BJ13+BL13+BN13+BP13+BR13+BT13+BV13+BX13+BZ13+CB13)/11</f>
        <v/>
      </c>
      <c r="CG13" s="977" t="n">
        <v>0</v>
      </c>
      <c r="CH13" s="978" t="n">
        <v>0</v>
      </c>
      <c r="CI13" s="15" t="n">
        <v>0</v>
      </c>
      <c r="CJ13" s="15" t="n"/>
      <c r="CK13" s="982" t="n"/>
      <c r="CL13" s="976" t="n">
        <v>0</v>
      </c>
      <c r="CM13" s="982" t="n"/>
      <c r="CN13" s="15" t="n">
        <v>0</v>
      </c>
      <c r="CO13" s="982" t="n">
        <v>16608</v>
      </c>
      <c r="CP13" s="15" t="n">
        <v>16608</v>
      </c>
      <c r="CQ13" s="982" t="n">
        <v>6468</v>
      </c>
      <c r="CR13" s="15" t="n">
        <v>6468</v>
      </c>
      <c r="CS13" s="982" t="n">
        <v>8040</v>
      </c>
      <c r="CT13" s="15" t="n">
        <v>8040</v>
      </c>
      <c r="CU13" s="982" t="n">
        <v>1188</v>
      </c>
      <c r="CV13" s="15" t="n">
        <v>1188</v>
      </c>
      <c r="CW13" s="982" t="n">
        <v>1740</v>
      </c>
      <c r="CX13" s="15" t="n">
        <v>1740</v>
      </c>
      <c r="CY13" s="982" t="n">
        <v>1872</v>
      </c>
      <c r="CZ13" s="15" t="n">
        <v>1872</v>
      </c>
      <c r="DA13" s="982" t="n">
        <v>348</v>
      </c>
      <c r="DB13" s="15" t="n">
        <v>348</v>
      </c>
      <c r="DC13" s="982" t="n">
        <v>1704</v>
      </c>
      <c r="DD13" s="15" t="n">
        <v>1704</v>
      </c>
      <c r="DE13" s="982" t="n">
        <v>3192</v>
      </c>
      <c r="DF13" s="15" t="n">
        <v>3192</v>
      </c>
      <c r="DG13" s="982" t="n">
        <v>420</v>
      </c>
      <c r="DH13" s="15" t="n">
        <v>420</v>
      </c>
      <c r="DI13" s="983">
        <f>CK13+CM13+CO13+CQ13+CS13+CU13+CW13+CY13+DA13+DC13+DE13+DG13</f>
        <v/>
      </c>
      <c r="DJ13" s="983">
        <f>CL13+CN13+CP13+CR13+CT13+CV13+CX13+CZ13+DB13+DD13+DF13+DH13</f>
        <v/>
      </c>
      <c r="DK13" s="983">
        <f>(CK13+CM13)/2</f>
        <v/>
      </c>
      <c r="DL13" s="984">
        <f>(CL13+CN13)/2</f>
        <v/>
      </c>
      <c r="DM13" s="985">
        <f>DI13/12</f>
        <v/>
      </c>
      <c r="DN13" s="1129">
        <f>DJ13/12</f>
        <v/>
      </c>
      <c r="DO13" s="69">
        <f>DN13/$DN$57%</f>
        <v/>
      </c>
      <c r="DP13" s="982" t="n">
        <v>1356</v>
      </c>
      <c r="DQ13" s="976" t="n">
        <v>1356</v>
      </c>
      <c r="DR13" s="975" t="n">
        <v>1032</v>
      </c>
      <c r="DS13" s="976" t="n">
        <v>1032</v>
      </c>
      <c r="DT13" s="982" t="n"/>
      <c r="DU13" s="15" t="n"/>
      <c r="DV13" s="982" t="n"/>
      <c r="DW13" s="15" t="n"/>
      <c r="DX13" s="982" t="n"/>
      <c r="DY13" s="15" t="n"/>
      <c r="DZ13" s="982" t="n"/>
      <c r="EA13" s="15" t="n"/>
      <c r="EB13" s="982" t="n"/>
      <c r="EC13" s="15" t="n"/>
      <c r="ED13" s="982" t="n"/>
      <c r="EE13" s="15" t="n"/>
      <c r="EF13" s="982" t="n"/>
      <c r="EG13" s="15" t="n"/>
      <c r="EH13" s="982" t="n"/>
      <c r="EI13" s="15" t="n"/>
      <c r="EJ13" s="982" t="n"/>
      <c r="EK13" s="15" t="n"/>
      <c r="EL13" s="982" t="n"/>
      <c r="EM13" s="15" t="n"/>
      <c r="EN13" s="983">
        <f>DP13+DR13+DT13+DV13+DX13+DZ13+EB13+ED13+EF13+EH13+EJ13+EL13</f>
        <v/>
      </c>
      <c r="EO13" s="983">
        <f>DQ13+DS13+DU13+DW13+DY13+EA13+EC13+EE13+EG13+EI13+EK13+EM13</f>
        <v/>
      </c>
      <c r="EP13" s="985">
        <f>EN13/2</f>
        <v/>
      </c>
      <c r="EQ13" s="1129">
        <f>EO13/2</f>
        <v/>
      </c>
      <c r="ER13" s="535">
        <f>EQ13/$EQ$57%</f>
        <v/>
      </c>
      <c r="ES13" s="1130">
        <f>ER13-DO13</f>
        <v/>
      </c>
      <c r="ET13" s="1130" t="n"/>
      <c r="EU13" s="1130">
        <f>EQ13/DN13*100-100</f>
        <v/>
      </c>
      <c r="EV13" s="1130">
        <f>EQ13-DN13</f>
        <v/>
      </c>
      <c r="EW13" s="1000">
        <f>EQ13-DL13</f>
        <v/>
      </c>
      <c r="EX13" s="1130">
        <f>EV13/14</f>
        <v/>
      </c>
      <c r="EY13" s="1130">
        <f>EW13/14</f>
        <v/>
      </c>
      <c r="EZ13" s="1130">
        <f>EY13*2</f>
        <v/>
      </c>
    </row>
    <row r="14">
      <c r="A14" s="7" t="n">
        <v>8</v>
      </c>
      <c r="B14" s="8" t="inlineStr">
        <is>
          <t xml:space="preserve">Moe Nae Kon Ki </t>
        </is>
      </c>
      <c r="C14" s="8" t="inlineStr">
        <is>
          <t>ပုလင်း</t>
        </is>
      </c>
      <c r="D14" s="7" t="n">
        <v>0.64</v>
      </c>
      <c r="E14" s="7" t="inlineStr">
        <is>
          <t>1 * 14</t>
        </is>
      </c>
      <c r="F14" s="7" t="n">
        <v>1500</v>
      </c>
      <c r="G14" s="975" t="n">
        <v>19838</v>
      </c>
      <c r="H14" s="976" t="n">
        <v>12696.32</v>
      </c>
      <c r="I14" s="975" t="n">
        <v>21560</v>
      </c>
      <c r="J14" s="976" t="n">
        <v>13798.4</v>
      </c>
      <c r="K14" s="975" t="n">
        <v>33040</v>
      </c>
      <c r="L14" s="976" t="n">
        <v>21145.6</v>
      </c>
      <c r="M14" s="975" t="n">
        <v>33390</v>
      </c>
      <c r="N14" s="976" t="n">
        <v>21369.6</v>
      </c>
      <c r="O14" s="975" t="n">
        <v>41692</v>
      </c>
      <c r="P14" s="976" t="n">
        <v>26682.88</v>
      </c>
      <c r="Q14" s="975" t="n">
        <v>61586</v>
      </c>
      <c r="R14" s="976" t="n">
        <v>39415.04</v>
      </c>
      <c r="S14" s="975" t="n">
        <v>77210</v>
      </c>
      <c r="T14" s="976" t="n">
        <v>49414.4</v>
      </c>
      <c r="U14" s="975" t="n">
        <v>85148</v>
      </c>
      <c r="V14" s="976" t="n">
        <v>54494.72</v>
      </c>
      <c r="W14" s="975" t="n">
        <v>78722</v>
      </c>
      <c r="X14" s="976" t="n">
        <v>50382.08</v>
      </c>
      <c r="Y14" s="975" t="n">
        <v>46494</v>
      </c>
      <c r="Z14" s="976" t="n">
        <v>29756.16</v>
      </c>
      <c r="AA14" s="975" t="n">
        <v>52136</v>
      </c>
      <c r="AB14" s="976" t="n">
        <v>33367.04</v>
      </c>
      <c r="AC14" s="975" t="n">
        <v>53018</v>
      </c>
      <c r="AD14" s="976" t="n">
        <v>33931.52</v>
      </c>
      <c r="AE14" s="977" t="n">
        <v>50319.5</v>
      </c>
      <c r="AF14" s="978" t="n">
        <v>32204.48</v>
      </c>
      <c r="AG14" s="975" t="n">
        <v>44912</v>
      </c>
      <c r="AH14" s="976" t="n">
        <v>28743.68</v>
      </c>
      <c r="AI14" s="975" t="n">
        <v>31654</v>
      </c>
      <c r="AJ14" s="976" t="n">
        <v>20258.56</v>
      </c>
      <c r="AK14" s="975" t="n">
        <v>34804</v>
      </c>
      <c r="AL14" s="976" t="n">
        <v>22274.56</v>
      </c>
      <c r="AM14" s="975" t="n">
        <v>36498</v>
      </c>
      <c r="AN14" s="976" t="n">
        <v>23358.72</v>
      </c>
      <c r="AO14" s="975" t="n">
        <v>35546</v>
      </c>
      <c r="AP14" s="976" t="n">
        <v>22749.44</v>
      </c>
      <c r="AQ14" s="975" t="n">
        <v>54246</v>
      </c>
      <c r="AR14" s="976" t="n">
        <v>34717.44</v>
      </c>
      <c r="AS14" s="975" t="n">
        <v>73412</v>
      </c>
      <c r="AT14" s="976" t="n">
        <v>46983.68</v>
      </c>
      <c r="AU14" s="975" t="n">
        <v>66720</v>
      </c>
      <c r="AV14" s="976" t="n">
        <v>42700.8</v>
      </c>
      <c r="AW14" s="975" t="n">
        <v>68740</v>
      </c>
      <c r="AX14" s="976" t="n">
        <v>43993.6</v>
      </c>
      <c r="AY14" s="975" t="n">
        <v>81158</v>
      </c>
      <c r="AZ14" s="976" t="n">
        <v>51941.12</v>
      </c>
      <c r="BA14" s="975" t="n">
        <v>93086</v>
      </c>
      <c r="BB14" s="976" t="n">
        <v>59575.04</v>
      </c>
      <c r="BC14" s="975" t="n">
        <v>97244</v>
      </c>
      <c r="BD14" s="976" t="n">
        <v>62236.16</v>
      </c>
      <c r="BE14" s="977" t="n">
        <v>59835</v>
      </c>
      <c r="BF14" s="978" t="n">
        <v>38294.4</v>
      </c>
      <c r="BG14" s="975" t="n">
        <v>91784</v>
      </c>
      <c r="BH14" s="976" t="n">
        <v>58741.76</v>
      </c>
      <c r="BI14" s="975" t="n">
        <v>70816</v>
      </c>
      <c r="BJ14" s="976" t="n">
        <v>45322.24</v>
      </c>
      <c r="BK14" s="975" t="n">
        <v>67550</v>
      </c>
      <c r="BL14" s="976" t="n">
        <v>43232</v>
      </c>
      <c r="BM14" s="975" t="n">
        <v>56644</v>
      </c>
      <c r="BN14" s="976" t="n">
        <v>36252.16</v>
      </c>
      <c r="BO14" s="975" t="n">
        <v>80334</v>
      </c>
      <c r="BP14" s="976" t="n">
        <v>51413.76</v>
      </c>
      <c r="BQ14" s="975" t="n">
        <v>84071</v>
      </c>
      <c r="BR14" s="976" t="n">
        <v>53805.44</v>
      </c>
      <c r="BS14" s="975" t="n">
        <v>80080</v>
      </c>
      <c r="BT14" s="976" t="n">
        <v>51251.2</v>
      </c>
      <c r="BU14" s="975" t="n">
        <v>73961</v>
      </c>
      <c r="BV14" s="976" t="n">
        <v>47335.04</v>
      </c>
      <c r="BW14" s="975" t="n">
        <v>72380</v>
      </c>
      <c r="BX14" s="976" t="n">
        <v>46323.2</v>
      </c>
      <c r="BY14" s="975" t="n">
        <v>74174</v>
      </c>
      <c r="BZ14" s="976" t="n">
        <v>47471.36</v>
      </c>
      <c r="CA14" s="975" t="n">
        <v>68837</v>
      </c>
      <c r="CB14" s="976" t="n">
        <v>44055.68</v>
      </c>
      <c r="CC14" s="975" t="n">
        <v>70386</v>
      </c>
      <c r="CD14" s="976" t="n">
        <v>45047.04</v>
      </c>
      <c r="CE14" s="979">
        <f>(BG14+BI14+BK14+BM14+BO14+BQ14+BS14+BU14+BW14+BY14+CA14)/11</f>
        <v/>
      </c>
      <c r="CF14" s="976">
        <f>(BH14+BJ14+BL14+BN14+BP14+BR14+BT14+BV14+BX14+BZ14+CB14)/11</f>
        <v/>
      </c>
      <c r="CG14" s="977" t="n">
        <v>74251.41666666667</v>
      </c>
      <c r="CH14" s="978" t="n">
        <v>47520.90666666667</v>
      </c>
      <c r="CI14" s="15" t="n">
        <v>8.430093658587769</v>
      </c>
      <c r="CJ14" s="15" t="n">
        <v>8.43</v>
      </c>
      <c r="CK14" s="982" t="n">
        <v>58032</v>
      </c>
      <c r="CL14" s="976" t="n">
        <v>37140.48</v>
      </c>
      <c r="CM14" s="982" t="n">
        <v>56770</v>
      </c>
      <c r="CN14" s="15" t="n">
        <v>36332.8</v>
      </c>
      <c r="CO14" s="982" t="n">
        <v>36787</v>
      </c>
      <c r="CP14" s="15" t="n">
        <v>23543.68</v>
      </c>
      <c r="CQ14" s="982" t="n">
        <v>36194</v>
      </c>
      <c r="CR14" s="15" t="n">
        <v>23164.16</v>
      </c>
      <c r="CS14" s="982" t="n">
        <v>70375</v>
      </c>
      <c r="CT14" s="15" t="n">
        <v>45040</v>
      </c>
      <c r="CU14" s="982" t="n">
        <v>54995</v>
      </c>
      <c r="CV14" s="15" t="n">
        <v>35196.8</v>
      </c>
      <c r="CW14" s="982" t="n">
        <v>53721</v>
      </c>
      <c r="CX14" s="15" t="n">
        <v>34381.44</v>
      </c>
      <c r="CY14" s="982" t="n">
        <v>56280</v>
      </c>
      <c r="CZ14" s="15" t="n">
        <v>36019.2</v>
      </c>
      <c r="DA14" s="982" t="n">
        <v>40221</v>
      </c>
      <c r="DB14" s="15" t="n">
        <v>25741.44</v>
      </c>
      <c r="DC14" s="982" t="n">
        <v>65648</v>
      </c>
      <c r="DD14" s="15" t="n">
        <v>42014.72</v>
      </c>
      <c r="DE14" s="982" t="n">
        <v>79478</v>
      </c>
      <c r="DF14" s="15" t="n">
        <v>50865.92</v>
      </c>
      <c r="DG14" s="982" t="n">
        <v>51447</v>
      </c>
      <c r="DH14" s="15" t="n">
        <v>32926.08</v>
      </c>
      <c r="DI14" s="983">
        <f>CK14+CM14+CO14+CQ14+CS14+CU14+CW14+CY14+DA14+DC14+DE14+DG14</f>
        <v/>
      </c>
      <c r="DJ14" s="983">
        <f>CL14+CN14+CP14+CR14+CT14+CV14+CX14+CZ14+DB14+DD14+DF14+DH14</f>
        <v/>
      </c>
      <c r="DK14" s="983">
        <f>(CK14+CM14)/2</f>
        <v/>
      </c>
      <c r="DL14" s="984">
        <f>(CL14+CN14)/2</f>
        <v/>
      </c>
      <c r="DM14" s="985">
        <f>DI14/12</f>
        <v/>
      </c>
      <c r="DN14" s="1129">
        <f>DJ14/12</f>
        <v/>
      </c>
      <c r="DO14" s="69">
        <f>DN14/$DN$57%</f>
        <v/>
      </c>
      <c r="DP14" s="982" t="n">
        <v>50320</v>
      </c>
      <c r="DQ14" s="976" t="n">
        <v>32204.8</v>
      </c>
      <c r="DR14" s="975" t="n">
        <v>27412</v>
      </c>
      <c r="DS14" s="976" t="n">
        <v>17543.68</v>
      </c>
      <c r="DT14" s="982" t="n"/>
      <c r="DU14" s="15" t="n"/>
      <c r="DV14" s="982" t="n"/>
      <c r="DW14" s="15" t="n"/>
      <c r="DX14" s="982" t="n"/>
      <c r="DY14" s="15" t="n"/>
      <c r="DZ14" s="982" t="n"/>
      <c r="EA14" s="15" t="n"/>
      <c r="EB14" s="982" t="n"/>
      <c r="EC14" s="15" t="n"/>
      <c r="ED14" s="982" t="n"/>
      <c r="EE14" s="15" t="n"/>
      <c r="EF14" s="982" t="n"/>
      <c r="EG14" s="15" t="n"/>
      <c r="EH14" s="982" t="n"/>
      <c r="EI14" s="15" t="n"/>
      <c r="EJ14" s="982" t="n"/>
      <c r="EK14" s="15" t="n"/>
      <c r="EL14" s="982" t="n"/>
      <c r="EM14" s="15" t="n"/>
      <c r="EN14" s="983">
        <f>DP14+DR14+DT14+DV14+DX14+DZ14+EB14+ED14+EF14+EH14+EJ14+EL14</f>
        <v/>
      </c>
      <c r="EO14" s="983">
        <f>DQ14+DS14+DU14+DW14+DY14+EA14+EC14+EE14+EG14+EI14+EK14+EM14</f>
        <v/>
      </c>
      <c r="EP14" s="985">
        <f>EN14/2</f>
        <v/>
      </c>
      <c r="EQ14" s="1129">
        <f>EO14/2</f>
        <v/>
      </c>
      <c r="ER14" s="535">
        <f>EQ14/$EQ$57%</f>
        <v/>
      </c>
      <c r="ES14" s="1130">
        <f>ER14-DO14</f>
        <v/>
      </c>
      <c r="ET14" s="1130">
        <f>EQ14/DL14*100-100</f>
        <v/>
      </c>
      <c r="EU14" s="1130">
        <f>EQ14/DN14*100-100</f>
        <v/>
      </c>
      <c r="EV14" s="1130">
        <f>EQ14-DN14</f>
        <v/>
      </c>
      <c r="EW14" s="1000">
        <f>EQ14-DL14</f>
        <v/>
      </c>
      <c r="EX14" s="1130">
        <f>EV14/14</f>
        <v/>
      </c>
      <c r="EY14" s="1130">
        <f>EW14/14</f>
        <v/>
      </c>
      <c r="EZ14" s="1130">
        <f>EY14*2</f>
        <v/>
      </c>
    </row>
    <row r="15" customFormat="1" s="251">
      <c r="A15" s="246" t="n"/>
      <c r="B15" s="247" t="inlineStr">
        <is>
          <t xml:space="preserve">Moe Nae Kon Ki </t>
        </is>
      </c>
      <c r="C15" s="247" t="n"/>
      <c r="D15" s="246" t="n"/>
      <c r="E15" s="246" t="n"/>
      <c r="F15" s="246" t="n"/>
      <c r="G15" s="1131" t="n"/>
      <c r="H15" s="1132" t="n"/>
      <c r="I15" s="1131" t="n"/>
      <c r="J15" s="1132" t="n"/>
      <c r="K15" s="1131" t="n"/>
      <c r="L15" s="1132" t="n"/>
      <c r="M15" s="1131" t="n"/>
      <c r="N15" s="1132" t="n"/>
      <c r="O15" s="1131" t="n"/>
      <c r="P15" s="1132" t="n"/>
      <c r="Q15" s="1131" t="n"/>
      <c r="R15" s="1132" t="n"/>
      <c r="S15" s="1131" t="n"/>
      <c r="T15" s="1132" t="n"/>
      <c r="U15" s="1131" t="n"/>
      <c r="V15" s="1132" t="n"/>
      <c r="W15" s="1131" t="n"/>
      <c r="X15" s="1132" t="n"/>
      <c r="Y15" s="1131" t="n"/>
      <c r="Z15" s="1132" t="n"/>
      <c r="AA15" s="1131" t="n"/>
      <c r="AB15" s="1132" t="n"/>
      <c r="AC15" s="1131" t="n"/>
      <c r="AD15" s="1132" t="n"/>
      <c r="AE15" s="1131" t="n"/>
      <c r="AF15" s="1132" t="n"/>
      <c r="AG15" s="1131" t="n"/>
      <c r="AH15" s="1132" t="n"/>
      <c r="AI15" s="1131" t="n"/>
      <c r="AJ15" s="1132" t="n"/>
      <c r="AK15" s="1131" t="n"/>
      <c r="AL15" s="1132" t="n"/>
      <c r="AM15" s="1131" t="n"/>
      <c r="AN15" s="1132" t="n"/>
      <c r="AO15" s="1131" t="n"/>
      <c r="AP15" s="1132" t="n"/>
      <c r="AQ15" s="1131" t="n"/>
      <c r="AR15" s="1132" t="n"/>
      <c r="AS15" s="1131" t="n"/>
      <c r="AT15" s="1132" t="n"/>
      <c r="AU15" s="1131" t="n"/>
      <c r="AV15" s="1132" t="n"/>
      <c r="AW15" s="1131" t="n"/>
      <c r="AX15" s="1132" t="n"/>
      <c r="AY15" s="1131" t="n"/>
      <c r="AZ15" s="1132" t="n"/>
      <c r="BA15" s="1131" t="n"/>
      <c r="BB15" s="1132" t="n"/>
      <c r="BC15" s="1131" t="n"/>
      <c r="BD15" s="1132" t="n"/>
      <c r="BE15" s="1131" t="n"/>
      <c r="BF15" s="1132" t="n"/>
      <c r="BG15" s="1131" t="n"/>
      <c r="BH15" s="1132" t="n"/>
      <c r="BI15" s="1131" t="n"/>
      <c r="BJ15" s="1132" t="n"/>
      <c r="BK15" s="1131" t="n"/>
      <c r="BL15" s="1132" t="n"/>
      <c r="BM15" s="1131" t="n"/>
      <c r="BN15" s="1132" t="n"/>
      <c r="BO15" s="1131" t="n"/>
      <c r="BP15" s="1132" t="n"/>
      <c r="BQ15" s="1131" t="n"/>
      <c r="BR15" s="1132" t="n"/>
      <c r="BS15" s="1131" t="n"/>
      <c r="BT15" s="1132" t="n"/>
      <c r="BU15" s="1131" t="n"/>
      <c r="BV15" s="1132" t="n"/>
      <c r="BW15" s="1131" t="n"/>
      <c r="BX15" s="1132" t="n"/>
      <c r="BY15" s="1131" t="n"/>
      <c r="BZ15" s="1132" t="n"/>
      <c r="CA15" s="1131" t="n"/>
      <c r="CB15" s="1132" t="n"/>
      <c r="CC15" s="1131" t="n"/>
      <c r="CD15" s="1132" t="n"/>
      <c r="CE15" s="1133">
        <f>SUM(CE13:CE14)</f>
        <v/>
      </c>
      <c r="CF15" s="1133">
        <f>SUM(CF13:CF14)</f>
        <v/>
      </c>
      <c r="CG15" s="1133">
        <f>SUM(CG13:CG14)</f>
        <v/>
      </c>
      <c r="CH15" s="1133">
        <f>SUM(CH13:CH14)</f>
        <v/>
      </c>
      <c r="CI15" s="1133">
        <f>SUM(CI13:CI14)</f>
        <v/>
      </c>
      <c r="CJ15" s="1133">
        <f>SUM(CJ13:CJ14)</f>
        <v/>
      </c>
      <c r="CK15" s="1133">
        <f>SUM(CK13:CK14)</f>
        <v/>
      </c>
      <c r="CL15" s="1133">
        <f>SUM(CL13:CL14)</f>
        <v/>
      </c>
      <c r="CM15" s="1133">
        <f>SUM(CM13:CM14)</f>
        <v/>
      </c>
      <c r="CN15" s="1133">
        <f>SUM(CN13:CN14)</f>
        <v/>
      </c>
      <c r="CO15" s="1133">
        <f>SUM(CO13:CO14)</f>
        <v/>
      </c>
      <c r="CP15" s="1133">
        <f>SUM(CP13:CP14)</f>
        <v/>
      </c>
      <c r="CQ15" s="1133">
        <f>SUM(CQ13:CQ14)</f>
        <v/>
      </c>
      <c r="CR15" s="1133">
        <f>SUM(CR13:CR14)</f>
        <v/>
      </c>
      <c r="CS15" s="1133">
        <f>SUM(CS13:CS14)</f>
        <v/>
      </c>
      <c r="CT15" s="1133">
        <f>SUM(CT13:CT14)</f>
        <v/>
      </c>
      <c r="CU15" s="1133">
        <f>SUM(CU13:CU14)</f>
        <v/>
      </c>
      <c r="CV15" s="1133">
        <f>SUM(CV13:CV14)</f>
        <v/>
      </c>
      <c r="CW15" s="1133">
        <f>SUM(CW13:CW14)</f>
        <v/>
      </c>
      <c r="CX15" s="1133">
        <f>SUM(CX13:CX14)</f>
        <v/>
      </c>
      <c r="CY15" s="1133">
        <f>SUM(CY13:CY14)</f>
        <v/>
      </c>
      <c r="CZ15" s="1133">
        <f>SUM(CZ13:CZ14)</f>
        <v/>
      </c>
      <c r="DA15" s="1133">
        <f>SUM(DA13:DA14)</f>
        <v/>
      </c>
      <c r="DB15" s="1133">
        <f>SUM(DB13:DB14)</f>
        <v/>
      </c>
      <c r="DC15" s="1133">
        <f>SUM(DC13:DC14)</f>
        <v/>
      </c>
      <c r="DD15" s="1133">
        <f>SUM(DD13:DD14)</f>
        <v/>
      </c>
      <c r="DE15" s="1133">
        <f>SUM(DE13:DE14)</f>
        <v/>
      </c>
      <c r="DF15" s="1133">
        <f>SUM(DF13:DF14)</f>
        <v/>
      </c>
      <c r="DG15" s="1133">
        <f>SUM(DG13:DG14)</f>
        <v/>
      </c>
      <c r="DH15" s="1133">
        <f>SUM(DH13:DH14)</f>
        <v/>
      </c>
      <c r="DI15" s="1133">
        <f>SUM(DI13:DI14)</f>
        <v/>
      </c>
      <c r="DJ15" s="1133">
        <f>SUM(DJ13:DJ14)</f>
        <v/>
      </c>
      <c r="DK15" s="1134">
        <f>(CK15+CM15)/2</f>
        <v/>
      </c>
      <c r="DL15" s="1135">
        <f>(CL15+CN15)/2</f>
        <v/>
      </c>
      <c r="DM15" s="1136">
        <f>DI15/12</f>
        <v/>
      </c>
      <c r="DN15" s="1137">
        <f>DJ15/12</f>
        <v/>
      </c>
      <c r="DO15" s="1133">
        <f>SUM(DO13:DO14)</f>
        <v/>
      </c>
      <c r="DP15" s="1133">
        <f>SUM(DP13:DP14)</f>
        <v/>
      </c>
      <c r="DQ15" s="1133">
        <f>SUM(DQ13:DQ14)</f>
        <v/>
      </c>
      <c r="DR15" s="1133">
        <f>SUM(DR13:DR14)</f>
        <v/>
      </c>
      <c r="DS15" s="1133">
        <f>SUM(DS13:DS14)</f>
        <v/>
      </c>
      <c r="DT15" s="1133">
        <f>SUM(DT13:DT14)</f>
        <v/>
      </c>
      <c r="DU15" s="1133">
        <f>SUM(DU13:DU14)</f>
        <v/>
      </c>
      <c r="DV15" s="1133">
        <f>SUM(DV13:DV14)</f>
        <v/>
      </c>
      <c r="DW15" s="1133">
        <f>SUM(DW13:DW14)</f>
        <v/>
      </c>
      <c r="DX15" s="1133">
        <f>SUM(DX13:DX14)</f>
        <v/>
      </c>
      <c r="DY15" s="1133">
        <f>SUM(DY13:DY14)</f>
        <v/>
      </c>
      <c r="DZ15" s="1133">
        <f>SUM(DZ13:DZ14)</f>
        <v/>
      </c>
      <c r="EA15" s="1133">
        <f>SUM(EA13:EA14)</f>
        <v/>
      </c>
      <c r="EB15" s="1133">
        <f>SUM(EB13:EB14)</f>
        <v/>
      </c>
      <c r="EC15" s="1133">
        <f>SUM(EC13:EC14)</f>
        <v/>
      </c>
      <c r="ED15" s="1133">
        <f>SUM(ED13:ED14)</f>
        <v/>
      </c>
      <c r="EE15" s="1133">
        <f>SUM(EE13:EE14)</f>
        <v/>
      </c>
      <c r="EF15" s="1133">
        <f>SUM(EF13:EF14)</f>
        <v/>
      </c>
      <c r="EG15" s="1133">
        <f>SUM(EG13:EG14)</f>
        <v/>
      </c>
      <c r="EH15" s="1133">
        <f>SUM(EH13:EH14)</f>
        <v/>
      </c>
      <c r="EI15" s="1133">
        <f>SUM(EI13:EI14)</f>
        <v/>
      </c>
      <c r="EJ15" s="1133">
        <f>SUM(EJ13:EJ14)</f>
        <v/>
      </c>
      <c r="EK15" s="1133">
        <f>SUM(EK13:EK14)</f>
        <v/>
      </c>
      <c r="EL15" s="1133">
        <f>SUM(EL13:EL14)</f>
        <v/>
      </c>
      <c r="EM15" s="1133">
        <f>SUM(EM13:EM14)</f>
        <v/>
      </c>
      <c r="EN15" s="1133">
        <f>SUM(EN13:EN14)</f>
        <v/>
      </c>
      <c r="EO15" s="1133">
        <f>SUM(EO13:EO14)</f>
        <v/>
      </c>
      <c r="EP15" s="1136">
        <f>EN15/2</f>
        <v/>
      </c>
      <c r="EQ15" s="1137">
        <f>EO15/2</f>
        <v/>
      </c>
      <c r="ER15" s="536">
        <f>EQ15/$EQ$57%</f>
        <v/>
      </c>
      <c r="ES15" s="1138">
        <f>ER15-DO15</f>
        <v/>
      </c>
      <c r="ET15" s="1138">
        <f>EQ15/DL15*100-100</f>
        <v/>
      </c>
      <c r="EU15" s="1138">
        <f>EQ15/DN15*100-100</f>
        <v/>
      </c>
      <c r="EV15" s="1138">
        <f>EQ15-DN15</f>
        <v/>
      </c>
      <c r="EW15" s="1139">
        <f>EQ15-DL15</f>
        <v/>
      </c>
      <c r="EX15" s="1138">
        <f>EV15/14</f>
        <v/>
      </c>
      <c r="EY15" s="1138">
        <f>EW15/14</f>
        <v/>
      </c>
      <c r="EZ15" s="1138">
        <f>EY15*2</f>
        <v/>
      </c>
    </row>
    <row r="16">
      <c r="A16" s="7" t="n">
        <v>9</v>
      </c>
      <c r="B16" s="8" t="inlineStr">
        <is>
          <t>Zayawaddy Red(1 Liter)30%</t>
        </is>
      </c>
      <c r="C16" s="8" t="inlineStr">
        <is>
          <t>‌ကော်ဘူး</t>
        </is>
      </c>
      <c r="D16" s="7" t="n">
        <v>1</v>
      </c>
      <c r="E16" s="7" t="inlineStr">
        <is>
          <t>1 * 12</t>
        </is>
      </c>
      <c r="F16" s="7" t="n">
        <v>1580</v>
      </c>
      <c r="G16" s="975" t="n">
        <v>840</v>
      </c>
      <c r="H16" s="976" t="n">
        <v>840</v>
      </c>
      <c r="I16" s="975" t="n"/>
      <c r="J16" s="976" t="n">
        <v>0</v>
      </c>
      <c r="K16" s="975" t="n">
        <v>1812</v>
      </c>
      <c r="L16" s="976" t="n">
        <v>1812</v>
      </c>
      <c r="M16" s="975" t="n"/>
      <c r="N16" s="976" t="n">
        <v>0</v>
      </c>
      <c r="O16" s="975" t="n"/>
      <c r="P16" s="976" t="n">
        <v>0</v>
      </c>
      <c r="Q16" s="975" t="n"/>
      <c r="R16" s="976" t="n">
        <v>0</v>
      </c>
      <c r="S16" s="975" t="n"/>
      <c r="T16" s="976" t="n">
        <v>0</v>
      </c>
      <c r="U16" s="975" t="n"/>
      <c r="V16" s="976" t="n">
        <v>0</v>
      </c>
      <c r="W16" s="975" t="n"/>
      <c r="X16" s="976" t="n">
        <v>0</v>
      </c>
      <c r="Y16" s="975" t="n"/>
      <c r="Z16" s="976" t="n">
        <v>0</v>
      </c>
      <c r="AA16" s="975" t="n"/>
      <c r="AB16" s="976" t="n">
        <v>0</v>
      </c>
      <c r="AC16" s="975" t="n">
        <v>120</v>
      </c>
      <c r="AD16" s="976" t="n">
        <v>120</v>
      </c>
      <c r="AE16" s="977" t="n">
        <v>231</v>
      </c>
      <c r="AF16" s="978" t="n">
        <v>231</v>
      </c>
      <c r="AG16" s="975" t="n"/>
      <c r="AH16" s="976" t="n">
        <v>0</v>
      </c>
      <c r="AI16" s="975" t="n"/>
      <c r="AJ16" s="976" t="n">
        <v>0</v>
      </c>
      <c r="AK16" s="975" t="n"/>
      <c r="AL16" s="976" t="n">
        <v>0</v>
      </c>
      <c r="AM16" s="975" t="n"/>
      <c r="AN16" s="976" t="n">
        <v>0</v>
      </c>
      <c r="AO16" s="975" t="n"/>
      <c r="AP16" s="976" t="n">
        <v>0</v>
      </c>
      <c r="AQ16" s="975" t="n"/>
      <c r="AR16" s="976" t="n">
        <v>0</v>
      </c>
      <c r="AS16" s="975" t="n"/>
      <c r="AT16" s="976" t="n">
        <v>0</v>
      </c>
      <c r="AU16" s="975" t="n"/>
      <c r="AV16" s="976" t="n">
        <v>0</v>
      </c>
      <c r="AW16" s="975" t="n"/>
      <c r="AX16" s="976" t="n">
        <v>0</v>
      </c>
      <c r="AY16" s="975" t="n"/>
      <c r="AZ16" s="976" t="n">
        <v>0</v>
      </c>
      <c r="BA16" s="975" t="n"/>
      <c r="BB16" s="976" t="n">
        <v>0</v>
      </c>
      <c r="BC16" s="975" t="n"/>
      <c r="BD16" s="976" t="n">
        <v>0</v>
      </c>
      <c r="BE16" s="977" t="n">
        <v>0</v>
      </c>
      <c r="BF16" s="978" t="n">
        <v>0</v>
      </c>
      <c r="BG16" s="975" t="n"/>
      <c r="BH16" s="976" t="n">
        <v>0</v>
      </c>
      <c r="BI16" s="975" t="n"/>
      <c r="BJ16" s="976" t="n">
        <v>0</v>
      </c>
      <c r="BK16" s="975" t="n"/>
      <c r="BL16" s="976" t="n">
        <v>0</v>
      </c>
      <c r="BM16" s="975" t="n"/>
      <c r="BN16" s="976" t="n">
        <v>0</v>
      </c>
      <c r="BO16" s="975" t="n"/>
      <c r="BP16" s="976" t="n">
        <v>0</v>
      </c>
      <c r="BQ16" s="975" t="n"/>
      <c r="BR16" s="976" t="n">
        <v>0</v>
      </c>
      <c r="BS16" s="975" t="n"/>
      <c r="BT16" s="976" t="n">
        <v>0</v>
      </c>
      <c r="BU16" s="975" t="n"/>
      <c r="BV16" s="976" t="n">
        <v>0</v>
      </c>
      <c r="BW16" s="975" t="n"/>
      <c r="BX16" s="976" t="n">
        <v>0</v>
      </c>
      <c r="BY16" s="975" t="n"/>
      <c r="BZ16" s="976" t="n">
        <v>0</v>
      </c>
      <c r="CA16" s="975" t="n"/>
      <c r="CB16" s="976" t="n">
        <v>0</v>
      </c>
      <c r="CC16" s="975" t="n"/>
      <c r="CD16" s="976" t="n">
        <v>0</v>
      </c>
      <c r="CE16" s="979">
        <f>(BG16+BI16+BK16+BM16+BO16+BQ16+BS16+BU16+BW16+BY16+CA16)/11</f>
        <v/>
      </c>
      <c r="CF16" s="976">
        <f>(BH16+BJ16+BL16+BN16+BP16+BR16+BT16+BV16+BX16+BZ16+CB16)/11</f>
        <v/>
      </c>
      <c r="CG16" s="977" t="n">
        <v>0</v>
      </c>
      <c r="CH16" s="978" t="n">
        <v>0</v>
      </c>
      <c r="CI16" s="15" t="n">
        <v>0</v>
      </c>
      <c r="CJ16" s="15" t="n"/>
      <c r="CK16" s="982" t="n"/>
      <c r="CL16" s="976" t="n">
        <v>0</v>
      </c>
      <c r="CM16" s="982" t="n"/>
      <c r="CN16" s="15" t="n">
        <v>0</v>
      </c>
      <c r="CO16" s="982" t="n"/>
      <c r="CP16" s="15" t="n">
        <v>0</v>
      </c>
      <c r="CQ16" s="982" t="n"/>
      <c r="CR16" s="15" t="n">
        <v>0</v>
      </c>
      <c r="CS16" s="982" t="n">
        <v>840</v>
      </c>
      <c r="CT16" s="15" t="n">
        <v>840</v>
      </c>
      <c r="CU16" s="982" t="n">
        <v>1140</v>
      </c>
      <c r="CV16" s="15" t="n">
        <v>1140</v>
      </c>
      <c r="CW16" s="982" t="n"/>
      <c r="CX16" s="15" t="n">
        <v>0</v>
      </c>
      <c r="CY16" s="982" t="n"/>
      <c r="CZ16" s="15" t="n">
        <v>0</v>
      </c>
      <c r="DA16" s="982" t="n"/>
      <c r="DB16" s="15" t="n">
        <v>0</v>
      </c>
      <c r="DC16" s="982" t="n"/>
      <c r="DD16" s="15" t="n">
        <v>0</v>
      </c>
      <c r="DE16" s="982" t="n"/>
      <c r="DF16" s="15" t="n">
        <v>0</v>
      </c>
      <c r="DG16" s="982" t="n"/>
      <c r="DH16" s="15" t="n">
        <v>0</v>
      </c>
      <c r="DI16" s="983">
        <f>CK16+CM16+CO16+CQ16+CS16+CU16+CW16+CY16+DA16+DC16+DE16+DG16</f>
        <v/>
      </c>
      <c r="DJ16" s="983">
        <f>CL16+CN16+CP16+CR16+CT16+CV16+CX16+CZ16+DB16+DD16+DF16+DH16</f>
        <v/>
      </c>
      <c r="DK16" s="983">
        <f>(CK16+CM16)/2</f>
        <v/>
      </c>
      <c r="DL16" s="984">
        <f>(CL16+CN16)/2</f>
        <v/>
      </c>
      <c r="DM16" s="985">
        <f>DI16/12</f>
        <v/>
      </c>
      <c r="DN16" s="1129">
        <f>DJ16/12</f>
        <v/>
      </c>
      <c r="DO16" s="69">
        <f>DN16/$DN$57%</f>
        <v/>
      </c>
      <c r="DP16" s="982" t="n"/>
      <c r="DQ16" s="976" t="n"/>
      <c r="DR16" s="975" t="n"/>
      <c r="DS16" s="976" t="n"/>
      <c r="DT16" s="982" t="n"/>
      <c r="DU16" s="15" t="n"/>
      <c r="DV16" s="982" t="n"/>
      <c r="DW16" s="15" t="n"/>
      <c r="DX16" s="982" t="n"/>
      <c r="DY16" s="15" t="n"/>
      <c r="DZ16" s="982" t="n"/>
      <c r="EA16" s="15" t="n"/>
      <c r="EB16" s="982" t="n"/>
      <c r="EC16" s="15" t="n"/>
      <c r="ED16" s="982" t="n"/>
      <c r="EE16" s="15" t="n"/>
      <c r="EF16" s="982" t="n"/>
      <c r="EG16" s="15" t="n"/>
      <c r="EH16" s="982" t="n"/>
      <c r="EI16" s="15" t="n"/>
      <c r="EJ16" s="982" t="n"/>
      <c r="EK16" s="15" t="n"/>
      <c r="EL16" s="982" t="n"/>
      <c r="EM16" s="15" t="n"/>
      <c r="EN16" s="983">
        <f>DP16+DR16+DT16+DV16+DX16+DZ16+EB16+ED16+EF16+EH16+EJ16+EL16</f>
        <v/>
      </c>
      <c r="EO16" s="983">
        <f>DQ16+DS16+DU16+DW16+DY16+EA16+EC16+EE16+EG16+EI16+EK16+EM16</f>
        <v/>
      </c>
      <c r="EP16" s="985">
        <f>EN16/2</f>
        <v/>
      </c>
      <c r="EQ16" s="1129">
        <f>EO16/2</f>
        <v/>
      </c>
      <c r="ER16" s="535">
        <f>EQ16/$EQ$57%</f>
        <v/>
      </c>
      <c r="ES16" s="1130">
        <f>ER16-DO16</f>
        <v/>
      </c>
      <c r="ET16" s="1130" t="n"/>
      <c r="EU16" s="1130">
        <f>EQ16/DN16*100-100</f>
        <v/>
      </c>
      <c r="EV16" s="1130">
        <f>EQ16-DN16</f>
        <v/>
      </c>
      <c r="EW16" s="1000">
        <f>EQ16-DL16</f>
        <v/>
      </c>
      <c r="EX16" s="1130">
        <f>EV16/14</f>
        <v/>
      </c>
      <c r="EY16" s="1130">
        <f>EW16/14</f>
        <v/>
      </c>
      <c r="EZ16" s="1130">
        <f>EY16*2</f>
        <v/>
      </c>
    </row>
    <row r="17">
      <c r="A17" s="7" t="n">
        <v>10</v>
      </c>
      <c r="B17" s="8" t="inlineStr">
        <is>
          <t xml:space="preserve">Zayawaddy Red </t>
        </is>
      </c>
      <c r="C17" s="8" t="inlineStr">
        <is>
          <t>ပုလင်း</t>
        </is>
      </c>
      <c r="D17" s="7" t="n">
        <v>0.7</v>
      </c>
      <c r="E17" s="7" t="inlineStr">
        <is>
          <t>1 * 12</t>
        </is>
      </c>
      <c r="F17" s="7" t="n">
        <v>1700</v>
      </c>
      <c r="G17" s="975" t="n">
        <v>25776</v>
      </c>
      <c r="H17" s="976" t="n">
        <v>18043.2</v>
      </c>
      <c r="I17" s="975" t="n">
        <v>20160</v>
      </c>
      <c r="J17" s="976" t="n">
        <v>14112</v>
      </c>
      <c r="K17" s="975" t="n">
        <v>22660</v>
      </c>
      <c r="L17" s="976" t="n">
        <v>15862</v>
      </c>
      <c r="M17" s="975" t="n">
        <v>16679</v>
      </c>
      <c r="N17" s="976" t="n">
        <v>11675.3</v>
      </c>
      <c r="O17" s="975" t="n">
        <v>12936</v>
      </c>
      <c r="P17" s="976" t="n">
        <v>9055.199999999999</v>
      </c>
      <c r="Q17" s="975" t="n">
        <v>12696</v>
      </c>
      <c r="R17" s="976" t="n">
        <v>8887.199999999999</v>
      </c>
      <c r="S17" s="975" t="n">
        <v>14820</v>
      </c>
      <c r="T17" s="976" t="n">
        <v>10374</v>
      </c>
      <c r="U17" s="975" t="n">
        <v>24228</v>
      </c>
      <c r="V17" s="976" t="n">
        <v>16959.6</v>
      </c>
      <c r="W17" s="975" t="n">
        <v>9156</v>
      </c>
      <c r="X17" s="976" t="n">
        <v>6409.2</v>
      </c>
      <c r="Y17" s="975" t="n">
        <v>8520</v>
      </c>
      <c r="Z17" s="976" t="n">
        <v>5964</v>
      </c>
      <c r="AA17" s="975" t="n">
        <v>10776</v>
      </c>
      <c r="AB17" s="976" t="n">
        <v>7543.2</v>
      </c>
      <c r="AC17" s="975" t="n">
        <v>8832</v>
      </c>
      <c r="AD17" s="976" t="n">
        <v>6182.4</v>
      </c>
      <c r="AE17" s="977" t="n">
        <v>15603.25</v>
      </c>
      <c r="AF17" s="978" t="n">
        <v>10922.275</v>
      </c>
      <c r="AG17" s="975" t="n">
        <v>10740</v>
      </c>
      <c r="AH17" s="976" t="n">
        <v>7517.999999999999</v>
      </c>
      <c r="AI17" s="975" t="n">
        <v>5988</v>
      </c>
      <c r="AJ17" s="976" t="n">
        <v>4191.599999999999</v>
      </c>
      <c r="AK17" s="975" t="n">
        <v>9600</v>
      </c>
      <c r="AL17" s="976" t="n">
        <v>6720</v>
      </c>
      <c r="AM17" s="975" t="n">
        <v>6972</v>
      </c>
      <c r="AN17" s="976" t="n">
        <v>4880.4</v>
      </c>
      <c r="AO17" s="975" t="n">
        <v>6840</v>
      </c>
      <c r="AP17" s="976" t="n">
        <v>4788</v>
      </c>
      <c r="AQ17" s="975" t="n">
        <v>7380</v>
      </c>
      <c r="AR17" s="976" t="n">
        <v>5166</v>
      </c>
      <c r="AS17" s="975" t="n">
        <v>4404</v>
      </c>
      <c r="AT17" s="976" t="n">
        <v>3082.8</v>
      </c>
      <c r="AU17" s="975" t="n">
        <v>6624</v>
      </c>
      <c r="AV17" s="976" t="n">
        <v>4636.799999999999</v>
      </c>
      <c r="AW17" s="975" t="n">
        <v>4282</v>
      </c>
      <c r="AX17" s="976" t="n">
        <v>2997.4</v>
      </c>
      <c r="AY17" s="975" t="n">
        <v>6540</v>
      </c>
      <c r="AZ17" s="976" t="n">
        <v>4578</v>
      </c>
      <c r="BA17" s="975" t="n">
        <v>5640</v>
      </c>
      <c r="BB17" s="976" t="n">
        <v>3948</v>
      </c>
      <c r="BC17" s="975" t="n">
        <v>5580</v>
      </c>
      <c r="BD17" s="976" t="n">
        <v>3906</v>
      </c>
      <c r="BE17" s="977" t="n">
        <v>6715.833333333333</v>
      </c>
      <c r="BF17" s="978" t="n">
        <v>4701.083333333333</v>
      </c>
      <c r="BG17" s="975" t="n">
        <v>6204</v>
      </c>
      <c r="BH17" s="976" t="n">
        <v>4342.799999999999</v>
      </c>
      <c r="BI17" s="975" t="n">
        <v>5268</v>
      </c>
      <c r="BJ17" s="976" t="n">
        <v>3687.6</v>
      </c>
      <c r="BK17" s="975" t="n">
        <v>4440</v>
      </c>
      <c r="BL17" s="976" t="n">
        <v>3108</v>
      </c>
      <c r="BM17" s="975" t="n">
        <v>3996</v>
      </c>
      <c r="BN17" s="976" t="n">
        <v>2797.2</v>
      </c>
      <c r="BO17" s="975" t="n">
        <v>2436</v>
      </c>
      <c r="BP17" s="976" t="n">
        <v>1705.2</v>
      </c>
      <c r="BQ17" s="975" t="n">
        <v>4006</v>
      </c>
      <c r="BR17" s="976" t="n">
        <v>2804.2</v>
      </c>
      <c r="BS17" s="975" t="n">
        <v>4020</v>
      </c>
      <c r="BT17" s="976" t="n">
        <v>2814</v>
      </c>
      <c r="BU17" s="975" t="n">
        <v>3900</v>
      </c>
      <c r="BV17" s="976" t="n">
        <v>2730</v>
      </c>
      <c r="BW17" s="975" t="n">
        <v>4788</v>
      </c>
      <c r="BX17" s="976" t="n">
        <v>3351.6</v>
      </c>
      <c r="BY17" s="975" t="n">
        <v>4680</v>
      </c>
      <c r="BZ17" s="976" t="n">
        <v>3276</v>
      </c>
      <c r="CA17" s="975" t="n">
        <v>4452</v>
      </c>
      <c r="CB17" s="976" t="n">
        <v>3116.4</v>
      </c>
      <c r="CC17" s="975" t="n">
        <v>5232</v>
      </c>
      <c r="CD17" s="976" t="n">
        <v>3662.4</v>
      </c>
      <c r="CE17" s="979">
        <f>(BG17+BI17+BK17+BM17+BO17+BQ17+BS17+BU17+BW17+BY17+CA17)/11</f>
        <v/>
      </c>
      <c r="CF17" s="976">
        <f>(BH17+BJ17+BL17+BN17+BP17+BR17+BT17+BV17+BX17+BZ17+CB17)/11</f>
        <v/>
      </c>
      <c r="CG17" s="977" t="n">
        <v>4451.833333333333</v>
      </c>
      <c r="CH17" s="978" t="n">
        <v>3116.283333333333</v>
      </c>
      <c r="CI17" s="15" t="n">
        <v>0.5528211098952674</v>
      </c>
      <c r="CJ17" s="15" t="n"/>
      <c r="CK17" s="982" t="n">
        <v>4836</v>
      </c>
      <c r="CL17" s="976" t="n">
        <v>3385.2</v>
      </c>
      <c r="CM17" s="982" t="n">
        <v>3924</v>
      </c>
      <c r="CN17" s="15" t="n">
        <v>2746.8</v>
      </c>
      <c r="CO17" s="982" t="n">
        <v>6216</v>
      </c>
      <c r="CP17" s="15" t="n">
        <v>4351.2</v>
      </c>
      <c r="CQ17" s="982" t="n">
        <v>1416</v>
      </c>
      <c r="CR17" s="15" t="n">
        <v>991.1999999999999</v>
      </c>
      <c r="CS17" s="982" t="n">
        <v>2400</v>
      </c>
      <c r="CT17" s="15" t="n">
        <v>1680</v>
      </c>
      <c r="CU17" s="982" t="n">
        <v>4740</v>
      </c>
      <c r="CV17" s="15" t="n">
        <v>3318</v>
      </c>
      <c r="CW17" s="982" t="n">
        <v>4320</v>
      </c>
      <c r="CX17" s="15" t="n">
        <v>3024</v>
      </c>
      <c r="CY17" s="982" t="n">
        <v>3120</v>
      </c>
      <c r="CZ17" s="15" t="n">
        <v>2184</v>
      </c>
      <c r="DA17" s="982" t="n">
        <v>1824</v>
      </c>
      <c r="DB17" s="15" t="n">
        <v>1276.8</v>
      </c>
      <c r="DC17" s="982" t="n">
        <v>4923</v>
      </c>
      <c r="DD17" s="15" t="n">
        <v>3446.1</v>
      </c>
      <c r="DE17" s="982" t="n">
        <v>2664</v>
      </c>
      <c r="DF17" s="15" t="n">
        <v>1864.8</v>
      </c>
      <c r="DG17" s="982" t="n">
        <v>4852</v>
      </c>
      <c r="DH17" s="15" t="n">
        <v>3396.4</v>
      </c>
      <c r="DI17" s="983">
        <f>CK17+CM17+CO17+CQ17+CS17+CU17+CW17+CY17+DA17+DC17+DE17+DG17</f>
        <v/>
      </c>
      <c r="DJ17" s="983">
        <f>CL17+CN17+CP17+CR17+CT17+CV17+CX17+CZ17+DB17+DD17+DF17+DH17</f>
        <v/>
      </c>
      <c r="DK17" s="983">
        <f>(CK17+CM17)/2</f>
        <v/>
      </c>
      <c r="DL17" s="984">
        <f>(CL17+CN17)/2</f>
        <v/>
      </c>
      <c r="DM17" s="985">
        <f>DI17/12</f>
        <v/>
      </c>
      <c r="DN17" s="1129">
        <f>DJ17/12</f>
        <v/>
      </c>
      <c r="DO17" s="69">
        <f>DN17/$DN$57%</f>
        <v/>
      </c>
      <c r="DP17" s="982" t="n">
        <v>3300</v>
      </c>
      <c r="DQ17" s="976" t="n">
        <v>2310</v>
      </c>
      <c r="DR17" s="975" t="n">
        <v>2844</v>
      </c>
      <c r="DS17" s="976" t="n">
        <v>1990.8</v>
      </c>
      <c r="DT17" s="982" t="n"/>
      <c r="DU17" s="15" t="n"/>
      <c r="DV17" s="982" t="n"/>
      <c r="DW17" s="15" t="n"/>
      <c r="DX17" s="982" t="n"/>
      <c r="DY17" s="15" t="n"/>
      <c r="DZ17" s="982" t="n"/>
      <c r="EA17" s="15" t="n"/>
      <c r="EB17" s="982" t="n"/>
      <c r="EC17" s="15" t="n"/>
      <c r="ED17" s="982" t="n"/>
      <c r="EE17" s="15" t="n"/>
      <c r="EF17" s="982" t="n"/>
      <c r="EG17" s="15" t="n"/>
      <c r="EH17" s="982" t="n"/>
      <c r="EI17" s="15" t="n"/>
      <c r="EJ17" s="982" t="n"/>
      <c r="EK17" s="15" t="n"/>
      <c r="EL17" s="982" t="n"/>
      <c r="EM17" s="15" t="n"/>
      <c r="EN17" s="983">
        <f>DP17+DR17+DT17+DV17+DX17+DZ17+EB17+ED17+EF17+EH17+EJ17+EL17</f>
        <v/>
      </c>
      <c r="EO17" s="983">
        <f>DQ17+DS17+DU17+DW17+DY17+EA17+EC17+EE17+EG17+EI17+EK17+EM17</f>
        <v/>
      </c>
      <c r="EP17" s="985">
        <f>EN17/2</f>
        <v/>
      </c>
      <c r="EQ17" s="1129">
        <f>EO17/2</f>
        <v/>
      </c>
      <c r="ER17" s="535">
        <f>EQ17/$EQ$57%</f>
        <v/>
      </c>
      <c r="ES17" s="1130">
        <f>ER17-DO17</f>
        <v/>
      </c>
      <c r="ET17" s="1130">
        <f>EQ17/DL17*100-100</f>
        <v/>
      </c>
      <c r="EU17" s="1130">
        <f>EQ17/DN17*100-100</f>
        <v/>
      </c>
      <c r="EV17" s="1130">
        <f>EQ17-DN17</f>
        <v/>
      </c>
      <c r="EW17" s="1000">
        <f>EQ17-DL17</f>
        <v/>
      </c>
      <c r="EX17" s="1130">
        <f>EV17/14</f>
        <v/>
      </c>
      <c r="EY17" s="1130">
        <f>EW17/14</f>
        <v/>
      </c>
      <c r="EZ17" s="1130">
        <f>EY17*2</f>
        <v/>
      </c>
    </row>
    <row r="18">
      <c r="A18" s="7" t="n">
        <v>11</v>
      </c>
      <c r="B18" s="8" t="inlineStr">
        <is>
          <t>Zeyawaddy Rum (43%)</t>
        </is>
      </c>
      <c r="C18" s="8" t="inlineStr">
        <is>
          <t>ပုလင်း</t>
        </is>
      </c>
      <c r="D18" s="7" t="n">
        <v>0.68</v>
      </c>
      <c r="E18" s="7" t="inlineStr">
        <is>
          <t>1 * 12</t>
        </is>
      </c>
      <c r="F18" s="7" t="n">
        <v>1500</v>
      </c>
      <c r="G18" s="975" t="n"/>
      <c r="H18" s="976" t="n">
        <v>0</v>
      </c>
      <c r="I18" s="975" t="n"/>
      <c r="J18" s="976" t="n">
        <v>0</v>
      </c>
      <c r="K18" s="975" t="n"/>
      <c r="L18" s="976" t="n">
        <v>0</v>
      </c>
      <c r="M18" s="975" t="n"/>
      <c r="N18" s="976" t="n">
        <v>0</v>
      </c>
      <c r="O18" s="975" t="n"/>
      <c r="P18" s="976" t="n">
        <v>0</v>
      </c>
      <c r="Q18" s="975" t="n"/>
      <c r="R18" s="976" t="n">
        <v>0</v>
      </c>
      <c r="S18" s="975" t="n"/>
      <c r="T18" s="976" t="n">
        <v>0</v>
      </c>
      <c r="U18" s="975" t="n"/>
      <c r="V18" s="976" t="n">
        <v>0</v>
      </c>
      <c r="W18" s="975" t="n"/>
      <c r="X18" s="976" t="n">
        <v>0</v>
      </c>
      <c r="Y18" s="975" t="n"/>
      <c r="Z18" s="976" t="n">
        <v>0</v>
      </c>
      <c r="AA18" s="975" t="n"/>
      <c r="AB18" s="976" t="n">
        <v>0</v>
      </c>
      <c r="AC18" s="975" t="n"/>
      <c r="AD18" s="976" t="n">
        <v>0</v>
      </c>
      <c r="AE18" s="977" t="n">
        <v>0</v>
      </c>
      <c r="AF18" s="978" t="n">
        <v>0</v>
      </c>
      <c r="AG18" s="975" t="n"/>
      <c r="AH18" s="976" t="n">
        <v>0</v>
      </c>
      <c r="AI18" s="975" t="n"/>
      <c r="AJ18" s="976" t="n">
        <v>0</v>
      </c>
      <c r="AK18" s="975" t="n"/>
      <c r="AL18" s="976" t="n">
        <v>0</v>
      </c>
      <c r="AM18" s="975" t="n"/>
      <c r="AN18" s="976" t="n">
        <v>0</v>
      </c>
      <c r="AO18" s="975" t="n"/>
      <c r="AP18" s="976" t="n">
        <v>0</v>
      </c>
      <c r="AQ18" s="975" t="n"/>
      <c r="AR18" s="976" t="n">
        <v>0</v>
      </c>
      <c r="AS18" s="975" t="n"/>
      <c r="AT18" s="976" t="n">
        <v>0</v>
      </c>
      <c r="AU18" s="975" t="n">
        <v>264</v>
      </c>
      <c r="AV18" s="976" t="n">
        <v>179.52</v>
      </c>
      <c r="AW18" s="975" t="n">
        <v>1668</v>
      </c>
      <c r="AX18" s="976" t="n">
        <v>1134.24</v>
      </c>
      <c r="AY18" s="975" t="n">
        <v>4235</v>
      </c>
      <c r="AZ18" s="976" t="n">
        <v>2879.8</v>
      </c>
      <c r="BA18" s="975" t="n">
        <v>576</v>
      </c>
      <c r="BB18" s="976" t="n">
        <v>391.68</v>
      </c>
      <c r="BC18" s="975" t="n">
        <v>324</v>
      </c>
      <c r="BD18" s="976" t="n">
        <v>220.32</v>
      </c>
      <c r="BE18" s="977" t="n">
        <v>588.9166666666666</v>
      </c>
      <c r="BF18" s="978" t="n">
        <v>400.4633333333333</v>
      </c>
      <c r="BG18" s="975" t="n">
        <v>1200</v>
      </c>
      <c r="BH18" s="976" t="n">
        <v>816.0000000000001</v>
      </c>
      <c r="BI18" s="975" t="n">
        <v>611</v>
      </c>
      <c r="BJ18" s="976" t="n">
        <v>415.48</v>
      </c>
      <c r="BK18" s="975" t="n">
        <v>1647</v>
      </c>
      <c r="BL18" s="976" t="n">
        <v>1119.96</v>
      </c>
      <c r="BM18" s="975" t="n">
        <v>1038</v>
      </c>
      <c r="BN18" s="976" t="n">
        <v>705.84</v>
      </c>
      <c r="BO18" s="975" t="n">
        <v>283</v>
      </c>
      <c r="BP18" s="976" t="n">
        <v>192.44</v>
      </c>
      <c r="BQ18" s="975" t="n">
        <v>674</v>
      </c>
      <c r="BR18" s="976" t="n">
        <v>458.3200000000001</v>
      </c>
      <c r="BS18" s="975" t="n">
        <v>670</v>
      </c>
      <c r="BT18" s="976" t="n">
        <v>455.6</v>
      </c>
      <c r="BU18" s="975" t="n">
        <v>624</v>
      </c>
      <c r="BV18" s="976" t="n">
        <v>424.3200000000001</v>
      </c>
      <c r="BW18" s="975" t="n">
        <v>984</v>
      </c>
      <c r="BX18" s="976" t="n">
        <v>669.12</v>
      </c>
      <c r="BY18" s="975" t="n">
        <v>712</v>
      </c>
      <c r="BZ18" s="976" t="n">
        <v>484.16</v>
      </c>
      <c r="CA18" s="975" t="n">
        <v>528</v>
      </c>
      <c r="CB18" s="976" t="n">
        <v>359.04</v>
      </c>
      <c r="CC18" s="975" t="n">
        <v>492</v>
      </c>
      <c r="CD18" s="976" t="n">
        <v>334.56</v>
      </c>
      <c r="CE18" s="979">
        <f>(BG18+BI18+BK18+BM18+BO18+BQ18+BS18+BU18+BW18+BY18+CA18)/11</f>
        <v/>
      </c>
      <c r="CF18" s="976">
        <f>(BH18+BJ18+BL18+BN18+BP18+BR18+BT18+BV18+BX18+BZ18+CB18)/11</f>
        <v/>
      </c>
      <c r="CG18" s="977" t="n">
        <v>788.5833333333334</v>
      </c>
      <c r="CH18" s="978" t="n">
        <v>536.2366666666667</v>
      </c>
      <c r="CI18" s="15" t="n">
        <v>0.09512708490344972</v>
      </c>
      <c r="CJ18" s="15" t="n"/>
      <c r="CK18" s="982" t="n">
        <v>360</v>
      </c>
      <c r="CL18" s="976" t="n">
        <v>244.8</v>
      </c>
      <c r="CM18" s="982" t="n">
        <v>360</v>
      </c>
      <c r="CN18" s="15" t="n">
        <v>244.8</v>
      </c>
      <c r="CO18" s="982" t="n">
        <v>240</v>
      </c>
      <c r="CP18" s="15" t="n">
        <v>163.2</v>
      </c>
      <c r="CQ18" s="982" t="n">
        <v>1116</v>
      </c>
      <c r="CR18" s="15" t="n">
        <v>758.8800000000001</v>
      </c>
      <c r="CS18" s="982" t="n">
        <v>480</v>
      </c>
      <c r="CT18" s="15" t="n">
        <v>326.4</v>
      </c>
      <c r="CU18" s="982" t="n">
        <v>420</v>
      </c>
      <c r="CV18" s="15" t="n">
        <v>285.6</v>
      </c>
      <c r="CW18" s="982" t="n">
        <v>300</v>
      </c>
      <c r="CX18" s="15" t="n">
        <v>204</v>
      </c>
      <c r="CY18" s="982" t="n">
        <v>180</v>
      </c>
      <c r="CZ18" s="15" t="n">
        <v>122.4</v>
      </c>
      <c r="DA18" s="982" t="n">
        <v>540</v>
      </c>
      <c r="DB18" s="15" t="n">
        <v>367.2</v>
      </c>
      <c r="DC18" s="982" t="n">
        <v>96</v>
      </c>
      <c r="DD18" s="15" t="n">
        <v>65.28</v>
      </c>
      <c r="DE18" s="982" t="n">
        <v>96</v>
      </c>
      <c r="DF18" s="15" t="n">
        <v>65.28</v>
      </c>
      <c r="DG18" s="982" t="n">
        <v>72</v>
      </c>
      <c r="DH18" s="15" t="n">
        <v>48.96</v>
      </c>
      <c r="DI18" s="983">
        <f>CK18+CM18+CO18+CQ18+CS18+CU18+CW18+CY18+DA18+DC18+DE18+DG18</f>
        <v/>
      </c>
      <c r="DJ18" s="983">
        <f>CL18+CN18+CP18+CR18+CT18+CV18+CX18+CZ18+DB18+DD18+DF18+DH18</f>
        <v/>
      </c>
      <c r="DK18" s="983">
        <f>(CK18+CM18)/2</f>
        <v/>
      </c>
      <c r="DL18" s="984">
        <f>(CL18+CN18)/2</f>
        <v/>
      </c>
      <c r="DM18" s="985">
        <f>DI18/12</f>
        <v/>
      </c>
      <c r="DN18" s="1129">
        <f>DJ18/12</f>
        <v/>
      </c>
      <c r="DO18" s="69">
        <f>DN18/$DN$57%</f>
        <v/>
      </c>
      <c r="DP18" s="982" t="n">
        <v>96</v>
      </c>
      <c r="DQ18" s="976" t="n">
        <v>65.28</v>
      </c>
      <c r="DR18" s="975" t="n">
        <v>60</v>
      </c>
      <c r="DS18" s="976" t="n">
        <v>40.8</v>
      </c>
      <c r="DT18" s="982" t="n"/>
      <c r="DU18" s="15" t="n"/>
      <c r="DV18" s="982" t="n"/>
      <c r="DW18" s="15" t="n"/>
      <c r="DX18" s="982" t="n"/>
      <c r="DY18" s="15" t="n"/>
      <c r="DZ18" s="982" t="n"/>
      <c r="EA18" s="15" t="n"/>
      <c r="EB18" s="982" t="n"/>
      <c r="EC18" s="15" t="n"/>
      <c r="ED18" s="982" t="n"/>
      <c r="EE18" s="15" t="n"/>
      <c r="EF18" s="982" t="n"/>
      <c r="EG18" s="15" t="n"/>
      <c r="EH18" s="982" t="n"/>
      <c r="EI18" s="15" t="n"/>
      <c r="EJ18" s="982" t="n"/>
      <c r="EK18" s="15" t="n"/>
      <c r="EL18" s="982" t="n"/>
      <c r="EM18" s="15" t="n"/>
      <c r="EN18" s="983">
        <f>DP18+DR18+DT18+DV18+DX18+DZ18+EB18+ED18+EF18+EH18+EJ18+EL18</f>
        <v/>
      </c>
      <c r="EO18" s="983">
        <f>DQ18+DS18+DU18+DW18+DY18+EA18+EC18+EE18+EG18+EI18+EK18+EM18</f>
        <v/>
      </c>
      <c r="EP18" s="985">
        <f>EN18/2</f>
        <v/>
      </c>
      <c r="EQ18" s="1129">
        <f>EO18/2</f>
        <v/>
      </c>
      <c r="ER18" s="535">
        <f>EQ18/$EQ$57%</f>
        <v/>
      </c>
      <c r="ES18" s="1130">
        <f>ER18-DO18</f>
        <v/>
      </c>
      <c r="ET18" s="1130">
        <f>EQ18/DL18*100-100</f>
        <v/>
      </c>
      <c r="EU18" s="1130">
        <f>EQ18/DN18*100-100</f>
        <v/>
      </c>
      <c r="EV18" s="1130">
        <f>EQ18-DN18</f>
        <v/>
      </c>
      <c r="EW18" s="1000">
        <f>EQ18-DL18</f>
        <v/>
      </c>
      <c r="EX18" s="1130">
        <f>EV18/14</f>
        <v/>
      </c>
      <c r="EY18" s="1130">
        <f>EW18/14</f>
        <v/>
      </c>
      <c r="EZ18" s="1130">
        <f>EY18*2</f>
        <v/>
      </c>
    </row>
    <row r="19">
      <c r="A19" s="7" t="n">
        <v>12</v>
      </c>
      <c r="B19" s="8" t="inlineStr">
        <is>
          <t xml:space="preserve">Zayawaddy Red </t>
        </is>
      </c>
      <c r="C19" s="8" t="inlineStr">
        <is>
          <t>ပုလင်း</t>
        </is>
      </c>
      <c r="D19" s="7" t="n">
        <v>0.64</v>
      </c>
      <c r="E19" s="7" t="inlineStr">
        <is>
          <t>1 * 14</t>
        </is>
      </c>
      <c r="F19" s="7" t="n">
        <v>1230</v>
      </c>
      <c r="G19" s="975" t="n">
        <v>39676</v>
      </c>
      <c r="H19" s="976" t="n">
        <v>25392.64</v>
      </c>
      <c r="I19" s="975" t="n">
        <v>47110</v>
      </c>
      <c r="J19" s="976" t="n">
        <v>30150.4</v>
      </c>
      <c r="K19" s="975" t="n">
        <v>48888</v>
      </c>
      <c r="L19" s="976" t="n">
        <v>31288.32</v>
      </c>
      <c r="M19" s="975" t="n">
        <v>33124</v>
      </c>
      <c r="N19" s="976" t="n">
        <v>21199.36</v>
      </c>
      <c r="O19" s="975" t="n">
        <v>38360</v>
      </c>
      <c r="P19" s="976" t="n">
        <v>24550.4</v>
      </c>
      <c r="Q19" s="975" t="n">
        <v>36918</v>
      </c>
      <c r="R19" s="976" t="n">
        <v>23627.52</v>
      </c>
      <c r="S19" s="975" t="n">
        <v>42098</v>
      </c>
      <c r="T19" s="976" t="n">
        <v>26942.72</v>
      </c>
      <c r="U19" s="975" t="n">
        <v>45248</v>
      </c>
      <c r="V19" s="976" t="n">
        <v>28958.72</v>
      </c>
      <c r="W19" s="975" t="n">
        <v>37324</v>
      </c>
      <c r="X19" s="976" t="n">
        <v>23887.36</v>
      </c>
      <c r="Y19" s="975" t="n">
        <v>43708</v>
      </c>
      <c r="Z19" s="976" t="n">
        <v>27973.12</v>
      </c>
      <c r="AA19" s="975" t="n">
        <v>44828</v>
      </c>
      <c r="AB19" s="976" t="n">
        <v>28689.92</v>
      </c>
      <c r="AC19" s="975" t="n">
        <v>54670</v>
      </c>
      <c r="AD19" s="976" t="n">
        <v>34988.8</v>
      </c>
      <c r="AE19" s="977" t="n">
        <v>42662.66666666666</v>
      </c>
      <c r="AF19" s="978" t="n">
        <v>27304.10666666667</v>
      </c>
      <c r="AG19" s="975" t="n">
        <v>53162</v>
      </c>
      <c r="AH19" s="976" t="n">
        <v>34023.68</v>
      </c>
      <c r="AI19" s="975" t="n">
        <v>47572</v>
      </c>
      <c r="AJ19" s="976" t="n">
        <v>30446.08</v>
      </c>
      <c r="AK19" s="975" t="n">
        <v>52598</v>
      </c>
      <c r="AL19" s="976" t="n">
        <v>33662.72</v>
      </c>
      <c r="AM19" s="975" t="n">
        <v>43540</v>
      </c>
      <c r="AN19" s="976" t="n">
        <v>27865.6</v>
      </c>
      <c r="AO19" s="975" t="n">
        <v>34048</v>
      </c>
      <c r="AP19" s="976" t="n">
        <v>21790.72</v>
      </c>
      <c r="AQ19" s="975" t="n">
        <v>44774</v>
      </c>
      <c r="AR19" s="976" t="n">
        <v>28655.36</v>
      </c>
      <c r="AS19" s="975" t="n">
        <v>48580</v>
      </c>
      <c r="AT19" s="976" t="n">
        <v>31091.2</v>
      </c>
      <c r="AU19" s="975" t="n">
        <v>50008</v>
      </c>
      <c r="AV19" s="976" t="n">
        <v>32005.12</v>
      </c>
      <c r="AW19" s="975" t="n">
        <v>46382</v>
      </c>
      <c r="AX19" s="976" t="n">
        <v>29684.48</v>
      </c>
      <c r="AY19" s="975" t="n">
        <v>41111</v>
      </c>
      <c r="AZ19" s="976" t="n">
        <v>26311.04</v>
      </c>
      <c r="BA19" s="975" t="n">
        <v>53928</v>
      </c>
      <c r="BB19" s="976" t="n">
        <v>34513.92</v>
      </c>
      <c r="BC19" s="975" t="n">
        <v>67326</v>
      </c>
      <c r="BD19" s="976" t="n">
        <v>43088.64</v>
      </c>
      <c r="BE19" s="977" t="n">
        <v>48585.75</v>
      </c>
      <c r="BF19" s="978" t="n">
        <v>31094.88</v>
      </c>
      <c r="BG19" s="975" t="n">
        <v>58324</v>
      </c>
      <c r="BH19" s="976" t="n">
        <v>37327.36</v>
      </c>
      <c r="BI19" s="975" t="n">
        <v>52393</v>
      </c>
      <c r="BJ19" s="976" t="n">
        <v>33531.52</v>
      </c>
      <c r="BK19" s="975" t="n">
        <v>52290</v>
      </c>
      <c r="BL19" s="976" t="n">
        <v>33465.6</v>
      </c>
      <c r="BM19" s="975" t="n">
        <v>51660</v>
      </c>
      <c r="BN19" s="976" t="n">
        <v>33062.4</v>
      </c>
      <c r="BO19" s="975" t="n">
        <v>50582</v>
      </c>
      <c r="BP19" s="976" t="n">
        <v>32372.48</v>
      </c>
      <c r="BQ19" s="975" t="n">
        <v>50162</v>
      </c>
      <c r="BR19" s="976" t="n">
        <v>32103.68</v>
      </c>
      <c r="BS19" s="975" t="n">
        <v>47579</v>
      </c>
      <c r="BT19" s="976" t="n">
        <v>30450.56</v>
      </c>
      <c r="BU19" s="975" t="n">
        <v>54922</v>
      </c>
      <c r="BV19" s="976" t="n">
        <v>35150.08</v>
      </c>
      <c r="BW19" s="975" t="n">
        <v>54362</v>
      </c>
      <c r="BX19" s="976" t="n">
        <v>34791.68</v>
      </c>
      <c r="BY19" s="975" t="n">
        <v>53634</v>
      </c>
      <c r="BZ19" s="976" t="n">
        <v>34325.76</v>
      </c>
      <c r="CA19" s="975" t="n">
        <v>53928</v>
      </c>
      <c r="CB19" s="976" t="n">
        <v>34513.92</v>
      </c>
      <c r="CC19" s="975" t="n">
        <v>54544</v>
      </c>
      <c r="CD19" s="976" t="n">
        <v>34908.16</v>
      </c>
      <c r="CE19" s="979">
        <f>(BG19+BI19+BK19+BM19+BO19+BQ19+BS19+BU19+BW19+BY19+CA19)/11</f>
        <v/>
      </c>
      <c r="CF19" s="976">
        <f>(BH19+BJ19+BL19+BN19+BP19+BR19+BT19+BV19+BX19+BZ19+CB19)/11</f>
        <v/>
      </c>
      <c r="CG19" s="977" t="n">
        <v>52865</v>
      </c>
      <c r="CH19" s="978" t="n">
        <v>33833.6</v>
      </c>
      <c r="CI19" s="15" t="n">
        <v>6.001998632051811</v>
      </c>
      <c r="CJ19" s="15" t="n"/>
      <c r="CK19" s="982" t="n">
        <v>57739</v>
      </c>
      <c r="CL19" s="976" t="n">
        <v>36952.96</v>
      </c>
      <c r="CM19" s="982" t="n">
        <v>45556</v>
      </c>
      <c r="CN19" s="15" t="n">
        <v>29155.84</v>
      </c>
      <c r="CO19" s="982" t="n">
        <v>63224</v>
      </c>
      <c r="CP19" s="15" t="n">
        <v>40463.36</v>
      </c>
      <c r="CQ19" s="982" t="n">
        <v>50397</v>
      </c>
      <c r="CR19" s="15" t="n">
        <v>32254.08</v>
      </c>
      <c r="CS19" s="982" t="n">
        <v>50260</v>
      </c>
      <c r="CT19" s="15" t="n">
        <v>32166.4</v>
      </c>
      <c r="CU19" s="982" t="n">
        <v>51932</v>
      </c>
      <c r="CV19" s="15" t="n">
        <v>33236.48</v>
      </c>
      <c r="CW19" s="982" t="n">
        <v>43064</v>
      </c>
      <c r="CX19" s="15" t="n">
        <v>27560.96</v>
      </c>
      <c r="CY19" s="982" t="n">
        <v>45798</v>
      </c>
      <c r="CZ19" s="15" t="n">
        <v>29310.72</v>
      </c>
      <c r="DA19" s="982" t="n">
        <v>44562</v>
      </c>
      <c r="DB19" s="15" t="n">
        <v>28519.68</v>
      </c>
      <c r="DC19" s="982" t="n">
        <v>51382</v>
      </c>
      <c r="DD19" s="15" t="n">
        <v>32884.48</v>
      </c>
      <c r="DE19" s="982" t="n">
        <v>49140</v>
      </c>
      <c r="DF19" s="15" t="n">
        <v>31449.6</v>
      </c>
      <c r="DG19" s="982" t="n">
        <v>69160</v>
      </c>
      <c r="DH19" s="15" t="n">
        <v>44262.4</v>
      </c>
      <c r="DI19" s="983">
        <f>CK19+CM19+CO19+CQ19+CS19+CU19+CW19+CY19+DA19+DC19+DE19+DG19</f>
        <v/>
      </c>
      <c r="DJ19" s="983">
        <f>CL19+CN19+CP19+CR19+CT19+CV19+CX19+CZ19+DB19+DD19+DF19+DH19</f>
        <v/>
      </c>
      <c r="DK19" s="983">
        <f>(CK19+CM19)/2</f>
        <v/>
      </c>
      <c r="DL19" s="984">
        <f>(CL19+CN19)/2</f>
        <v/>
      </c>
      <c r="DM19" s="985">
        <f>DI19/12</f>
        <v/>
      </c>
      <c r="DN19" s="1129">
        <f>DJ19/12</f>
        <v/>
      </c>
      <c r="DO19" s="69">
        <f>DN19/$DN$57%</f>
        <v/>
      </c>
      <c r="DP19" s="982" t="n">
        <v>47432</v>
      </c>
      <c r="DQ19" s="976" t="n">
        <v>30356.48</v>
      </c>
      <c r="DR19" s="975" t="n">
        <v>37828</v>
      </c>
      <c r="DS19" s="976" t="n">
        <v>24209.92</v>
      </c>
      <c r="DT19" s="982" t="n"/>
      <c r="DU19" s="15" t="n"/>
      <c r="DV19" s="982" t="n"/>
      <c r="DW19" s="15" t="n"/>
      <c r="DX19" s="982" t="n"/>
      <c r="DY19" s="15" t="n"/>
      <c r="DZ19" s="982" t="n"/>
      <c r="EA19" s="15" t="n"/>
      <c r="EB19" s="982" t="n"/>
      <c r="EC19" s="15" t="n"/>
      <c r="ED19" s="982" t="n"/>
      <c r="EE19" s="15" t="n"/>
      <c r="EF19" s="982" t="n"/>
      <c r="EG19" s="15" t="n"/>
      <c r="EH19" s="982" t="n"/>
      <c r="EI19" s="15" t="n"/>
      <c r="EJ19" s="982" t="n"/>
      <c r="EK19" s="15" t="n"/>
      <c r="EL19" s="982" t="n"/>
      <c r="EM19" s="15" t="n"/>
      <c r="EN19" s="983">
        <f>DP19+DR19+DT19+DV19+DX19+DZ19+EB19+ED19+EF19+EH19+EJ19+EL19</f>
        <v/>
      </c>
      <c r="EO19" s="983">
        <f>DQ19+DS19+DU19+DW19+DY19+EA19+EC19+EE19+EG19+EI19+EK19+EM19</f>
        <v/>
      </c>
      <c r="EP19" s="985">
        <f>EN19/2</f>
        <v/>
      </c>
      <c r="EQ19" s="1129">
        <f>EO19/2</f>
        <v/>
      </c>
      <c r="ER19" s="535">
        <f>EQ19/$EQ$57%</f>
        <v/>
      </c>
      <c r="ES19" s="1130">
        <f>ER19-DO19</f>
        <v/>
      </c>
      <c r="ET19" s="1130">
        <f>EQ19/DL19*100-100</f>
        <v/>
      </c>
      <c r="EU19" s="1130">
        <f>EQ19/DN19*100-100</f>
        <v/>
      </c>
      <c r="EV19" s="1130">
        <f>EQ19-DN19</f>
        <v/>
      </c>
      <c r="EW19" s="1000">
        <f>EQ19-DL19</f>
        <v/>
      </c>
      <c r="EX19" s="1130">
        <f>EV19/14</f>
        <v/>
      </c>
      <c r="EY19" s="1130">
        <f>EW19/14</f>
        <v/>
      </c>
      <c r="EZ19" s="1130">
        <f>EY19*2</f>
        <v/>
      </c>
    </row>
    <row r="20">
      <c r="A20" s="7" t="n">
        <v>13</v>
      </c>
      <c r="B20" s="8" t="inlineStr">
        <is>
          <t>ဇေယျဝတီ Red (ပု)</t>
        </is>
      </c>
      <c r="C20" s="8" t="inlineStr">
        <is>
          <t>ပုလင်း</t>
        </is>
      </c>
      <c r="D20" s="7" t="n">
        <v>0.64</v>
      </c>
      <c r="E20" s="7" t="inlineStr">
        <is>
          <t>1 * 14</t>
        </is>
      </c>
      <c r="F20" s="7" t="n">
        <v>1500</v>
      </c>
      <c r="G20" s="975" t="n"/>
      <c r="H20" s="976" t="n">
        <v>0</v>
      </c>
      <c r="I20" s="975" t="n"/>
      <c r="J20" s="976" t="n">
        <v>0</v>
      </c>
      <c r="K20" s="975" t="n"/>
      <c r="L20" s="976" t="n">
        <v>0</v>
      </c>
      <c r="M20" s="975" t="n"/>
      <c r="N20" s="976" t="n">
        <v>0</v>
      </c>
      <c r="O20" s="975" t="n"/>
      <c r="P20" s="976" t="n">
        <v>0</v>
      </c>
      <c r="Q20" s="975" t="n"/>
      <c r="R20" s="976" t="n">
        <v>0</v>
      </c>
      <c r="S20" s="975" t="n"/>
      <c r="T20" s="976" t="n">
        <v>0</v>
      </c>
      <c r="U20" s="975" t="n"/>
      <c r="V20" s="976" t="n">
        <v>0</v>
      </c>
      <c r="W20" s="975" t="n"/>
      <c r="X20" s="976" t="n">
        <v>0</v>
      </c>
      <c r="Y20" s="975" t="n"/>
      <c r="Z20" s="976" t="n">
        <v>0</v>
      </c>
      <c r="AA20" s="975" t="n"/>
      <c r="AB20" s="976" t="n">
        <v>0</v>
      </c>
      <c r="AC20" s="975" t="n"/>
      <c r="AD20" s="976" t="n">
        <v>0</v>
      </c>
      <c r="AE20" s="977" t="n">
        <v>0</v>
      </c>
      <c r="AF20" s="978" t="n">
        <v>0</v>
      </c>
      <c r="AG20" s="975" t="n"/>
      <c r="AH20" s="976" t="n">
        <v>0</v>
      </c>
      <c r="AI20" s="975" t="n"/>
      <c r="AJ20" s="976" t="n">
        <v>0</v>
      </c>
      <c r="AK20" s="975" t="n"/>
      <c r="AL20" s="976" t="n">
        <v>0</v>
      </c>
      <c r="AM20" s="975" t="n"/>
      <c r="AN20" s="976" t="n">
        <v>0</v>
      </c>
      <c r="AO20" s="975" t="n"/>
      <c r="AP20" s="976" t="n">
        <v>0</v>
      </c>
      <c r="AQ20" s="975" t="n"/>
      <c r="AR20" s="976" t="n">
        <v>0</v>
      </c>
      <c r="AS20" s="975" t="n"/>
      <c r="AT20" s="976" t="n">
        <v>0</v>
      </c>
      <c r="AU20" s="975" t="n"/>
      <c r="AV20" s="976" t="n">
        <v>0</v>
      </c>
      <c r="AW20" s="975" t="n"/>
      <c r="AX20" s="976" t="n">
        <v>0</v>
      </c>
      <c r="AY20" s="975" t="n"/>
      <c r="AZ20" s="976" t="n">
        <v>0</v>
      </c>
      <c r="BA20" s="975" t="n"/>
      <c r="BB20" s="976" t="n">
        <v>0</v>
      </c>
      <c r="BC20" s="975" t="n"/>
      <c r="BD20" s="976" t="n">
        <v>0</v>
      </c>
      <c r="BE20" s="977" t="n">
        <v>0</v>
      </c>
      <c r="BF20" s="978" t="n">
        <v>0</v>
      </c>
      <c r="BG20" s="975" t="n"/>
      <c r="BH20" s="976" t="n">
        <v>0</v>
      </c>
      <c r="BI20" s="975" t="n"/>
      <c r="BJ20" s="976" t="n">
        <v>0</v>
      </c>
      <c r="BK20" s="975" t="n">
        <v>1470</v>
      </c>
      <c r="BL20" s="976" t="n">
        <v>940.8000000000001</v>
      </c>
      <c r="BM20" s="975" t="n">
        <v>7000</v>
      </c>
      <c r="BN20" s="976" t="n">
        <v>4480</v>
      </c>
      <c r="BO20" s="975" t="n">
        <v>1826</v>
      </c>
      <c r="BP20" s="976" t="n">
        <v>1168.64</v>
      </c>
      <c r="BQ20" s="975" t="n">
        <v>2906</v>
      </c>
      <c r="BR20" s="976" t="n">
        <v>1859.84</v>
      </c>
      <c r="BS20" s="975" t="n">
        <v>3304</v>
      </c>
      <c r="BT20" s="976" t="n">
        <v>2114.56</v>
      </c>
      <c r="BU20" s="975" t="n">
        <v>3584</v>
      </c>
      <c r="BV20" s="976" t="n">
        <v>2293.76</v>
      </c>
      <c r="BW20" s="975" t="n">
        <v>1974</v>
      </c>
      <c r="BX20" s="976" t="n">
        <v>1263.36</v>
      </c>
      <c r="BY20" s="975" t="n">
        <v>3724</v>
      </c>
      <c r="BZ20" s="976" t="n">
        <v>2383.36</v>
      </c>
      <c r="CA20" s="975" t="n">
        <v>2646</v>
      </c>
      <c r="CB20" s="976" t="n">
        <v>1693.44</v>
      </c>
      <c r="CC20" s="975" t="n">
        <v>3262</v>
      </c>
      <c r="CD20" s="976" t="n">
        <v>2087.68</v>
      </c>
      <c r="CE20" s="979">
        <f>(BG20+BI20+BK20+BM20+BO20+BQ20+BS20+BU20+BW20+BY20+CA20)/11</f>
        <v/>
      </c>
      <c r="CF20" s="976">
        <f>(BH20+BJ20+BL20+BN20+BP20+BR20+BT20+BV20+BX20+BZ20+CB20)/11</f>
        <v/>
      </c>
      <c r="CG20" s="977" t="n">
        <v>2641.333333333333</v>
      </c>
      <c r="CH20" s="978" t="n">
        <v>1690.453333333333</v>
      </c>
      <c r="CI20" s="15" t="n">
        <v>0.2998823239091936</v>
      </c>
      <c r="CJ20" s="15" t="n">
        <v>6.95</v>
      </c>
      <c r="CK20" s="982" t="n">
        <v>3080</v>
      </c>
      <c r="CL20" s="976" t="n">
        <v>1971.2</v>
      </c>
      <c r="CM20" s="982" t="n">
        <v>2198</v>
      </c>
      <c r="CN20" s="15" t="n">
        <v>1406.72</v>
      </c>
      <c r="CO20" s="982" t="n">
        <v>1960</v>
      </c>
      <c r="CP20" s="15" t="n">
        <v>1254.4</v>
      </c>
      <c r="CQ20" s="982" t="n">
        <v>504</v>
      </c>
      <c r="CR20" s="15" t="n">
        <v>322.56</v>
      </c>
      <c r="CS20" s="982" t="n">
        <v>3220</v>
      </c>
      <c r="CT20" s="15" t="n">
        <v>2060.8</v>
      </c>
      <c r="CU20" s="982" t="n">
        <v>1764</v>
      </c>
      <c r="CV20" s="15" t="n">
        <v>1128.96</v>
      </c>
      <c r="CW20" s="982" t="n">
        <v>2086</v>
      </c>
      <c r="CX20" s="15" t="n">
        <v>1335.04</v>
      </c>
      <c r="CY20" s="982" t="n">
        <v>2310</v>
      </c>
      <c r="CZ20" s="15" t="n">
        <v>1478.4</v>
      </c>
      <c r="DA20" s="982" t="n">
        <v>3290</v>
      </c>
      <c r="DB20" s="15" t="n">
        <v>2105.6</v>
      </c>
      <c r="DC20" s="982" t="n">
        <v>2100</v>
      </c>
      <c r="DD20" s="15" t="n">
        <v>1344</v>
      </c>
      <c r="DE20" s="982" t="n">
        <v>3528</v>
      </c>
      <c r="DF20" s="15" t="n">
        <v>2257.92</v>
      </c>
      <c r="DG20" s="982" t="n">
        <v>3892</v>
      </c>
      <c r="DH20" s="15" t="n">
        <v>2490.88</v>
      </c>
      <c r="DI20" s="983">
        <f>CK20+CM20+CO20+CQ20+CS20+CU20+CW20+CY20+DA20+DC20+DE20+DG20</f>
        <v/>
      </c>
      <c r="DJ20" s="983">
        <f>CL20+CN20+CP20+CR20+CT20+CV20+CX20+CZ20+DB20+DD20+DF20+DH20</f>
        <v/>
      </c>
      <c r="DK20" s="983">
        <f>(CK20+CM20)/2</f>
        <v/>
      </c>
      <c r="DL20" s="984">
        <f>(CL20+CN20)/2</f>
        <v/>
      </c>
      <c r="DM20" s="985">
        <f>DI20/12</f>
        <v/>
      </c>
      <c r="DN20" s="1129">
        <f>DJ20/12</f>
        <v/>
      </c>
      <c r="DO20" s="69">
        <f>DN20/$DN$57%</f>
        <v/>
      </c>
      <c r="DP20" s="982" t="n">
        <v>1820</v>
      </c>
      <c r="DQ20" s="976" t="n">
        <v>1164.8</v>
      </c>
      <c r="DR20" s="975" t="n">
        <v>2982</v>
      </c>
      <c r="DS20" s="976" t="n">
        <v>1908.48</v>
      </c>
      <c r="DT20" s="982" t="n"/>
      <c r="DU20" s="15" t="n"/>
      <c r="DV20" s="982" t="n"/>
      <c r="DW20" s="15" t="n"/>
      <c r="DX20" s="982" t="n"/>
      <c r="DY20" s="15" t="n"/>
      <c r="DZ20" s="982" t="n"/>
      <c r="EA20" s="15" t="n"/>
      <c r="EB20" s="982" t="n"/>
      <c r="EC20" s="15" t="n"/>
      <c r="ED20" s="982" t="n"/>
      <c r="EE20" s="15" t="n"/>
      <c r="EF20" s="982" t="n"/>
      <c r="EG20" s="15" t="n"/>
      <c r="EH20" s="982" t="n"/>
      <c r="EI20" s="15" t="n"/>
      <c r="EJ20" s="982" t="n"/>
      <c r="EK20" s="15" t="n"/>
      <c r="EL20" s="982" t="n"/>
      <c r="EM20" s="15" t="n"/>
      <c r="EN20" s="983">
        <f>DP20+DR20+DT20+DV20+DX20+DZ20+EB20+ED20+EF20+EH20+EJ20+EL20</f>
        <v/>
      </c>
      <c r="EO20" s="983">
        <f>DQ20+DS20+DU20+DW20+DY20+EA20+EC20+EE20+EG20+EI20+EK20+EM20</f>
        <v/>
      </c>
      <c r="EP20" s="985">
        <f>EN20/2</f>
        <v/>
      </c>
      <c r="EQ20" s="1129">
        <f>EO20/2</f>
        <v/>
      </c>
      <c r="ER20" s="535">
        <f>EQ20/$EQ$57%</f>
        <v/>
      </c>
      <c r="ES20" s="1130">
        <f>ER20-DO20</f>
        <v/>
      </c>
      <c r="ET20" s="1130">
        <f>EQ20/DL20*100-100</f>
        <v/>
      </c>
      <c r="EU20" s="1130">
        <f>EQ20/DN20*100-100</f>
        <v/>
      </c>
      <c r="EV20" s="1130">
        <f>EQ20-DN20</f>
        <v/>
      </c>
      <c r="EW20" s="1000">
        <f>EQ20-DL20</f>
        <v/>
      </c>
      <c r="EX20" s="1130">
        <f>EV20/14</f>
        <v/>
      </c>
      <c r="EY20" s="1130">
        <f>EW20/14</f>
        <v/>
      </c>
      <c r="EZ20" s="1130">
        <f>EY20*2</f>
        <v/>
      </c>
    </row>
    <row r="21" customFormat="1" s="251">
      <c r="A21" s="246" t="n"/>
      <c r="B21" s="247" t="inlineStr">
        <is>
          <t>Zayawaddy</t>
        </is>
      </c>
      <c r="C21" s="247" t="n"/>
      <c r="D21" s="246" t="n"/>
      <c r="E21" s="246" t="n"/>
      <c r="F21" s="246" t="n"/>
      <c r="G21" s="1131" t="n"/>
      <c r="H21" s="1132" t="n"/>
      <c r="I21" s="1131" t="n"/>
      <c r="J21" s="1132" t="n"/>
      <c r="K21" s="1131" t="n"/>
      <c r="L21" s="1132" t="n"/>
      <c r="M21" s="1131" t="n"/>
      <c r="N21" s="1132" t="n"/>
      <c r="O21" s="1131" t="n"/>
      <c r="P21" s="1132" t="n"/>
      <c r="Q21" s="1131" t="n"/>
      <c r="R21" s="1132" t="n"/>
      <c r="S21" s="1131" t="n"/>
      <c r="T21" s="1132" t="n"/>
      <c r="U21" s="1131" t="n"/>
      <c r="V21" s="1132" t="n"/>
      <c r="W21" s="1131" t="n"/>
      <c r="X21" s="1132" t="n"/>
      <c r="Y21" s="1131" t="n"/>
      <c r="Z21" s="1132" t="n"/>
      <c r="AA21" s="1131" t="n"/>
      <c r="AB21" s="1132" t="n"/>
      <c r="AC21" s="1131" t="n"/>
      <c r="AD21" s="1132" t="n"/>
      <c r="AE21" s="1131" t="n"/>
      <c r="AF21" s="1132" t="n"/>
      <c r="AG21" s="1131" t="n"/>
      <c r="AH21" s="1132" t="n"/>
      <c r="AI21" s="1131" t="n"/>
      <c r="AJ21" s="1132" t="n"/>
      <c r="AK21" s="1131" t="n"/>
      <c r="AL21" s="1132" t="n"/>
      <c r="AM21" s="1131" t="n"/>
      <c r="AN21" s="1132" t="n"/>
      <c r="AO21" s="1131" t="n"/>
      <c r="AP21" s="1132" t="n"/>
      <c r="AQ21" s="1131" t="n"/>
      <c r="AR21" s="1132" t="n"/>
      <c r="AS21" s="1131" t="n"/>
      <c r="AT21" s="1132" t="n"/>
      <c r="AU21" s="1131" t="n"/>
      <c r="AV21" s="1132" t="n"/>
      <c r="AW21" s="1131" t="n"/>
      <c r="AX21" s="1132" t="n"/>
      <c r="AY21" s="1131" t="n"/>
      <c r="AZ21" s="1132" t="n"/>
      <c r="BA21" s="1131" t="n"/>
      <c r="BB21" s="1132" t="n"/>
      <c r="BC21" s="1131" t="n"/>
      <c r="BD21" s="1132" t="n"/>
      <c r="BE21" s="1131" t="n"/>
      <c r="BF21" s="1132" t="n"/>
      <c r="BG21" s="1131" t="n"/>
      <c r="BH21" s="1132" t="n"/>
      <c r="BI21" s="1131" t="n"/>
      <c r="BJ21" s="1132" t="n"/>
      <c r="BK21" s="1131" t="n"/>
      <c r="BL21" s="1132" t="n"/>
      <c r="BM21" s="1131" t="n"/>
      <c r="BN21" s="1132" t="n"/>
      <c r="BO21" s="1131" t="n"/>
      <c r="BP21" s="1132" t="n"/>
      <c r="BQ21" s="1131" t="n"/>
      <c r="BR21" s="1132" t="n"/>
      <c r="BS21" s="1131" t="n"/>
      <c r="BT21" s="1132" t="n"/>
      <c r="BU21" s="1131" t="n"/>
      <c r="BV21" s="1132" t="n"/>
      <c r="BW21" s="1131" t="n"/>
      <c r="BX21" s="1132" t="n"/>
      <c r="BY21" s="1131" t="n"/>
      <c r="BZ21" s="1132" t="n"/>
      <c r="CA21" s="1131" t="n"/>
      <c r="CB21" s="1132" t="n"/>
      <c r="CC21" s="1131" t="n"/>
      <c r="CD21" s="1132" t="n"/>
      <c r="CE21" s="1133">
        <f>SUM(CE16:CE20)</f>
        <v/>
      </c>
      <c r="CF21" s="1133">
        <f>SUM(CF16:CF20)</f>
        <v/>
      </c>
      <c r="CG21" s="1133">
        <f>SUM(CG16:CG20)</f>
        <v/>
      </c>
      <c r="CH21" s="1133">
        <f>SUM(CH16:CH20)</f>
        <v/>
      </c>
      <c r="CI21" s="1133">
        <f>SUM(CI16:CI20)</f>
        <v/>
      </c>
      <c r="CJ21" s="1133">
        <f>SUM(CJ16:CJ20)</f>
        <v/>
      </c>
      <c r="CK21" s="1133">
        <f>SUM(CK16:CK20)</f>
        <v/>
      </c>
      <c r="CL21" s="1133">
        <f>SUM(CL16:CL20)</f>
        <v/>
      </c>
      <c r="CM21" s="1133">
        <f>SUM(CM16:CM20)</f>
        <v/>
      </c>
      <c r="CN21" s="1133">
        <f>SUM(CN16:CN20)</f>
        <v/>
      </c>
      <c r="CO21" s="1133">
        <f>SUM(CO16:CO20)</f>
        <v/>
      </c>
      <c r="CP21" s="1133">
        <f>SUM(CP16:CP20)</f>
        <v/>
      </c>
      <c r="CQ21" s="1133">
        <f>SUM(CQ16:CQ20)</f>
        <v/>
      </c>
      <c r="CR21" s="1133">
        <f>SUM(CR16:CR20)</f>
        <v/>
      </c>
      <c r="CS21" s="1133">
        <f>SUM(CS16:CS20)</f>
        <v/>
      </c>
      <c r="CT21" s="1133">
        <f>SUM(CT16:CT20)</f>
        <v/>
      </c>
      <c r="CU21" s="1133">
        <f>SUM(CU16:CU20)</f>
        <v/>
      </c>
      <c r="CV21" s="1133">
        <f>SUM(CV16:CV20)</f>
        <v/>
      </c>
      <c r="CW21" s="1133">
        <f>SUM(CW16:CW20)</f>
        <v/>
      </c>
      <c r="CX21" s="1133">
        <f>SUM(CX16:CX20)</f>
        <v/>
      </c>
      <c r="CY21" s="1133">
        <f>SUM(CY16:CY20)</f>
        <v/>
      </c>
      <c r="CZ21" s="1133">
        <f>SUM(CZ16:CZ20)</f>
        <v/>
      </c>
      <c r="DA21" s="1133">
        <f>SUM(DA16:DA20)</f>
        <v/>
      </c>
      <c r="DB21" s="1133">
        <f>SUM(DB16:DB20)</f>
        <v/>
      </c>
      <c r="DC21" s="1133">
        <f>SUM(DC16:DC20)</f>
        <v/>
      </c>
      <c r="DD21" s="1133">
        <f>SUM(DD16:DD20)</f>
        <v/>
      </c>
      <c r="DE21" s="1133">
        <f>SUM(DE16:DE20)</f>
        <v/>
      </c>
      <c r="DF21" s="1133">
        <f>SUM(DF16:DF20)</f>
        <v/>
      </c>
      <c r="DG21" s="1133">
        <f>SUM(DG16:DG20)</f>
        <v/>
      </c>
      <c r="DH21" s="1133">
        <f>SUM(DH16:DH20)</f>
        <v/>
      </c>
      <c r="DI21" s="1133">
        <f>SUM(DI16:DI20)</f>
        <v/>
      </c>
      <c r="DJ21" s="1133">
        <f>SUM(DJ16:DJ20)</f>
        <v/>
      </c>
      <c r="DK21" s="1134">
        <f>(CK21+CM21)/2</f>
        <v/>
      </c>
      <c r="DL21" s="1135">
        <f>(CL21+CN21)/2</f>
        <v/>
      </c>
      <c r="DM21" s="1136">
        <f>DI21/12</f>
        <v/>
      </c>
      <c r="DN21" s="1137">
        <f>DJ21/12</f>
        <v/>
      </c>
      <c r="DO21" s="1133">
        <f>SUM(DO16:DO20)</f>
        <v/>
      </c>
      <c r="DP21" s="1133">
        <f>SUM(DP16:DP20)</f>
        <v/>
      </c>
      <c r="DQ21" s="1133">
        <f>SUM(DQ16:DQ20)</f>
        <v/>
      </c>
      <c r="DR21" s="1133">
        <f>SUM(DR16:DR20)</f>
        <v/>
      </c>
      <c r="DS21" s="1133">
        <f>SUM(DS16:DS20)</f>
        <v/>
      </c>
      <c r="DT21" s="1133">
        <f>SUM(DT16:DT20)</f>
        <v/>
      </c>
      <c r="DU21" s="1133">
        <f>SUM(DU16:DU20)</f>
        <v/>
      </c>
      <c r="DV21" s="1133">
        <f>SUM(DV16:DV20)</f>
        <v/>
      </c>
      <c r="DW21" s="1133">
        <f>SUM(DW16:DW20)</f>
        <v/>
      </c>
      <c r="DX21" s="1133">
        <f>SUM(DX16:DX20)</f>
        <v/>
      </c>
      <c r="DY21" s="1133">
        <f>SUM(DY16:DY20)</f>
        <v/>
      </c>
      <c r="DZ21" s="1133">
        <f>SUM(DZ16:DZ20)</f>
        <v/>
      </c>
      <c r="EA21" s="1133">
        <f>SUM(EA16:EA20)</f>
        <v/>
      </c>
      <c r="EB21" s="1133">
        <f>SUM(EB16:EB20)</f>
        <v/>
      </c>
      <c r="EC21" s="1133">
        <f>SUM(EC16:EC20)</f>
        <v/>
      </c>
      <c r="ED21" s="1133">
        <f>SUM(ED16:ED20)</f>
        <v/>
      </c>
      <c r="EE21" s="1133">
        <f>SUM(EE16:EE20)</f>
        <v/>
      </c>
      <c r="EF21" s="1133">
        <f>SUM(EF16:EF20)</f>
        <v/>
      </c>
      <c r="EG21" s="1133">
        <f>SUM(EG16:EG20)</f>
        <v/>
      </c>
      <c r="EH21" s="1133">
        <f>SUM(EH16:EH20)</f>
        <v/>
      </c>
      <c r="EI21" s="1133">
        <f>SUM(EI16:EI20)</f>
        <v/>
      </c>
      <c r="EJ21" s="1133">
        <f>SUM(EJ16:EJ20)</f>
        <v/>
      </c>
      <c r="EK21" s="1133">
        <f>SUM(EK16:EK20)</f>
        <v/>
      </c>
      <c r="EL21" s="1133">
        <f>SUM(EL16:EL20)</f>
        <v/>
      </c>
      <c r="EM21" s="1133">
        <f>SUM(EM16:EM20)</f>
        <v/>
      </c>
      <c r="EN21" s="1133">
        <f>SUM(EN16:EN20)</f>
        <v/>
      </c>
      <c r="EO21" s="1133">
        <f>SUM(EO16:EO20)</f>
        <v/>
      </c>
      <c r="EP21" s="1136">
        <f>EN21/2</f>
        <v/>
      </c>
      <c r="EQ21" s="1137">
        <f>EO21/2</f>
        <v/>
      </c>
      <c r="ER21" s="536">
        <f>EQ21/$EQ$57%</f>
        <v/>
      </c>
      <c r="ES21" s="1138">
        <f>ER21-DO21</f>
        <v/>
      </c>
      <c r="ET21" s="1138">
        <f>EQ21/DL21*100-100</f>
        <v/>
      </c>
      <c r="EU21" s="1138">
        <f>EQ21/DN21*100-100</f>
        <v/>
      </c>
      <c r="EV21" s="1138">
        <f>EQ21-DN21</f>
        <v/>
      </c>
      <c r="EW21" s="1139">
        <f>EQ21-DL21</f>
        <v/>
      </c>
      <c r="EX21" s="1138">
        <f>EV21/14</f>
        <v/>
      </c>
      <c r="EY21" s="1138">
        <f>EW21/14</f>
        <v/>
      </c>
      <c r="EZ21" s="1138">
        <f>EY21*2</f>
        <v/>
      </c>
    </row>
    <row r="22">
      <c r="A22" s="7" t="n"/>
      <c r="B22" s="671" t="inlineStr">
        <is>
          <t>မြန်မာရှောက်ပျား(1 Liter)</t>
        </is>
      </c>
      <c r="C22" s="671" t="inlineStr">
        <is>
          <t>‌ကော်ဘူး</t>
        </is>
      </c>
      <c r="D22" s="671" t="n">
        <v>1</v>
      </c>
      <c r="E22" s="671" t="inlineStr">
        <is>
          <t>1 * 12</t>
        </is>
      </c>
      <c r="F22" s="7" t="n"/>
      <c r="G22" s="975" t="n"/>
      <c r="H22" s="976" t="n"/>
      <c r="I22" s="975" t="n"/>
      <c r="J22" s="976" t="n"/>
      <c r="K22" s="975" t="n"/>
      <c r="L22" s="976" t="n"/>
      <c r="M22" s="975" t="n"/>
      <c r="N22" s="976" t="n"/>
      <c r="O22" s="975" t="n"/>
      <c r="P22" s="976" t="n"/>
      <c r="Q22" s="975" t="n"/>
      <c r="R22" s="976" t="n"/>
      <c r="S22" s="975" t="n"/>
      <c r="T22" s="976" t="n"/>
      <c r="U22" s="975" t="n"/>
      <c r="V22" s="976" t="n"/>
      <c r="W22" s="975" t="n"/>
      <c r="X22" s="976" t="n"/>
      <c r="Y22" s="975" t="n"/>
      <c r="Z22" s="976" t="n"/>
      <c r="AA22" s="975" t="n"/>
      <c r="AB22" s="976" t="n"/>
      <c r="AC22" s="975" t="n"/>
      <c r="AD22" s="976" t="n"/>
      <c r="AE22" s="975" t="n"/>
      <c r="AF22" s="976" t="n"/>
      <c r="AG22" s="975" t="n"/>
      <c r="AH22" s="976" t="n"/>
      <c r="AI22" s="975" t="n"/>
      <c r="AJ22" s="976" t="n"/>
      <c r="AK22" s="975" t="n"/>
      <c r="AL22" s="976" t="n"/>
      <c r="AM22" s="975" t="n"/>
      <c r="AN22" s="976" t="n"/>
      <c r="AO22" s="975" t="n"/>
      <c r="AP22" s="976" t="n"/>
      <c r="AQ22" s="975" t="n"/>
      <c r="AR22" s="976" t="n"/>
      <c r="AS22" s="975" t="n"/>
      <c r="AT22" s="976" t="n"/>
      <c r="AU22" s="975" t="n"/>
      <c r="AV22" s="976" t="n"/>
      <c r="AW22" s="975" t="n"/>
      <c r="AX22" s="976" t="n"/>
      <c r="AY22" s="975" t="n"/>
      <c r="AZ22" s="976" t="n"/>
      <c r="BA22" s="975" t="n"/>
      <c r="BB22" s="976" t="n"/>
      <c r="BC22" s="975" t="n"/>
      <c r="BD22" s="976" t="n"/>
      <c r="BE22" s="975" t="n"/>
      <c r="BF22" s="976" t="n"/>
      <c r="BG22" s="975" t="n"/>
      <c r="BH22" s="976" t="n"/>
      <c r="BI22" s="975" t="n"/>
      <c r="BJ22" s="976" t="n"/>
      <c r="BK22" s="975" t="n"/>
      <c r="BL22" s="976" t="n"/>
      <c r="BM22" s="975" t="n"/>
      <c r="BN22" s="976" t="n"/>
      <c r="BO22" s="975" t="n"/>
      <c r="BP22" s="976" t="n"/>
      <c r="BQ22" s="975" t="n"/>
      <c r="BR22" s="976" t="n"/>
      <c r="BS22" s="975" t="n"/>
      <c r="BT22" s="976" t="n"/>
      <c r="BU22" s="975" t="n"/>
      <c r="BV22" s="976" t="n"/>
      <c r="BW22" s="975" t="n"/>
      <c r="BX22" s="976" t="n"/>
      <c r="BY22" s="975" t="n"/>
      <c r="BZ22" s="976" t="n"/>
      <c r="CA22" s="975" t="n"/>
      <c r="CB22" s="976" t="n"/>
      <c r="CC22" s="975" t="n"/>
      <c r="CD22" s="976" t="n"/>
      <c r="CE22" s="979" t="n"/>
      <c r="CF22" s="979" t="n"/>
      <c r="CG22" s="979" t="n"/>
      <c r="CH22" s="979" t="n"/>
      <c r="CI22" s="979" t="n"/>
      <c r="CJ22" s="979" t="n"/>
      <c r="CK22" s="979" t="n"/>
      <c r="CL22" s="979" t="n"/>
      <c r="CM22" s="979" t="n"/>
      <c r="CN22" s="979" t="n"/>
      <c r="CO22" s="979" t="n"/>
      <c r="CP22" s="979" t="n"/>
      <c r="CQ22" s="979" t="n"/>
      <c r="CR22" s="979" t="n"/>
      <c r="CS22" s="979" t="n"/>
      <c r="CT22" s="979" t="n"/>
      <c r="CU22" s="979" t="n"/>
      <c r="CV22" s="979" t="n"/>
      <c r="CW22" s="979" t="n"/>
      <c r="CX22" s="979" t="n"/>
      <c r="CY22" s="979" t="n"/>
      <c r="CZ22" s="979" t="n"/>
      <c r="DA22" s="979" t="n"/>
      <c r="DB22" s="979" t="n"/>
      <c r="DC22" s="979" t="n"/>
      <c r="DD22" s="979" t="n"/>
      <c r="DE22" s="979" t="n"/>
      <c r="DF22" s="979" t="n"/>
      <c r="DG22" s="979" t="n"/>
      <c r="DH22" s="979" t="n"/>
      <c r="DI22" s="979" t="n"/>
      <c r="DJ22" s="979" t="n"/>
      <c r="DK22" s="983" t="n"/>
      <c r="DL22" s="984" t="n"/>
      <c r="DM22" s="985">
        <f>DI22/12</f>
        <v/>
      </c>
      <c r="DN22" s="1129">
        <f>DJ22/12</f>
        <v/>
      </c>
      <c r="DO22" s="979" t="n"/>
      <c r="DP22" s="979" t="n"/>
      <c r="DQ22" s="979" t="n"/>
      <c r="DR22" s="979" t="n">
        <v>486</v>
      </c>
      <c r="DS22" s="976" t="n">
        <v>486</v>
      </c>
      <c r="DT22" s="979" t="n"/>
      <c r="DU22" s="979" t="n"/>
      <c r="DV22" s="979" t="n"/>
      <c r="DW22" s="979" t="n"/>
      <c r="DX22" s="979" t="n"/>
      <c r="DY22" s="979" t="n"/>
      <c r="DZ22" s="979" t="n"/>
      <c r="EA22" s="979" t="n"/>
      <c r="EB22" s="979" t="n"/>
      <c r="EC22" s="979" t="n"/>
      <c r="ED22" s="979" t="n"/>
      <c r="EE22" s="979" t="n"/>
      <c r="EF22" s="979" t="n"/>
      <c r="EG22" s="979" t="n"/>
      <c r="EH22" s="979" t="n"/>
      <c r="EI22" s="979" t="n"/>
      <c r="EJ22" s="979" t="n"/>
      <c r="EK22" s="979" t="n"/>
      <c r="EL22" s="979" t="n"/>
      <c r="EM22" s="979" t="n"/>
      <c r="EN22" s="983">
        <f>DP22+DR22+DT22+DV22+DX22+DZ22+EB22+ED22+EF22+EH22+EJ22+EL22</f>
        <v/>
      </c>
      <c r="EO22" s="983">
        <f>DQ22+DS22+DU22+DW22+DY22+EA22+EC22+EE22+EG22+EI22+EK22+EM22</f>
        <v/>
      </c>
      <c r="EP22" s="985">
        <f>EN22/2</f>
        <v/>
      </c>
      <c r="EQ22" s="1129">
        <f>EO22/2</f>
        <v/>
      </c>
      <c r="ER22" s="535">
        <f>EQ22/$EQ$57%</f>
        <v/>
      </c>
      <c r="ES22" s="1130">
        <f>ER22-DO22</f>
        <v/>
      </c>
      <c r="ET22" s="1130" t="n"/>
      <c r="EU22" s="1130" t="n"/>
      <c r="EV22" s="1130">
        <f>EQ22-DN22</f>
        <v/>
      </c>
      <c r="EW22" s="1000">
        <f>EQ22-DL22</f>
        <v/>
      </c>
      <c r="EX22" s="1130">
        <f>EV22/14</f>
        <v/>
      </c>
      <c r="EY22" s="1130">
        <f>EW22/14</f>
        <v/>
      </c>
      <c r="EZ22" s="1130">
        <f>EY22*2</f>
        <v/>
      </c>
    </row>
    <row r="23">
      <c r="A23" s="7" t="n">
        <v>14</v>
      </c>
      <c r="B23" s="8" t="inlineStr">
        <is>
          <t>မြန်မာရှောက်ပျား</t>
        </is>
      </c>
      <c r="C23" s="8" t="inlineStr">
        <is>
          <t>ပုလင်း</t>
        </is>
      </c>
      <c r="D23" s="7" t="n">
        <v>0.64</v>
      </c>
      <c r="E23" s="7" t="inlineStr">
        <is>
          <t>1 * 14</t>
        </is>
      </c>
      <c r="F23" s="7" t="n">
        <v>1270</v>
      </c>
      <c r="G23" s="975" t="n">
        <v>131800</v>
      </c>
      <c r="H23" s="976" t="n">
        <v>84352</v>
      </c>
      <c r="I23" s="975" t="n">
        <v>163296</v>
      </c>
      <c r="J23" s="976" t="n">
        <v>104509.44</v>
      </c>
      <c r="K23" s="975" t="n">
        <v>161518</v>
      </c>
      <c r="L23" s="976" t="n">
        <v>103371.52</v>
      </c>
      <c r="M23" s="975" t="n">
        <v>105252</v>
      </c>
      <c r="N23" s="976" t="n">
        <v>67361.28</v>
      </c>
      <c r="O23" s="975" t="n">
        <v>100870</v>
      </c>
      <c r="P23" s="976" t="n">
        <v>64556.8</v>
      </c>
      <c r="Q23" s="975" t="n">
        <v>159208</v>
      </c>
      <c r="R23" s="976" t="n">
        <v>101893.12</v>
      </c>
      <c r="S23" s="975" t="n">
        <v>146160</v>
      </c>
      <c r="T23" s="976" t="n">
        <v>93542.40000000001</v>
      </c>
      <c r="U23" s="975" t="n">
        <v>158214</v>
      </c>
      <c r="V23" s="976" t="n">
        <v>101256.96</v>
      </c>
      <c r="W23" s="975" t="n">
        <v>140784</v>
      </c>
      <c r="X23" s="976" t="n">
        <v>90101.75999999999</v>
      </c>
      <c r="Y23" s="975" t="n">
        <v>106176</v>
      </c>
      <c r="Z23" s="976" t="n">
        <v>67952.64</v>
      </c>
      <c r="AA23" s="975" t="n">
        <v>152852</v>
      </c>
      <c r="AB23" s="976" t="n">
        <v>97825.28</v>
      </c>
      <c r="AC23" s="975" t="n">
        <v>156408</v>
      </c>
      <c r="AD23" s="976" t="n">
        <v>100101.12</v>
      </c>
      <c r="AE23" s="977" t="n">
        <v>140211.5</v>
      </c>
      <c r="AF23" s="978" t="n">
        <v>89735.36</v>
      </c>
      <c r="AG23" s="975" t="n">
        <v>167569</v>
      </c>
      <c r="AH23" s="976" t="n">
        <v>107244.16</v>
      </c>
      <c r="AI23" s="975" t="n">
        <v>156820</v>
      </c>
      <c r="AJ23" s="976" t="n">
        <v>100364.8</v>
      </c>
      <c r="AK23" s="975" t="n">
        <v>114324</v>
      </c>
      <c r="AL23" s="976" t="n">
        <v>73167.36</v>
      </c>
      <c r="AM23" s="975" t="n">
        <v>130060</v>
      </c>
      <c r="AN23" s="976" t="n">
        <v>83238.40000000001</v>
      </c>
      <c r="AO23" s="975" t="n">
        <v>115192</v>
      </c>
      <c r="AP23" s="976" t="n">
        <v>73722.88</v>
      </c>
      <c r="AQ23" s="975" t="n">
        <v>135985</v>
      </c>
      <c r="AR23" s="976" t="n">
        <v>87030.40000000001</v>
      </c>
      <c r="AS23" s="975" t="n">
        <v>151284</v>
      </c>
      <c r="AT23" s="976" t="n">
        <v>96821.75999999999</v>
      </c>
      <c r="AU23" s="975" t="n">
        <v>131558</v>
      </c>
      <c r="AV23" s="976" t="n">
        <v>84197.12</v>
      </c>
      <c r="AW23" s="975" t="n">
        <v>123746</v>
      </c>
      <c r="AX23" s="976" t="n">
        <v>79197.44</v>
      </c>
      <c r="AY23" s="975" t="n">
        <v>134428</v>
      </c>
      <c r="AZ23" s="976" t="n">
        <v>86033.92</v>
      </c>
      <c r="BA23" s="975" t="n">
        <v>144902</v>
      </c>
      <c r="BB23" s="976" t="n">
        <v>92737.28</v>
      </c>
      <c r="BC23" s="975" t="n">
        <v>207298</v>
      </c>
      <c r="BD23" s="976" t="n">
        <v>132670.72</v>
      </c>
      <c r="BE23" s="977" t="n">
        <v>142763.8333333333</v>
      </c>
      <c r="BF23" s="978" t="n">
        <v>91368.85333333335</v>
      </c>
      <c r="BG23" s="975" t="n">
        <v>204793</v>
      </c>
      <c r="BH23" s="976" t="n">
        <v>131067.52</v>
      </c>
      <c r="BI23" s="975" t="n">
        <v>124476</v>
      </c>
      <c r="BJ23" s="976" t="n">
        <v>79664.64</v>
      </c>
      <c r="BK23" s="975" t="n">
        <v>119466</v>
      </c>
      <c r="BL23" s="976" t="n">
        <v>76458.24000000001</v>
      </c>
      <c r="BM23" s="975" t="n">
        <v>121002</v>
      </c>
      <c r="BN23" s="976" t="n">
        <v>77441.28</v>
      </c>
      <c r="BO23" s="975" t="n">
        <v>136738</v>
      </c>
      <c r="BP23" s="976" t="n">
        <v>87512.32000000001</v>
      </c>
      <c r="BQ23" s="975" t="n">
        <v>143416</v>
      </c>
      <c r="BR23" s="976" t="n">
        <v>91786.24000000001</v>
      </c>
      <c r="BS23" s="975" t="n">
        <v>140525</v>
      </c>
      <c r="BT23" s="976" t="n">
        <v>89936</v>
      </c>
      <c r="BU23" s="975" t="n">
        <v>137417</v>
      </c>
      <c r="BV23" s="976" t="n">
        <v>87946.88</v>
      </c>
      <c r="BW23" s="975" t="n">
        <v>149520</v>
      </c>
      <c r="BX23" s="976" t="n">
        <v>95692.8</v>
      </c>
      <c r="BY23" s="975" t="n">
        <v>136758</v>
      </c>
      <c r="BZ23" s="976" t="n">
        <v>87525.12</v>
      </c>
      <c r="CA23" s="975" t="n">
        <v>148316</v>
      </c>
      <c r="CB23" s="976" t="n">
        <v>94922.24000000001</v>
      </c>
      <c r="CC23" s="975" t="n">
        <v>159250</v>
      </c>
      <c r="CD23" s="976" t="n">
        <v>101920</v>
      </c>
      <c r="CE23" s="979">
        <f>(BG23+BI23+BK23+BM23+BO23+BQ23+BS23+BU23+BW23+BY23+CA23)/11</f>
        <v/>
      </c>
      <c r="CF23" s="976">
        <f>(BH23+BJ23+BL23+BN23+BP23+BR23+BT23+BV23+BX23+BZ23+CB23)/11</f>
        <v/>
      </c>
      <c r="CG23" s="977" t="n">
        <v>143473.0833333333</v>
      </c>
      <c r="CH23" s="978" t="n">
        <v>91822.77333333335</v>
      </c>
      <c r="CI23" s="15" t="n">
        <v>16.2891374236815</v>
      </c>
      <c r="CJ23" s="15" t="n">
        <v>16.29</v>
      </c>
      <c r="CK23" s="982" t="n">
        <v>154924</v>
      </c>
      <c r="CL23" s="976" t="n">
        <v>99151.36</v>
      </c>
      <c r="CM23" s="982" t="n">
        <v>128100</v>
      </c>
      <c r="CN23" s="15" t="n">
        <v>81984</v>
      </c>
      <c r="CO23" s="982" t="n">
        <v>168241</v>
      </c>
      <c r="CP23" s="15" t="n">
        <v>107674.24</v>
      </c>
      <c r="CQ23" s="982" t="n">
        <v>113416</v>
      </c>
      <c r="CR23" s="15" t="n">
        <v>72586.24000000001</v>
      </c>
      <c r="CS23" s="982" t="n">
        <v>125095</v>
      </c>
      <c r="CT23" s="15" t="n">
        <v>80060.8</v>
      </c>
      <c r="CU23" s="982" t="n">
        <v>129262</v>
      </c>
      <c r="CV23" s="15" t="n">
        <v>82727.68000000001</v>
      </c>
      <c r="CW23" s="982" t="n">
        <v>129416</v>
      </c>
      <c r="CX23" s="15" t="n">
        <v>82826.24000000001</v>
      </c>
      <c r="CY23" s="982" t="n">
        <v>113666</v>
      </c>
      <c r="CZ23" s="15" t="n">
        <v>72746.24000000001</v>
      </c>
      <c r="DA23" s="982" t="n">
        <v>130958</v>
      </c>
      <c r="DB23" s="15" t="n">
        <v>83813.12</v>
      </c>
      <c r="DC23" s="982" t="n">
        <v>123398</v>
      </c>
      <c r="DD23" s="15" t="n">
        <v>78974.72</v>
      </c>
      <c r="DE23" s="982" t="n">
        <v>132608</v>
      </c>
      <c r="DF23" s="15" t="n">
        <v>84869.12</v>
      </c>
      <c r="DG23" s="982" t="n">
        <v>129794</v>
      </c>
      <c r="DH23" s="15" t="n">
        <v>83068.16</v>
      </c>
      <c r="DI23" s="983">
        <f>CK23+CM23+CO23+CQ23+CS23+CU23+CW23+CY23+DA23+DC23+DE23+DG23</f>
        <v/>
      </c>
      <c r="DJ23" s="983">
        <f>CL23+CN23+CP23+CR23+CT23+CV23+CX23+CZ23+DB23+DD23+DF23+DH23</f>
        <v/>
      </c>
      <c r="DK23" s="983">
        <f>(CK23+CM23)/2</f>
        <v/>
      </c>
      <c r="DL23" s="984">
        <f>(CL23+CN23)/2</f>
        <v/>
      </c>
      <c r="DM23" s="985">
        <f>DI23/12</f>
        <v/>
      </c>
      <c r="DN23" s="1129">
        <f>DJ23/12</f>
        <v/>
      </c>
      <c r="DO23" s="69">
        <f>DN23/$DN$57%</f>
        <v/>
      </c>
      <c r="DP23" s="982" t="n">
        <v>129486</v>
      </c>
      <c r="DQ23" s="976" t="n">
        <v>82871.04000000001</v>
      </c>
      <c r="DR23" s="975" t="n">
        <v>110882</v>
      </c>
      <c r="DS23" s="976" t="n">
        <v>70964.48</v>
      </c>
      <c r="DT23" s="982" t="n"/>
      <c r="DU23" s="15" t="n"/>
      <c r="DV23" s="982" t="n"/>
      <c r="DW23" s="15" t="n"/>
      <c r="DX23" s="982" t="n"/>
      <c r="DY23" s="15" t="n"/>
      <c r="DZ23" s="982" t="n"/>
      <c r="EA23" s="15" t="n"/>
      <c r="EB23" s="982" t="n"/>
      <c r="EC23" s="15" t="n"/>
      <c r="ED23" s="982" t="n"/>
      <c r="EE23" s="15" t="n"/>
      <c r="EF23" s="982" t="n"/>
      <c r="EG23" s="15" t="n"/>
      <c r="EH23" s="982" t="n"/>
      <c r="EI23" s="15" t="n"/>
      <c r="EJ23" s="982" t="n"/>
      <c r="EK23" s="15" t="n"/>
      <c r="EL23" s="982" t="n"/>
      <c r="EM23" s="15" t="n"/>
      <c r="EN23" s="983">
        <f>DP23+DR23+DT23+DV23+DX23+DZ23+EB23+ED23+EF23+EH23+EJ23+EL23</f>
        <v/>
      </c>
      <c r="EO23" s="983">
        <f>DQ23+DS23+DU23+DW23+DY23+EA23+EC23+EE23+EG23+EI23+EK23+EM23</f>
        <v/>
      </c>
      <c r="EP23" s="985">
        <f>EN23/2</f>
        <v/>
      </c>
      <c r="EQ23" s="1129">
        <f>EO23/2</f>
        <v/>
      </c>
      <c r="ER23" s="535">
        <f>EQ23/$EQ$57%</f>
        <v/>
      </c>
      <c r="ES23" s="1130">
        <f>ER23-DO23</f>
        <v/>
      </c>
      <c r="ET23" s="1130">
        <f>EQ23/DL23*100-100</f>
        <v/>
      </c>
      <c r="EU23" s="1130">
        <f>EQ23/DN23*100-100</f>
        <v/>
      </c>
      <c r="EV23" s="1130">
        <f>EQ23-DN23</f>
        <v/>
      </c>
      <c r="EW23" s="1000">
        <f>EQ23-DL23</f>
        <v/>
      </c>
      <c r="EX23" s="1130">
        <f>EV23/14</f>
        <v/>
      </c>
      <c r="EY23" s="1130">
        <f>EW23/14</f>
        <v/>
      </c>
      <c r="EZ23" s="1130">
        <f>EY23*2</f>
        <v/>
      </c>
    </row>
    <row r="24" customFormat="1" s="251">
      <c r="A24" s="246" t="n"/>
      <c r="B24" s="247" t="inlineStr">
        <is>
          <t>MyanmarShoukPyar</t>
        </is>
      </c>
      <c r="C24" s="247" t="n"/>
      <c r="D24" s="246" t="n"/>
      <c r="E24" s="246" t="n"/>
      <c r="F24" s="246" t="n"/>
      <c r="G24" s="1131" t="n"/>
      <c r="H24" s="1132" t="n"/>
      <c r="I24" s="1131" t="n"/>
      <c r="J24" s="1132" t="n"/>
      <c r="K24" s="1131" t="n"/>
      <c r="L24" s="1132" t="n"/>
      <c r="M24" s="1131" t="n"/>
      <c r="N24" s="1132" t="n"/>
      <c r="O24" s="1131" t="n"/>
      <c r="P24" s="1132" t="n"/>
      <c r="Q24" s="1131" t="n"/>
      <c r="R24" s="1132" t="n"/>
      <c r="S24" s="1131" t="n"/>
      <c r="T24" s="1132" t="n"/>
      <c r="U24" s="1131" t="n"/>
      <c r="V24" s="1132" t="n"/>
      <c r="W24" s="1131" t="n"/>
      <c r="X24" s="1132" t="n"/>
      <c r="Y24" s="1131" t="n"/>
      <c r="Z24" s="1132" t="n"/>
      <c r="AA24" s="1131" t="n"/>
      <c r="AB24" s="1132" t="n"/>
      <c r="AC24" s="1131" t="n"/>
      <c r="AD24" s="1132" t="n"/>
      <c r="AE24" s="1131" t="n"/>
      <c r="AF24" s="1132" t="n"/>
      <c r="AG24" s="1131" t="n"/>
      <c r="AH24" s="1132" t="n"/>
      <c r="AI24" s="1131" t="n"/>
      <c r="AJ24" s="1132" t="n"/>
      <c r="AK24" s="1131" t="n"/>
      <c r="AL24" s="1132" t="n"/>
      <c r="AM24" s="1131" t="n"/>
      <c r="AN24" s="1132" t="n"/>
      <c r="AO24" s="1131" t="n"/>
      <c r="AP24" s="1132" t="n"/>
      <c r="AQ24" s="1131" t="n"/>
      <c r="AR24" s="1132" t="n"/>
      <c r="AS24" s="1131" t="n"/>
      <c r="AT24" s="1132" t="n"/>
      <c r="AU24" s="1131" t="n"/>
      <c r="AV24" s="1132" t="n"/>
      <c r="AW24" s="1131" t="n"/>
      <c r="AX24" s="1132" t="n"/>
      <c r="AY24" s="1131" t="n"/>
      <c r="AZ24" s="1132" t="n"/>
      <c r="BA24" s="1131" t="n"/>
      <c r="BB24" s="1132" t="n"/>
      <c r="BC24" s="1131" t="n"/>
      <c r="BD24" s="1132" t="n"/>
      <c r="BE24" s="1131" t="n"/>
      <c r="BF24" s="1132" t="n"/>
      <c r="BG24" s="1131" t="n"/>
      <c r="BH24" s="1132" t="n"/>
      <c r="BI24" s="1131" t="n"/>
      <c r="BJ24" s="1132" t="n"/>
      <c r="BK24" s="1131" t="n"/>
      <c r="BL24" s="1132" t="n"/>
      <c r="BM24" s="1131" t="n"/>
      <c r="BN24" s="1132" t="n"/>
      <c r="BO24" s="1131" t="n"/>
      <c r="BP24" s="1132" t="n"/>
      <c r="BQ24" s="1131" t="n"/>
      <c r="BR24" s="1132" t="n"/>
      <c r="BS24" s="1131" t="n"/>
      <c r="BT24" s="1132" t="n"/>
      <c r="BU24" s="1131" t="n"/>
      <c r="BV24" s="1132" t="n"/>
      <c r="BW24" s="1131" t="n"/>
      <c r="BX24" s="1132" t="n"/>
      <c r="BY24" s="1131" t="n"/>
      <c r="BZ24" s="1132" t="n"/>
      <c r="CA24" s="1131" t="n"/>
      <c r="CB24" s="1132" t="n"/>
      <c r="CC24" s="1131" t="n"/>
      <c r="CD24" s="1132" t="n"/>
      <c r="CE24" s="1133">
        <f>SUM(CE23)</f>
        <v/>
      </c>
      <c r="CF24" s="1133">
        <f>SUM(CF23)</f>
        <v/>
      </c>
      <c r="CG24" s="1133">
        <f>SUM(CG23)</f>
        <v/>
      </c>
      <c r="CH24" s="1133">
        <f>SUM(CH23)</f>
        <v/>
      </c>
      <c r="CI24" s="1133">
        <f>SUM(CI23)</f>
        <v/>
      </c>
      <c r="CJ24" s="1133">
        <f>SUM(CJ23)</f>
        <v/>
      </c>
      <c r="CK24" s="1133">
        <f>SUM(CK23)</f>
        <v/>
      </c>
      <c r="CL24" s="1133">
        <f>SUM(CL23)</f>
        <v/>
      </c>
      <c r="CM24" s="1133">
        <f>SUM(CM23)</f>
        <v/>
      </c>
      <c r="CN24" s="1133">
        <f>SUM(CN23)</f>
        <v/>
      </c>
      <c r="CO24" s="1133">
        <f>SUM(CO23)</f>
        <v/>
      </c>
      <c r="CP24" s="1133">
        <f>SUM(CP23)</f>
        <v/>
      </c>
      <c r="CQ24" s="1133">
        <f>SUM(CQ23)</f>
        <v/>
      </c>
      <c r="CR24" s="1133">
        <f>SUM(CR23)</f>
        <v/>
      </c>
      <c r="CS24" s="1133">
        <f>SUM(CS23)</f>
        <v/>
      </c>
      <c r="CT24" s="1133">
        <f>SUM(CT23)</f>
        <v/>
      </c>
      <c r="CU24" s="1133">
        <f>SUM(CU23)</f>
        <v/>
      </c>
      <c r="CV24" s="1133">
        <f>SUM(CV23)</f>
        <v/>
      </c>
      <c r="CW24" s="1133">
        <f>SUM(CW23)</f>
        <v/>
      </c>
      <c r="CX24" s="1133">
        <f>SUM(CX23)</f>
        <v/>
      </c>
      <c r="CY24" s="1133">
        <f>SUM(CY23)</f>
        <v/>
      </c>
      <c r="CZ24" s="1133">
        <f>SUM(CZ23)</f>
        <v/>
      </c>
      <c r="DA24" s="1133">
        <f>SUM(DA23)</f>
        <v/>
      </c>
      <c r="DB24" s="1133">
        <f>SUM(DB23)</f>
        <v/>
      </c>
      <c r="DC24" s="1133">
        <f>SUM(DC23)</f>
        <v/>
      </c>
      <c r="DD24" s="1133">
        <f>SUM(DD23)</f>
        <v/>
      </c>
      <c r="DE24" s="1133">
        <f>SUM(DE23)</f>
        <v/>
      </c>
      <c r="DF24" s="1133">
        <f>SUM(DF23)</f>
        <v/>
      </c>
      <c r="DG24" s="1133">
        <f>SUM(DG23)</f>
        <v/>
      </c>
      <c r="DH24" s="1133">
        <f>SUM(DH23)</f>
        <v/>
      </c>
      <c r="DI24" s="1133">
        <f>SUM(DI23)</f>
        <v/>
      </c>
      <c r="DJ24" s="1133">
        <f>SUM(DJ23)</f>
        <v/>
      </c>
      <c r="DK24" s="1134">
        <f>SUM(DK22:DK23)</f>
        <v/>
      </c>
      <c r="DL24" s="1135">
        <f>SUM(DL22:DL23)</f>
        <v/>
      </c>
      <c r="DM24" s="1134">
        <f>SUM(DM22:DM23)</f>
        <v/>
      </c>
      <c r="DN24" s="1135">
        <f>SUM(DN22:DN23)</f>
        <v/>
      </c>
      <c r="DO24" s="1133">
        <f>SUM(DO23)</f>
        <v/>
      </c>
      <c r="DP24" s="1134">
        <f>SUM(DP22:DP23)</f>
        <v/>
      </c>
      <c r="DQ24" s="1135">
        <f>SUM(DQ22:DQ23)</f>
        <v/>
      </c>
      <c r="DR24" s="1134">
        <f>SUM(DR22:DR23)</f>
        <v/>
      </c>
      <c r="DS24" s="1135">
        <f>SUM(DS22:DS23)</f>
        <v/>
      </c>
      <c r="DT24" s="1134">
        <f>SUM(DT22:DT23)</f>
        <v/>
      </c>
      <c r="DU24" s="1135">
        <f>SUM(DU22:DU23)</f>
        <v/>
      </c>
      <c r="DV24" s="1134">
        <f>SUM(DV22:DV23)</f>
        <v/>
      </c>
      <c r="DW24" s="1135">
        <f>SUM(DW22:DW23)</f>
        <v/>
      </c>
      <c r="DX24" s="1134">
        <f>SUM(DX22:DX23)</f>
        <v/>
      </c>
      <c r="DY24" s="1135">
        <f>SUM(DY22:DY23)</f>
        <v/>
      </c>
      <c r="DZ24" s="1134">
        <f>SUM(DZ22:DZ23)</f>
        <v/>
      </c>
      <c r="EA24" s="1135">
        <f>SUM(EA22:EA23)</f>
        <v/>
      </c>
      <c r="EB24" s="1134">
        <f>SUM(EB22:EB23)</f>
        <v/>
      </c>
      <c r="EC24" s="1135">
        <f>SUM(EC22:EC23)</f>
        <v/>
      </c>
      <c r="ED24" s="1134">
        <f>SUM(ED22:ED23)</f>
        <v/>
      </c>
      <c r="EE24" s="1135">
        <f>SUM(EE22:EE23)</f>
        <v/>
      </c>
      <c r="EF24" s="1134">
        <f>SUM(EF22:EF23)</f>
        <v/>
      </c>
      <c r="EG24" s="1135">
        <f>SUM(EG22:EG23)</f>
        <v/>
      </c>
      <c r="EH24" s="1134">
        <f>SUM(EH22:EH23)</f>
        <v/>
      </c>
      <c r="EI24" s="1135">
        <f>SUM(EI22:EI23)</f>
        <v/>
      </c>
      <c r="EJ24" s="1134">
        <f>SUM(EJ22:EJ23)</f>
        <v/>
      </c>
      <c r="EK24" s="1135">
        <f>SUM(EK22:EK23)</f>
        <v/>
      </c>
      <c r="EL24" s="1134">
        <f>SUM(EL22:EL23)</f>
        <v/>
      </c>
      <c r="EM24" s="1135">
        <f>SUM(EM22:EM23)</f>
        <v/>
      </c>
      <c r="EN24" s="1134">
        <f>SUM(EN22:EN23)</f>
        <v/>
      </c>
      <c r="EO24" s="1135">
        <f>SUM(EO22:EO23)</f>
        <v/>
      </c>
      <c r="EP24" s="1134">
        <f>SUM(EP22:EP23)</f>
        <v/>
      </c>
      <c r="EQ24" s="1135">
        <f>SUM(EQ22:EQ23)</f>
        <v/>
      </c>
      <c r="ER24" s="1135">
        <f>SUM(ER22:ER23)</f>
        <v/>
      </c>
      <c r="ES24" s="1138">
        <f>ER24-DO24</f>
        <v/>
      </c>
      <c r="ET24" s="1138">
        <f>EQ24/DL24*100-100</f>
        <v/>
      </c>
      <c r="EU24" s="1138">
        <f>EQ24/DN24*100-100</f>
        <v/>
      </c>
      <c r="EV24" s="1138">
        <f>EQ24-DN24</f>
        <v/>
      </c>
      <c r="EW24" s="1139">
        <f>EQ24-DL24</f>
        <v/>
      </c>
      <c r="EX24" s="1138">
        <f>EV24/14</f>
        <v/>
      </c>
      <c r="EY24" s="1138">
        <f>EW24/14</f>
        <v/>
      </c>
      <c r="EZ24" s="1138">
        <f>EY24*2</f>
        <v/>
      </c>
    </row>
    <row r="25">
      <c r="A25" s="7" t="n">
        <v>15</v>
      </c>
      <c r="B25" s="8" t="inlineStr">
        <is>
          <t>သံပုရာအရက်</t>
        </is>
      </c>
      <c r="C25" s="8" t="inlineStr">
        <is>
          <t>ပုလင်း</t>
        </is>
      </c>
      <c r="D25" s="7" t="n">
        <v>0.64</v>
      </c>
      <c r="E25" s="7" t="inlineStr">
        <is>
          <t>1 * 14</t>
        </is>
      </c>
      <c r="F25" s="7" t="n">
        <v>1230</v>
      </c>
      <c r="G25" s="975" t="n">
        <v>74970</v>
      </c>
      <c r="H25" s="976" t="n">
        <v>47980.8</v>
      </c>
      <c r="I25" s="975" t="n">
        <v>68278</v>
      </c>
      <c r="J25" s="976" t="n">
        <v>43697.92</v>
      </c>
      <c r="K25" s="975" t="n">
        <v>73962</v>
      </c>
      <c r="L25" s="976" t="n">
        <v>47335.68</v>
      </c>
      <c r="M25" s="975" t="n">
        <v>48118</v>
      </c>
      <c r="N25" s="976" t="n">
        <v>30795.52</v>
      </c>
      <c r="O25" s="975" t="n">
        <v>58968</v>
      </c>
      <c r="P25" s="976" t="n">
        <v>37739.52</v>
      </c>
      <c r="Q25" s="975" t="n">
        <v>63574</v>
      </c>
      <c r="R25" s="976" t="n">
        <v>40687.36</v>
      </c>
      <c r="S25" s="975" t="n">
        <v>57927</v>
      </c>
      <c r="T25" s="976" t="n">
        <v>37073.28</v>
      </c>
      <c r="U25" s="975" t="n">
        <v>66318</v>
      </c>
      <c r="V25" s="976" t="n">
        <v>42443.52</v>
      </c>
      <c r="W25" s="975" t="n">
        <v>60858</v>
      </c>
      <c r="X25" s="976" t="n">
        <v>38949.12</v>
      </c>
      <c r="Y25" s="975" t="n">
        <v>64358</v>
      </c>
      <c r="Z25" s="976" t="n">
        <v>41189.12</v>
      </c>
      <c r="AA25" s="975" t="n">
        <v>66906</v>
      </c>
      <c r="AB25" s="976" t="n">
        <v>42819.84</v>
      </c>
      <c r="AC25" s="975" t="n">
        <v>73374</v>
      </c>
      <c r="AD25" s="976" t="n">
        <v>46959.36</v>
      </c>
      <c r="AE25" s="977" t="n">
        <v>64800.91666666666</v>
      </c>
      <c r="AF25" s="978" t="n">
        <v>41472.58666666666</v>
      </c>
      <c r="AG25" s="975" t="n">
        <v>80892</v>
      </c>
      <c r="AH25" s="976" t="n">
        <v>51770.88</v>
      </c>
      <c r="AI25" s="975" t="n">
        <v>53830</v>
      </c>
      <c r="AJ25" s="976" t="n">
        <v>34451.2</v>
      </c>
      <c r="AK25" s="975" t="n">
        <v>55370</v>
      </c>
      <c r="AL25" s="976" t="n">
        <v>35436.8</v>
      </c>
      <c r="AM25" s="975" t="n">
        <v>52542</v>
      </c>
      <c r="AN25" s="976" t="n">
        <v>33626.88</v>
      </c>
      <c r="AO25" s="975" t="n">
        <v>50932</v>
      </c>
      <c r="AP25" s="976" t="n">
        <v>32596.48</v>
      </c>
      <c r="AQ25" s="975" t="n">
        <v>57764</v>
      </c>
      <c r="AR25" s="976" t="n">
        <v>36968.96</v>
      </c>
      <c r="AS25" s="975" t="n">
        <v>57736</v>
      </c>
      <c r="AT25" s="976" t="n">
        <v>36951.04</v>
      </c>
      <c r="AU25" s="975" t="n">
        <v>56924</v>
      </c>
      <c r="AV25" s="976" t="n">
        <v>36431.36</v>
      </c>
      <c r="AW25" s="975" t="n">
        <v>57470</v>
      </c>
      <c r="AX25" s="976" t="n">
        <v>36780.8</v>
      </c>
      <c r="AY25" s="975" t="n">
        <v>61329</v>
      </c>
      <c r="AZ25" s="976" t="n">
        <v>39250.56</v>
      </c>
      <c r="BA25" s="975" t="n">
        <v>62412</v>
      </c>
      <c r="BB25" s="976" t="n">
        <v>39943.68</v>
      </c>
      <c r="BC25" s="975" t="n">
        <v>74214</v>
      </c>
      <c r="BD25" s="976" t="n">
        <v>47496.96</v>
      </c>
      <c r="BE25" s="977" t="n">
        <v>60117.91666666666</v>
      </c>
      <c r="BF25" s="978" t="n">
        <v>38475.46666666667</v>
      </c>
      <c r="BG25" s="975" t="n">
        <v>67704</v>
      </c>
      <c r="BH25" s="976" t="n">
        <v>43330.56</v>
      </c>
      <c r="BI25" s="975" t="n">
        <v>60746</v>
      </c>
      <c r="BJ25" s="976" t="n">
        <v>38877.44</v>
      </c>
      <c r="BK25" s="975" t="n">
        <v>59836</v>
      </c>
      <c r="BL25" s="976" t="n">
        <v>38295.04</v>
      </c>
      <c r="BM25" s="975" t="n">
        <v>50484</v>
      </c>
      <c r="BN25" s="976" t="n">
        <v>32309.76</v>
      </c>
      <c r="BO25" s="975" t="n">
        <v>59738</v>
      </c>
      <c r="BP25" s="976" t="n">
        <v>38232.32</v>
      </c>
      <c r="BQ25" s="975" t="n">
        <v>58751</v>
      </c>
      <c r="BR25" s="976" t="n">
        <v>37600.64</v>
      </c>
      <c r="BS25" s="975" t="n">
        <v>60256</v>
      </c>
      <c r="BT25" s="976" t="n">
        <v>38563.84</v>
      </c>
      <c r="BU25" s="975" t="n">
        <v>54824</v>
      </c>
      <c r="BV25" s="976" t="n">
        <v>35087.36</v>
      </c>
      <c r="BW25" s="975" t="n">
        <v>60466</v>
      </c>
      <c r="BX25" s="976" t="n">
        <v>38698.24</v>
      </c>
      <c r="BY25" s="975" t="n">
        <v>67844</v>
      </c>
      <c r="BZ25" s="976" t="n">
        <v>43420.16</v>
      </c>
      <c r="CA25" s="975" t="n">
        <v>63854</v>
      </c>
      <c r="CB25" s="976" t="n">
        <v>40866.56</v>
      </c>
      <c r="CC25" s="975" t="n">
        <v>77781</v>
      </c>
      <c r="CD25" s="976" t="n">
        <v>49779.84</v>
      </c>
      <c r="CE25" s="979">
        <f>(BG25+BI25+BK25+BM25+BO25+BQ25+BS25+BU25+BW25+BY25+CA25)/11</f>
        <v/>
      </c>
      <c r="CF25" s="976">
        <f>(BH25+BJ25+BL25+BN25+BP25+BR25+BT25+BV25+BX25+BZ25+CB25)/11</f>
        <v/>
      </c>
      <c r="CG25" s="977" t="n">
        <v>61857</v>
      </c>
      <c r="CH25" s="978" t="n">
        <v>39588.48</v>
      </c>
      <c r="CI25" s="15" t="n">
        <v>7.022900395021828</v>
      </c>
      <c r="CJ25" s="15" t="n">
        <v>7.02</v>
      </c>
      <c r="CK25" s="982" t="n">
        <v>68715</v>
      </c>
      <c r="CL25" s="976" t="n">
        <v>43977.6</v>
      </c>
      <c r="CM25" s="982" t="n">
        <v>60634</v>
      </c>
      <c r="CN25" s="15" t="n">
        <v>38805.76</v>
      </c>
      <c r="CO25" s="982" t="n">
        <v>70656</v>
      </c>
      <c r="CP25" s="15" t="n">
        <v>45219.84</v>
      </c>
      <c r="CQ25" s="982" t="n">
        <v>50554</v>
      </c>
      <c r="CR25" s="15" t="n">
        <v>32354.56</v>
      </c>
      <c r="CS25" s="982" t="n">
        <v>59329</v>
      </c>
      <c r="CT25" s="15" t="n">
        <v>37970.56</v>
      </c>
      <c r="CU25" s="982" t="n">
        <v>56182</v>
      </c>
      <c r="CV25" s="15" t="n">
        <v>35956.48</v>
      </c>
      <c r="CW25" s="982" t="n">
        <v>51492</v>
      </c>
      <c r="CX25" s="15" t="n">
        <v>32954.88</v>
      </c>
      <c r="CY25" s="982" t="n">
        <v>53284</v>
      </c>
      <c r="CZ25" s="15" t="n">
        <v>34101.76</v>
      </c>
      <c r="DA25" s="982" t="n">
        <v>53508</v>
      </c>
      <c r="DB25" s="15" t="n">
        <v>34245.12</v>
      </c>
      <c r="DC25" s="982" t="n">
        <v>58674</v>
      </c>
      <c r="DD25" s="15" t="n">
        <v>37551.36</v>
      </c>
      <c r="DE25" s="982" t="n">
        <v>56952</v>
      </c>
      <c r="DF25" s="15" t="n">
        <v>36449.28</v>
      </c>
      <c r="DG25" s="982" t="n">
        <v>58660</v>
      </c>
      <c r="DH25" s="15" t="n">
        <v>37542.4</v>
      </c>
      <c r="DI25" s="983">
        <f>CK25+CM25+CO25+CQ25+CS25+CU25+CW25+CY25+DA25+DC25+DE25+DG25</f>
        <v/>
      </c>
      <c r="DJ25" s="983">
        <f>CL25+CN25+CP25+CR25+CT25+CV25+CX25+CZ25+DB25+DD25+DF25+DH25</f>
        <v/>
      </c>
      <c r="DK25" s="983">
        <f>(CK25+CM25)/2</f>
        <v/>
      </c>
      <c r="DL25" s="984">
        <f>(CL25+CN25)/2</f>
        <v/>
      </c>
      <c r="DM25" s="985">
        <f>DI25/12</f>
        <v/>
      </c>
      <c r="DN25" s="1129">
        <f>DJ25/12</f>
        <v/>
      </c>
      <c r="DO25" s="69">
        <f>DN25/$DN$57%</f>
        <v/>
      </c>
      <c r="DP25" s="982" t="n">
        <v>58674</v>
      </c>
      <c r="DQ25" s="976" t="n">
        <v>37551.36</v>
      </c>
      <c r="DR25" s="975" t="n">
        <v>52385</v>
      </c>
      <c r="DS25" s="976" t="n">
        <v>33526.4</v>
      </c>
      <c r="DT25" s="982" t="n"/>
      <c r="DU25" s="15" t="n"/>
      <c r="DV25" s="982" t="n"/>
      <c r="DW25" s="15" t="n"/>
      <c r="DX25" s="982" t="n"/>
      <c r="DY25" s="15" t="n"/>
      <c r="DZ25" s="982" t="n"/>
      <c r="EA25" s="15" t="n"/>
      <c r="EB25" s="982" t="n"/>
      <c r="EC25" s="15" t="n"/>
      <c r="ED25" s="982" t="n"/>
      <c r="EE25" s="15" t="n"/>
      <c r="EF25" s="982" t="n"/>
      <c r="EG25" s="15" t="n"/>
      <c r="EH25" s="982" t="n"/>
      <c r="EI25" s="15" t="n"/>
      <c r="EJ25" s="982" t="n"/>
      <c r="EK25" s="15" t="n"/>
      <c r="EL25" s="982" t="n"/>
      <c r="EM25" s="15" t="n"/>
      <c r="EN25" s="983">
        <f>DP25+DR25+DT25+DV25+DX25+DZ25+EB25+ED25+EF25+EH25+EJ25+EL25</f>
        <v/>
      </c>
      <c r="EO25" s="983">
        <f>DQ25+DS25+DU25+DW25+DY25+EA25+EC25+EE25+EG25+EI25+EK25+EM25</f>
        <v/>
      </c>
      <c r="EP25" s="985">
        <f>EN25/2</f>
        <v/>
      </c>
      <c r="EQ25" s="1129">
        <f>EO25/2</f>
        <v/>
      </c>
      <c r="ER25" s="535">
        <f>EQ25/$EQ$57%</f>
        <v/>
      </c>
      <c r="ES25" s="1130">
        <f>ER25-DO25</f>
        <v/>
      </c>
      <c r="ET25" s="1130">
        <f>EQ25/DL25*100-100</f>
        <v/>
      </c>
      <c r="EU25" s="1130">
        <f>EQ25/DN25*100-100</f>
        <v/>
      </c>
      <c r="EV25" s="1130">
        <f>EQ25-DN25</f>
        <v/>
      </c>
      <c r="EW25" s="1000">
        <f>EQ25-DL25</f>
        <v/>
      </c>
      <c r="EX25" s="1130">
        <f>EV25/14</f>
        <v/>
      </c>
      <c r="EY25" s="1130">
        <f>EW25/14</f>
        <v/>
      </c>
      <c r="EZ25" s="1130">
        <f>EY25*2</f>
        <v/>
      </c>
    </row>
    <row r="26" customFormat="1" s="251">
      <c r="A26" s="246" t="n"/>
      <c r="B26" s="247" t="inlineStr">
        <is>
          <t>Lime BE</t>
        </is>
      </c>
      <c r="C26" s="247" t="n"/>
      <c r="D26" s="246" t="n"/>
      <c r="E26" s="246" t="n"/>
      <c r="F26" s="246" t="n"/>
      <c r="G26" s="1131" t="n"/>
      <c r="H26" s="1132" t="n"/>
      <c r="I26" s="1131" t="n"/>
      <c r="J26" s="1132" t="n"/>
      <c r="K26" s="1131" t="n"/>
      <c r="L26" s="1132" t="n"/>
      <c r="M26" s="1131" t="n"/>
      <c r="N26" s="1132" t="n"/>
      <c r="O26" s="1131" t="n"/>
      <c r="P26" s="1132" t="n"/>
      <c r="Q26" s="1131" t="n"/>
      <c r="R26" s="1132" t="n"/>
      <c r="S26" s="1131" t="n"/>
      <c r="T26" s="1132" t="n"/>
      <c r="U26" s="1131" t="n"/>
      <c r="V26" s="1132" t="n"/>
      <c r="W26" s="1131" t="n"/>
      <c r="X26" s="1132" t="n"/>
      <c r="Y26" s="1131" t="n"/>
      <c r="Z26" s="1132" t="n"/>
      <c r="AA26" s="1131" t="n"/>
      <c r="AB26" s="1132" t="n"/>
      <c r="AC26" s="1131" t="n"/>
      <c r="AD26" s="1132" t="n"/>
      <c r="AE26" s="1131" t="n"/>
      <c r="AF26" s="1132" t="n"/>
      <c r="AG26" s="1131" t="n"/>
      <c r="AH26" s="1132" t="n"/>
      <c r="AI26" s="1131" t="n"/>
      <c r="AJ26" s="1132" t="n"/>
      <c r="AK26" s="1131" t="n"/>
      <c r="AL26" s="1132" t="n"/>
      <c r="AM26" s="1131" t="n"/>
      <c r="AN26" s="1132" t="n"/>
      <c r="AO26" s="1131" t="n"/>
      <c r="AP26" s="1132" t="n"/>
      <c r="AQ26" s="1131" t="n"/>
      <c r="AR26" s="1132" t="n"/>
      <c r="AS26" s="1131" t="n"/>
      <c r="AT26" s="1132" t="n"/>
      <c r="AU26" s="1131" t="n"/>
      <c r="AV26" s="1132" t="n"/>
      <c r="AW26" s="1131" t="n"/>
      <c r="AX26" s="1132" t="n"/>
      <c r="AY26" s="1131" t="n"/>
      <c r="AZ26" s="1132" t="n"/>
      <c r="BA26" s="1131" t="n"/>
      <c r="BB26" s="1132" t="n"/>
      <c r="BC26" s="1131" t="n"/>
      <c r="BD26" s="1132" t="n"/>
      <c r="BE26" s="1131" t="n"/>
      <c r="BF26" s="1132" t="n"/>
      <c r="BG26" s="1131" t="n"/>
      <c r="BH26" s="1132" t="n"/>
      <c r="BI26" s="1131" t="n"/>
      <c r="BJ26" s="1132" t="n"/>
      <c r="BK26" s="1131" t="n"/>
      <c r="BL26" s="1132" t="n"/>
      <c r="BM26" s="1131" t="n"/>
      <c r="BN26" s="1132" t="n"/>
      <c r="BO26" s="1131" t="n"/>
      <c r="BP26" s="1132" t="n"/>
      <c r="BQ26" s="1131" t="n"/>
      <c r="BR26" s="1132" t="n"/>
      <c r="BS26" s="1131" t="n"/>
      <c r="BT26" s="1132" t="n"/>
      <c r="BU26" s="1131" t="n"/>
      <c r="BV26" s="1132" t="n"/>
      <c r="BW26" s="1131" t="n"/>
      <c r="BX26" s="1132" t="n"/>
      <c r="BY26" s="1131" t="n"/>
      <c r="BZ26" s="1132" t="n"/>
      <c r="CA26" s="1131" t="n"/>
      <c r="CB26" s="1132" t="n"/>
      <c r="CC26" s="1131" t="n"/>
      <c r="CD26" s="1132" t="n"/>
      <c r="CE26" s="1133">
        <f>SUM(CE25)</f>
        <v/>
      </c>
      <c r="CF26" s="1133">
        <f>SUM(CF25)</f>
        <v/>
      </c>
      <c r="CG26" s="1133">
        <f>SUM(CG25)</f>
        <v/>
      </c>
      <c r="CH26" s="1133">
        <f>SUM(CH25)</f>
        <v/>
      </c>
      <c r="CI26" s="1133">
        <f>SUM(CI25)</f>
        <v/>
      </c>
      <c r="CJ26" s="1133">
        <f>SUM(CJ25)</f>
        <v/>
      </c>
      <c r="CK26" s="1133">
        <f>SUM(CK25)</f>
        <v/>
      </c>
      <c r="CL26" s="1133">
        <f>SUM(CL25)</f>
        <v/>
      </c>
      <c r="CM26" s="1133">
        <f>SUM(CM25)</f>
        <v/>
      </c>
      <c r="CN26" s="1133">
        <f>SUM(CN25)</f>
        <v/>
      </c>
      <c r="CO26" s="1133">
        <f>SUM(CO25)</f>
        <v/>
      </c>
      <c r="CP26" s="1133">
        <f>SUM(CP25)</f>
        <v/>
      </c>
      <c r="CQ26" s="1133">
        <f>SUM(CQ25)</f>
        <v/>
      </c>
      <c r="CR26" s="1133">
        <f>SUM(CR25)</f>
        <v/>
      </c>
      <c r="CS26" s="1133">
        <f>SUM(CS25)</f>
        <v/>
      </c>
      <c r="CT26" s="1133">
        <f>SUM(CT25)</f>
        <v/>
      </c>
      <c r="CU26" s="1133">
        <f>SUM(CU25)</f>
        <v/>
      </c>
      <c r="CV26" s="1133">
        <f>SUM(CV25)</f>
        <v/>
      </c>
      <c r="CW26" s="1133">
        <f>SUM(CW25)</f>
        <v/>
      </c>
      <c r="CX26" s="1133">
        <f>SUM(CX25)</f>
        <v/>
      </c>
      <c r="CY26" s="1133">
        <f>SUM(CY25)</f>
        <v/>
      </c>
      <c r="CZ26" s="1133">
        <f>SUM(CZ25)</f>
        <v/>
      </c>
      <c r="DA26" s="1133">
        <f>SUM(DA25)</f>
        <v/>
      </c>
      <c r="DB26" s="1133">
        <f>SUM(DB25)</f>
        <v/>
      </c>
      <c r="DC26" s="1133">
        <f>SUM(DC25)</f>
        <v/>
      </c>
      <c r="DD26" s="1133">
        <f>SUM(DD25)</f>
        <v/>
      </c>
      <c r="DE26" s="1133">
        <f>SUM(DE25)</f>
        <v/>
      </c>
      <c r="DF26" s="1133">
        <f>SUM(DF25)</f>
        <v/>
      </c>
      <c r="DG26" s="1133">
        <f>SUM(DG25)</f>
        <v/>
      </c>
      <c r="DH26" s="1133">
        <f>SUM(DH25)</f>
        <v/>
      </c>
      <c r="DI26" s="1133">
        <f>SUM(DI25)</f>
        <v/>
      </c>
      <c r="DJ26" s="1133">
        <f>SUM(DJ25)</f>
        <v/>
      </c>
      <c r="DK26" s="1134">
        <f>(CK26+CM26)/2</f>
        <v/>
      </c>
      <c r="DL26" s="1135">
        <f>(CL26+CN26)/2</f>
        <v/>
      </c>
      <c r="DM26" s="1136">
        <f>DI26/12</f>
        <v/>
      </c>
      <c r="DN26" s="1137">
        <f>DJ26/12</f>
        <v/>
      </c>
      <c r="DO26" s="1133">
        <f>SUM(DO25)</f>
        <v/>
      </c>
      <c r="DP26" s="1133">
        <f>SUM(DP25)</f>
        <v/>
      </c>
      <c r="DQ26" s="1133">
        <f>SUM(DQ25)</f>
        <v/>
      </c>
      <c r="DR26" s="1133">
        <f>SUM(DR25)</f>
        <v/>
      </c>
      <c r="DS26" s="1133">
        <f>SUM(DS25)</f>
        <v/>
      </c>
      <c r="DT26" s="1133">
        <f>SUM(DT25)</f>
        <v/>
      </c>
      <c r="DU26" s="1133">
        <f>SUM(DU25)</f>
        <v/>
      </c>
      <c r="DV26" s="1133">
        <f>SUM(DV25)</f>
        <v/>
      </c>
      <c r="DW26" s="1133">
        <f>SUM(DW25)</f>
        <v/>
      </c>
      <c r="DX26" s="1133">
        <f>SUM(DX25)</f>
        <v/>
      </c>
      <c r="DY26" s="1133">
        <f>SUM(DY25)</f>
        <v/>
      </c>
      <c r="DZ26" s="1133">
        <f>SUM(DZ25)</f>
        <v/>
      </c>
      <c r="EA26" s="1133">
        <f>SUM(EA25)</f>
        <v/>
      </c>
      <c r="EB26" s="1133">
        <f>SUM(EB25)</f>
        <v/>
      </c>
      <c r="EC26" s="1133">
        <f>SUM(EC25)</f>
        <v/>
      </c>
      <c r="ED26" s="1133">
        <f>SUM(ED25)</f>
        <v/>
      </c>
      <c r="EE26" s="1133">
        <f>SUM(EE25)</f>
        <v/>
      </c>
      <c r="EF26" s="1133">
        <f>SUM(EF25)</f>
        <v/>
      </c>
      <c r="EG26" s="1133">
        <f>SUM(EG25)</f>
        <v/>
      </c>
      <c r="EH26" s="1133">
        <f>SUM(EH25)</f>
        <v/>
      </c>
      <c r="EI26" s="1133">
        <f>SUM(EI25)</f>
        <v/>
      </c>
      <c r="EJ26" s="1133">
        <f>SUM(EJ25)</f>
        <v/>
      </c>
      <c r="EK26" s="1133">
        <f>SUM(EK25)</f>
        <v/>
      </c>
      <c r="EL26" s="1133">
        <f>SUM(EL25)</f>
        <v/>
      </c>
      <c r="EM26" s="1133">
        <f>SUM(EM25)</f>
        <v/>
      </c>
      <c r="EN26" s="1133">
        <f>SUM(EN25)</f>
        <v/>
      </c>
      <c r="EO26" s="1133">
        <f>SUM(EO25)</f>
        <v/>
      </c>
      <c r="EP26" s="1136">
        <f>EN26/2</f>
        <v/>
      </c>
      <c r="EQ26" s="1137">
        <f>EO26/2</f>
        <v/>
      </c>
      <c r="ER26" s="536">
        <f>EQ26/$EQ$57%</f>
        <v/>
      </c>
      <c r="ES26" s="1138">
        <f>ER26-DO26</f>
        <v/>
      </c>
      <c r="ET26" s="1138">
        <f>EQ26/DL26*100-100</f>
        <v/>
      </c>
      <c r="EU26" s="1138">
        <f>EQ26/DN26*100-100</f>
        <v/>
      </c>
      <c r="EV26" s="1138">
        <f>EQ26-DN26</f>
        <v/>
      </c>
      <c r="EW26" s="1139">
        <f>EQ26-DL26</f>
        <v/>
      </c>
      <c r="EX26" s="1138">
        <f>EV26/14</f>
        <v/>
      </c>
      <c r="EY26" s="1138">
        <f>EW26/14</f>
        <v/>
      </c>
      <c r="EZ26" s="1138">
        <f>EY26*2</f>
        <v/>
      </c>
    </row>
    <row r="27">
      <c r="A27" s="7" t="n">
        <v>16</v>
      </c>
      <c r="B27" s="8" t="inlineStr">
        <is>
          <t>2 in 1 မန်ကျည်း</t>
        </is>
      </c>
      <c r="C27" s="8" t="inlineStr">
        <is>
          <t>ပုလင်း</t>
        </is>
      </c>
      <c r="D27" s="7" t="n">
        <v>0.64</v>
      </c>
      <c r="E27" s="7" t="inlineStr">
        <is>
          <t>1 * 14</t>
        </is>
      </c>
      <c r="F27" s="7" t="n">
        <v>1250</v>
      </c>
      <c r="G27" s="975" t="n">
        <v>9128</v>
      </c>
      <c r="H27" s="976" t="n">
        <v>5841.92</v>
      </c>
      <c r="I27" s="975" t="n">
        <v>6594</v>
      </c>
      <c r="J27" s="976" t="n">
        <v>4220.16</v>
      </c>
      <c r="K27" s="975" t="n">
        <v>10458</v>
      </c>
      <c r="L27" s="976" t="n">
        <v>6693.12</v>
      </c>
      <c r="M27" s="975" t="n">
        <v>7602</v>
      </c>
      <c r="N27" s="976" t="n">
        <v>4865.28</v>
      </c>
      <c r="O27" s="975" t="n">
        <v>7350</v>
      </c>
      <c r="P27" s="976" t="n">
        <v>4704</v>
      </c>
      <c r="Q27" s="975" t="n">
        <v>9688</v>
      </c>
      <c r="R27" s="976" t="n">
        <v>6200.32</v>
      </c>
      <c r="S27" s="975" t="n">
        <v>7000</v>
      </c>
      <c r="T27" s="976" t="n">
        <v>4480</v>
      </c>
      <c r="U27" s="975" t="n">
        <v>8358</v>
      </c>
      <c r="V27" s="976" t="n">
        <v>5349.12</v>
      </c>
      <c r="W27" s="975" t="n">
        <v>6860</v>
      </c>
      <c r="X27" s="976" t="n">
        <v>4390.400000000001</v>
      </c>
      <c r="Y27" s="975" t="n">
        <v>7700</v>
      </c>
      <c r="Z27" s="976" t="n">
        <v>4928</v>
      </c>
      <c r="AA27" s="975" t="n">
        <v>8568</v>
      </c>
      <c r="AB27" s="976" t="n">
        <v>5483.52</v>
      </c>
      <c r="AC27" s="975" t="n">
        <v>10920</v>
      </c>
      <c r="AD27" s="976" t="n">
        <v>6988.8</v>
      </c>
      <c r="AE27" s="977" t="n">
        <v>8352.166666666666</v>
      </c>
      <c r="AF27" s="978" t="n">
        <v>5345.386666666666</v>
      </c>
      <c r="AG27" s="975" t="n">
        <v>12866</v>
      </c>
      <c r="AH27" s="976" t="n">
        <v>8234.24</v>
      </c>
      <c r="AI27" s="975" t="n">
        <v>7532</v>
      </c>
      <c r="AJ27" s="976" t="n">
        <v>4820.48</v>
      </c>
      <c r="AK27" s="975" t="n">
        <v>7742</v>
      </c>
      <c r="AL27" s="976" t="n">
        <v>4954.88</v>
      </c>
      <c r="AM27" s="975" t="n">
        <v>7000</v>
      </c>
      <c r="AN27" s="976" t="n">
        <v>4480</v>
      </c>
      <c r="AO27" s="975" t="n">
        <v>3780</v>
      </c>
      <c r="AP27" s="976" t="n">
        <v>2419.2</v>
      </c>
      <c r="AQ27" s="975" t="n">
        <v>4760</v>
      </c>
      <c r="AR27" s="976" t="n">
        <v>3046.4</v>
      </c>
      <c r="AS27" s="975" t="n">
        <v>8540</v>
      </c>
      <c r="AT27" s="976" t="n">
        <v>5465.6</v>
      </c>
      <c r="AU27" s="975" t="n">
        <v>7546</v>
      </c>
      <c r="AV27" s="976" t="n">
        <v>4829.440000000001</v>
      </c>
      <c r="AW27" s="975" t="n">
        <v>7070</v>
      </c>
      <c r="AX27" s="976" t="n">
        <v>4524.8</v>
      </c>
      <c r="AY27" s="975" t="n">
        <v>3780</v>
      </c>
      <c r="AZ27" s="976" t="n">
        <v>2419.2</v>
      </c>
      <c r="BA27" s="975" t="n">
        <v>5586</v>
      </c>
      <c r="BB27" s="976" t="n">
        <v>3575.04</v>
      </c>
      <c r="BC27" s="975" t="n">
        <v>8070</v>
      </c>
      <c r="BD27" s="976" t="n">
        <v>5164.8</v>
      </c>
      <c r="BE27" s="977" t="n">
        <v>7022.666666666667</v>
      </c>
      <c r="BF27" s="978" t="n">
        <v>4494.506666666667</v>
      </c>
      <c r="BG27" s="975" t="n">
        <v>6426</v>
      </c>
      <c r="BH27" s="976" t="n">
        <v>4112.64</v>
      </c>
      <c r="BI27" s="975" t="n">
        <v>5473</v>
      </c>
      <c r="BJ27" s="976" t="n">
        <v>3502.72</v>
      </c>
      <c r="BK27" s="975" t="n">
        <v>6440</v>
      </c>
      <c r="BL27" s="976" t="n">
        <v>4121.6</v>
      </c>
      <c r="BM27" s="975" t="n">
        <v>3542</v>
      </c>
      <c r="BN27" s="976" t="n">
        <v>2266.88</v>
      </c>
      <c r="BO27" s="975" t="n">
        <v>5124</v>
      </c>
      <c r="BP27" s="976" t="n">
        <v>3279.36</v>
      </c>
      <c r="BQ27" s="975" t="n">
        <v>6335</v>
      </c>
      <c r="BR27" s="976" t="n">
        <v>4054.4</v>
      </c>
      <c r="BS27" s="975" t="n">
        <v>5614</v>
      </c>
      <c r="BT27" s="976" t="n">
        <v>3592.96</v>
      </c>
      <c r="BU27" s="975" t="n">
        <v>8190</v>
      </c>
      <c r="BV27" s="976" t="n">
        <v>5241.6</v>
      </c>
      <c r="BW27" s="975" t="n">
        <v>8190</v>
      </c>
      <c r="BX27" s="976" t="n">
        <v>5241.6</v>
      </c>
      <c r="BY27" s="975" t="n">
        <v>5670</v>
      </c>
      <c r="BZ27" s="976" t="n">
        <v>3628.8</v>
      </c>
      <c r="CA27" s="975" t="n">
        <v>5670</v>
      </c>
      <c r="CB27" s="976" t="n">
        <v>3628.8</v>
      </c>
      <c r="CC27" s="975" t="n">
        <v>6510</v>
      </c>
      <c r="CD27" s="976" t="n">
        <v>4166.4</v>
      </c>
      <c r="CE27" s="979">
        <f>(BG27+BI27+BK27+BM27+BO27+BQ27+BS27+BU27+BW27+BY27+CA27)/11</f>
        <v/>
      </c>
      <c r="CF27" s="976">
        <f>(BH27+BJ27+BL27+BN27+BP27+BR27+BT27+BV27+BX27+BZ27+CB27)/11</f>
        <v/>
      </c>
      <c r="CG27" s="977" t="n">
        <v>6098.666666666667</v>
      </c>
      <c r="CH27" s="978" t="n">
        <v>3903.146666666667</v>
      </c>
      <c r="CI27" s="15" t="n">
        <v>0.6924087579811466</v>
      </c>
      <c r="CJ27" s="15" t="n"/>
      <c r="CK27" s="982" t="n">
        <v>6650</v>
      </c>
      <c r="CL27" s="976" t="n">
        <v>4256</v>
      </c>
      <c r="CM27" s="982" t="n">
        <v>3500</v>
      </c>
      <c r="CN27" s="15" t="n">
        <v>2240</v>
      </c>
      <c r="CO27" s="982" t="n">
        <v>6762</v>
      </c>
      <c r="CP27" s="15" t="n">
        <v>4327.68</v>
      </c>
      <c r="CQ27" s="982" t="n">
        <v>3514</v>
      </c>
      <c r="CR27" s="15" t="n">
        <v>2248.96</v>
      </c>
      <c r="CS27" s="982" t="n">
        <v>4410</v>
      </c>
      <c r="CT27" s="15" t="n">
        <v>2822.4</v>
      </c>
      <c r="CU27" s="982" t="n">
        <v>6356</v>
      </c>
      <c r="CV27" s="15" t="n">
        <v>4067.84</v>
      </c>
      <c r="CW27" s="982" t="n">
        <v>5292</v>
      </c>
      <c r="CX27" s="15" t="n">
        <v>3386.88</v>
      </c>
      <c r="CY27" s="982" t="n">
        <v>5614</v>
      </c>
      <c r="CZ27" s="15" t="n">
        <v>3592.96</v>
      </c>
      <c r="DA27" s="982" t="n">
        <v>5390</v>
      </c>
      <c r="DB27" s="15" t="n">
        <v>3449.6</v>
      </c>
      <c r="DC27" s="982" t="n">
        <v>4522</v>
      </c>
      <c r="DD27" s="15" t="n">
        <v>2894.08</v>
      </c>
      <c r="DE27" s="982" t="n">
        <v>3724</v>
      </c>
      <c r="DF27" s="15" t="n">
        <v>2383.36</v>
      </c>
      <c r="DG27" s="982" t="n">
        <v>4900</v>
      </c>
      <c r="DH27" s="15" t="n">
        <v>3136</v>
      </c>
      <c r="DI27" s="983">
        <f>CK27+CM27+CO27+CQ27+CS27+CU27+CW27+CY27+DA27+DC27+DE27+DG27</f>
        <v/>
      </c>
      <c r="DJ27" s="983">
        <f>CL27+CN27+CP27+CR27+CT27+CV27+CX27+CZ27+DB27+DD27+DF27+DH27</f>
        <v/>
      </c>
      <c r="DK27" s="983">
        <f>(CK27+CM27)/2</f>
        <v/>
      </c>
      <c r="DL27" s="984">
        <f>(CL27+CN27)/2</f>
        <v/>
      </c>
      <c r="DM27" s="985">
        <f>DI27/12</f>
        <v/>
      </c>
      <c r="DN27" s="1129">
        <f>DJ27/12</f>
        <v/>
      </c>
      <c r="DO27" s="69">
        <f>DN27/$DN$57%</f>
        <v/>
      </c>
      <c r="DP27" s="982" t="n">
        <v>5698</v>
      </c>
      <c r="DQ27" s="976" t="n">
        <v>3646.72</v>
      </c>
      <c r="DR27" s="975" t="n">
        <v>3360</v>
      </c>
      <c r="DS27" s="976" t="n">
        <v>2150.4</v>
      </c>
      <c r="DT27" s="982" t="n"/>
      <c r="DU27" s="15" t="n"/>
      <c r="DV27" s="982" t="n"/>
      <c r="DW27" s="15" t="n"/>
      <c r="DX27" s="982" t="n"/>
      <c r="DY27" s="15" t="n"/>
      <c r="DZ27" s="982" t="n"/>
      <c r="EA27" s="15" t="n"/>
      <c r="EB27" s="982" t="n"/>
      <c r="EC27" s="15" t="n"/>
      <c r="ED27" s="982" t="n"/>
      <c r="EE27" s="15" t="n"/>
      <c r="EF27" s="982" t="n"/>
      <c r="EG27" s="15" t="n"/>
      <c r="EH27" s="982" t="n"/>
      <c r="EI27" s="15" t="n"/>
      <c r="EJ27" s="982" t="n"/>
      <c r="EK27" s="15" t="n"/>
      <c r="EL27" s="982" t="n"/>
      <c r="EM27" s="15" t="n"/>
      <c r="EN27" s="983">
        <f>DP27+DR27+DT27+DV27+DX27+DZ27+EB27+ED27+EF27+EH27+EJ27+EL27</f>
        <v/>
      </c>
      <c r="EO27" s="983">
        <f>DQ27+DS27+DU27+DW27+DY27+EA27+EC27+EE27+EG27+EI27+EK27+EM27</f>
        <v/>
      </c>
      <c r="EP27" s="985">
        <f>EN27/2</f>
        <v/>
      </c>
      <c r="EQ27" s="1129">
        <f>EO27/2</f>
        <v/>
      </c>
      <c r="ER27" s="535">
        <f>EQ27/$EQ$57%</f>
        <v/>
      </c>
      <c r="ES27" s="1130">
        <f>ER27-DO27</f>
        <v/>
      </c>
      <c r="ET27" s="1130">
        <f>EQ27/DL27*100-100</f>
        <v/>
      </c>
      <c r="EU27" s="1130">
        <f>EQ27/DN27*100-100</f>
        <v/>
      </c>
      <c r="EV27" s="1130">
        <f>EQ27-DN27</f>
        <v/>
      </c>
      <c r="EW27" s="1000">
        <f>EQ27-DL27</f>
        <v/>
      </c>
      <c r="EX27" s="1130">
        <f>EV27/14</f>
        <v/>
      </c>
      <c r="EY27" s="1130">
        <f>EW27/14</f>
        <v/>
      </c>
      <c r="EZ27" s="1130">
        <f>EY27*2</f>
        <v/>
      </c>
    </row>
    <row r="28" customFormat="1" s="251">
      <c r="A28" s="246" t="n"/>
      <c r="B28" s="247" t="inlineStr">
        <is>
          <t>2 in 1 Magi</t>
        </is>
      </c>
      <c r="C28" s="247" t="n"/>
      <c r="D28" s="246" t="n"/>
      <c r="E28" s="246" t="n"/>
      <c r="F28" s="246" t="n"/>
      <c r="G28" s="1131" t="n"/>
      <c r="H28" s="1132" t="n"/>
      <c r="I28" s="1131" t="n"/>
      <c r="J28" s="1132" t="n"/>
      <c r="K28" s="1131" t="n"/>
      <c r="L28" s="1132" t="n"/>
      <c r="M28" s="1131" t="n"/>
      <c r="N28" s="1132" t="n"/>
      <c r="O28" s="1131" t="n"/>
      <c r="P28" s="1132" t="n"/>
      <c r="Q28" s="1131" t="n"/>
      <c r="R28" s="1132" t="n"/>
      <c r="S28" s="1131" t="n"/>
      <c r="T28" s="1132" t="n"/>
      <c r="U28" s="1131" t="n"/>
      <c r="V28" s="1132" t="n"/>
      <c r="W28" s="1131" t="n"/>
      <c r="X28" s="1132" t="n"/>
      <c r="Y28" s="1131" t="n"/>
      <c r="Z28" s="1132" t="n"/>
      <c r="AA28" s="1131" t="n"/>
      <c r="AB28" s="1132" t="n"/>
      <c r="AC28" s="1131" t="n"/>
      <c r="AD28" s="1132" t="n"/>
      <c r="AE28" s="1131" t="n"/>
      <c r="AF28" s="1132" t="n"/>
      <c r="AG28" s="1131" t="n"/>
      <c r="AH28" s="1132" t="n"/>
      <c r="AI28" s="1131" t="n"/>
      <c r="AJ28" s="1132" t="n"/>
      <c r="AK28" s="1131" t="n"/>
      <c r="AL28" s="1132" t="n"/>
      <c r="AM28" s="1131" t="n"/>
      <c r="AN28" s="1132" t="n"/>
      <c r="AO28" s="1131" t="n"/>
      <c r="AP28" s="1132" t="n"/>
      <c r="AQ28" s="1131" t="n"/>
      <c r="AR28" s="1132" t="n"/>
      <c r="AS28" s="1131" t="n"/>
      <c r="AT28" s="1132" t="n"/>
      <c r="AU28" s="1131" t="n"/>
      <c r="AV28" s="1132" t="n"/>
      <c r="AW28" s="1131" t="n"/>
      <c r="AX28" s="1132" t="n"/>
      <c r="AY28" s="1131" t="n"/>
      <c r="AZ28" s="1132" t="n"/>
      <c r="BA28" s="1131" t="n"/>
      <c r="BB28" s="1132" t="n"/>
      <c r="BC28" s="1131" t="n"/>
      <c r="BD28" s="1132" t="n"/>
      <c r="BE28" s="1131" t="n"/>
      <c r="BF28" s="1132" t="n"/>
      <c r="BG28" s="1131" t="n"/>
      <c r="BH28" s="1132" t="n"/>
      <c r="BI28" s="1131" t="n"/>
      <c r="BJ28" s="1132" t="n"/>
      <c r="BK28" s="1131" t="n"/>
      <c r="BL28" s="1132" t="n"/>
      <c r="BM28" s="1131" t="n"/>
      <c r="BN28" s="1132" t="n"/>
      <c r="BO28" s="1131" t="n"/>
      <c r="BP28" s="1132" t="n"/>
      <c r="BQ28" s="1131" t="n"/>
      <c r="BR28" s="1132" t="n"/>
      <c r="BS28" s="1131" t="n"/>
      <c r="BT28" s="1132" t="n"/>
      <c r="BU28" s="1131" t="n"/>
      <c r="BV28" s="1132" t="n"/>
      <c r="BW28" s="1131" t="n"/>
      <c r="BX28" s="1132" t="n"/>
      <c r="BY28" s="1131" t="n"/>
      <c r="BZ28" s="1132" t="n"/>
      <c r="CA28" s="1131" t="n"/>
      <c r="CB28" s="1132" t="n"/>
      <c r="CC28" s="1131" t="n"/>
      <c r="CD28" s="1132" t="n"/>
      <c r="CE28" s="1133" t="n"/>
      <c r="CF28" s="1132" t="n"/>
      <c r="CG28" s="1131">
        <f>SUM(CG27)</f>
        <v/>
      </c>
      <c r="CH28" s="1131">
        <f>SUM(CH27)</f>
        <v/>
      </c>
      <c r="CI28" s="504" t="n"/>
      <c r="CJ28" s="504" t="n"/>
      <c r="CK28" s="1140" t="n"/>
      <c r="CL28" s="1132" t="n"/>
      <c r="CM28" s="1140" t="n"/>
      <c r="CN28" s="504" t="n"/>
      <c r="CO28" s="1140" t="n"/>
      <c r="CP28" s="504" t="n"/>
      <c r="CQ28" s="1140" t="n"/>
      <c r="CR28" s="504" t="n"/>
      <c r="CS28" s="1140" t="n"/>
      <c r="CT28" s="504" t="n"/>
      <c r="CU28" s="1140" t="n"/>
      <c r="CV28" s="504" t="n"/>
      <c r="CW28" s="1140" t="n"/>
      <c r="CX28" s="504" t="n"/>
      <c r="CY28" s="1140" t="n"/>
      <c r="CZ28" s="504" t="n"/>
      <c r="DA28" s="1140" t="n"/>
      <c r="DB28" s="504" t="n"/>
      <c r="DC28" s="1140" t="n"/>
      <c r="DD28" s="504" t="n"/>
      <c r="DE28" s="1140" t="n"/>
      <c r="DF28" s="504" t="n"/>
      <c r="DG28" s="1140">
        <f>SUM(DG27)</f>
        <v/>
      </c>
      <c r="DH28" s="1140">
        <f>SUM(DH27)</f>
        <v/>
      </c>
      <c r="DI28" s="1140">
        <f>SUM(DI27)</f>
        <v/>
      </c>
      <c r="DJ28" s="1140">
        <f>SUM(DJ27)</f>
        <v/>
      </c>
      <c r="DK28" s="1134">
        <f>(CK28+CM28)/2</f>
        <v/>
      </c>
      <c r="DL28" s="1135">
        <f>(CL28+CN28)/2</f>
        <v/>
      </c>
      <c r="DM28" s="1140">
        <f>SUM(DM27)</f>
        <v/>
      </c>
      <c r="DN28" s="1140">
        <f>SUM(DN27)</f>
        <v/>
      </c>
      <c r="DO28" s="1140">
        <f>SUM(DO27)</f>
        <v/>
      </c>
      <c r="DP28" s="1140">
        <f>SUM(DP27)</f>
        <v/>
      </c>
      <c r="DQ28" s="1140">
        <f>SUM(DQ27)</f>
        <v/>
      </c>
      <c r="DR28" s="1131">
        <f>SUM(DR27)</f>
        <v/>
      </c>
      <c r="DS28" s="1131">
        <f>SUM(DS27)</f>
        <v/>
      </c>
      <c r="DT28" s="1140">
        <f>SUM(DT27)</f>
        <v/>
      </c>
      <c r="DU28" s="1140">
        <f>SUM(DU27)</f>
        <v/>
      </c>
      <c r="DV28" s="1140">
        <f>SUM(DV27)</f>
        <v/>
      </c>
      <c r="DW28" s="1140">
        <f>SUM(DW27)</f>
        <v/>
      </c>
      <c r="DX28" s="1140">
        <f>SUM(DX27)</f>
        <v/>
      </c>
      <c r="DY28" s="1140">
        <f>SUM(DY27)</f>
        <v/>
      </c>
      <c r="DZ28" s="1140">
        <f>SUM(DZ27)</f>
        <v/>
      </c>
      <c r="EA28" s="1140">
        <f>SUM(EA27)</f>
        <v/>
      </c>
      <c r="EB28" s="1140">
        <f>SUM(EB27)</f>
        <v/>
      </c>
      <c r="EC28" s="1140">
        <f>SUM(EC27)</f>
        <v/>
      </c>
      <c r="ED28" s="1140">
        <f>SUM(ED27)</f>
        <v/>
      </c>
      <c r="EE28" s="1140">
        <f>SUM(EE27)</f>
        <v/>
      </c>
      <c r="EF28" s="1140">
        <f>SUM(EF27)</f>
        <v/>
      </c>
      <c r="EG28" s="1140">
        <f>SUM(EG27)</f>
        <v/>
      </c>
      <c r="EH28" s="1140">
        <f>SUM(EH27)</f>
        <v/>
      </c>
      <c r="EI28" s="1140">
        <f>SUM(EI27)</f>
        <v/>
      </c>
      <c r="EJ28" s="1140">
        <f>SUM(EJ27)</f>
        <v/>
      </c>
      <c r="EK28" s="1140">
        <f>SUM(EK27)</f>
        <v/>
      </c>
      <c r="EL28" s="1140">
        <f>SUM(EL27)</f>
        <v/>
      </c>
      <c r="EM28" s="1140">
        <f>SUM(EM27)</f>
        <v/>
      </c>
      <c r="EN28" s="1140">
        <f>SUM(EN27)</f>
        <v/>
      </c>
      <c r="EO28" s="1140">
        <f>SUM(EO27)</f>
        <v/>
      </c>
      <c r="EP28" s="1136">
        <f>EN28/2</f>
        <v/>
      </c>
      <c r="EQ28" s="1137">
        <f>EO28/2</f>
        <v/>
      </c>
      <c r="ER28" s="536">
        <f>EQ28/$EQ$57%</f>
        <v/>
      </c>
      <c r="ES28" s="1138">
        <f>ER28-DO28</f>
        <v/>
      </c>
      <c r="ET28" s="1138" t="n"/>
      <c r="EU28" s="1138">
        <f>EQ28/DN28*100-100</f>
        <v/>
      </c>
      <c r="EV28" s="1138">
        <f>EQ28-DN28</f>
        <v/>
      </c>
      <c r="EW28" s="1139">
        <f>EQ28-DL28</f>
        <v/>
      </c>
      <c r="EX28" s="1138">
        <f>EV28/14</f>
        <v/>
      </c>
      <c r="EY28" s="1138">
        <f>EW28/14</f>
        <v/>
      </c>
      <c r="EZ28" s="1138">
        <f>EY28*2</f>
        <v/>
      </c>
    </row>
    <row r="29">
      <c r="A29" s="7" t="n">
        <v>17</v>
      </c>
      <c r="B29" s="8" t="inlineStr">
        <is>
          <t xml:space="preserve">Dagon Tamarind </t>
        </is>
      </c>
      <c r="C29" s="8" t="inlineStr">
        <is>
          <t>ပုလင်း</t>
        </is>
      </c>
      <c r="D29" s="7" t="n">
        <v>0.64</v>
      </c>
      <c r="E29" s="7" t="inlineStr">
        <is>
          <t>1 * 14</t>
        </is>
      </c>
      <c r="F29" s="7" t="n">
        <v>1180</v>
      </c>
      <c r="G29" s="975" t="n"/>
      <c r="H29" s="976" t="n">
        <v>0</v>
      </c>
      <c r="I29" s="975" t="n"/>
      <c r="J29" s="976" t="n">
        <v>0</v>
      </c>
      <c r="K29" s="975" t="n"/>
      <c r="L29" s="976" t="n">
        <v>0</v>
      </c>
      <c r="M29" s="975" t="n"/>
      <c r="N29" s="976" t="n">
        <v>0</v>
      </c>
      <c r="O29" s="975" t="n"/>
      <c r="P29" s="976" t="n">
        <v>0</v>
      </c>
      <c r="Q29" s="975" t="n"/>
      <c r="R29" s="976" t="n">
        <v>0</v>
      </c>
      <c r="S29" s="975" t="n"/>
      <c r="T29" s="976" t="n">
        <v>0</v>
      </c>
      <c r="U29" s="975" t="n"/>
      <c r="V29" s="976" t="n">
        <v>0</v>
      </c>
      <c r="W29" s="975" t="n"/>
      <c r="X29" s="976" t="n">
        <v>0</v>
      </c>
      <c r="Y29" s="975" t="n"/>
      <c r="Z29" s="976" t="n">
        <v>0</v>
      </c>
      <c r="AA29" s="975" t="n"/>
      <c r="AB29" s="976" t="n">
        <v>0</v>
      </c>
      <c r="AC29" s="975" t="n"/>
      <c r="AD29" s="976" t="n">
        <v>0</v>
      </c>
      <c r="AE29" s="977" t="n">
        <v>0</v>
      </c>
      <c r="AF29" s="978" t="n">
        <v>0</v>
      </c>
      <c r="AG29" s="975" t="n"/>
      <c r="AH29" s="976" t="n">
        <v>0</v>
      </c>
      <c r="AI29" s="975" t="n"/>
      <c r="AJ29" s="976" t="n">
        <v>0</v>
      </c>
      <c r="AK29" s="975" t="n"/>
      <c r="AL29" s="976" t="n">
        <v>0</v>
      </c>
      <c r="AM29" s="975" t="n"/>
      <c r="AN29" s="976" t="n">
        <v>0</v>
      </c>
      <c r="AO29" s="975" t="n"/>
      <c r="AP29" s="976" t="n">
        <v>0</v>
      </c>
      <c r="AQ29" s="975" t="n"/>
      <c r="AR29" s="976" t="n">
        <v>0</v>
      </c>
      <c r="AS29" s="975" t="n"/>
      <c r="AT29" s="976" t="n">
        <v>0</v>
      </c>
      <c r="AU29" s="975" t="n"/>
      <c r="AV29" s="976" t="n">
        <v>0</v>
      </c>
      <c r="AW29" s="975" t="n"/>
      <c r="AX29" s="976" t="n">
        <v>0</v>
      </c>
      <c r="AY29" s="975" t="n"/>
      <c r="AZ29" s="976" t="n">
        <v>0</v>
      </c>
      <c r="BA29" s="975" t="n"/>
      <c r="BB29" s="976" t="n">
        <v>0</v>
      </c>
      <c r="BC29" s="975" t="n"/>
      <c r="BD29" s="976" t="n">
        <v>0</v>
      </c>
      <c r="BE29" s="977" t="n">
        <v>0</v>
      </c>
      <c r="BF29" s="978" t="n">
        <v>0</v>
      </c>
      <c r="BG29" s="975" t="n"/>
      <c r="BH29" s="976" t="n">
        <v>0</v>
      </c>
      <c r="BI29" s="975" t="n"/>
      <c r="BJ29" s="976" t="n">
        <v>0</v>
      </c>
      <c r="BK29" s="975" t="n">
        <v>2942</v>
      </c>
      <c r="BL29" s="976" t="n">
        <v>1882.88</v>
      </c>
      <c r="BM29" s="975" t="n">
        <v>651</v>
      </c>
      <c r="BN29" s="976" t="n">
        <v>416.64</v>
      </c>
      <c r="BO29" s="975" t="n">
        <v>2143</v>
      </c>
      <c r="BP29" s="976" t="n">
        <v>1371.52</v>
      </c>
      <c r="BQ29" s="975" t="n">
        <v>1267</v>
      </c>
      <c r="BR29" s="976" t="n">
        <v>810.88</v>
      </c>
      <c r="BS29" s="975" t="n">
        <v>371</v>
      </c>
      <c r="BT29" s="976" t="n">
        <v>237.44</v>
      </c>
      <c r="BU29" s="975" t="n">
        <v>336</v>
      </c>
      <c r="BV29" s="976" t="n">
        <v>215.04</v>
      </c>
      <c r="BW29" s="975" t="n">
        <v>770</v>
      </c>
      <c r="BX29" s="976" t="n">
        <v>492.8</v>
      </c>
      <c r="BY29" s="975" t="n">
        <v>3164</v>
      </c>
      <c r="BZ29" s="976" t="n">
        <v>2024.96</v>
      </c>
      <c r="CA29" s="975" t="n">
        <v>196</v>
      </c>
      <c r="CB29" s="976" t="n">
        <v>125.44</v>
      </c>
      <c r="CC29" s="975" t="n">
        <v>280</v>
      </c>
      <c r="CD29" s="976" t="n">
        <v>179.2</v>
      </c>
      <c r="CE29" s="979">
        <f>(BG29+BI29+BK29+BM29+BO29+BQ29+BS29+BU29+BW29+BY29+CA29)/11</f>
        <v/>
      </c>
      <c r="CF29" s="976">
        <f>(BH29+BJ29+BL29+BN29+BP29+BR29+BT29+BV29+BX29+BZ29+CB29)/11</f>
        <v/>
      </c>
      <c r="CG29" s="977" t="n">
        <v>1010</v>
      </c>
      <c r="CH29" s="978" t="n">
        <v>646.4</v>
      </c>
      <c r="CI29" s="15" t="n">
        <v>0.1146697932161606</v>
      </c>
      <c r="CJ29" s="15" t="n"/>
      <c r="CK29" s="982" t="n">
        <v>210</v>
      </c>
      <c r="CL29" s="976" t="n">
        <v>134.4</v>
      </c>
      <c r="CM29" s="982" t="n">
        <v>168</v>
      </c>
      <c r="CN29" s="15" t="n">
        <v>107.52</v>
      </c>
      <c r="CO29" s="982" t="n">
        <v>686</v>
      </c>
      <c r="CP29" s="15" t="n">
        <v>439.04</v>
      </c>
      <c r="CQ29" s="982" t="n">
        <v>112</v>
      </c>
      <c r="CR29" s="15" t="n">
        <v>71.68000000000001</v>
      </c>
      <c r="CS29" s="982" t="n">
        <v>294</v>
      </c>
      <c r="CT29" s="15" t="n">
        <v>188.16</v>
      </c>
      <c r="CU29" s="982" t="n">
        <v>126</v>
      </c>
      <c r="CV29" s="15" t="n">
        <v>80.64</v>
      </c>
      <c r="CW29" s="982" t="n">
        <v>182</v>
      </c>
      <c r="CX29" s="15" t="n">
        <v>116.48</v>
      </c>
      <c r="CY29" s="982" t="n">
        <v>210</v>
      </c>
      <c r="CZ29" s="15" t="n">
        <v>134.4</v>
      </c>
      <c r="DA29" s="982" t="n">
        <v>154</v>
      </c>
      <c r="DB29" s="15" t="n">
        <v>98.56</v>
      </c>
      <c r="DC29" s="982" t="n">
        <v>210</v>
      </c>
      <c r="DD29" s="15" t="n">
        <v>134.4</v>
      </c>
      <c r="DE29" s="982" t="n">
        <v>196</v>
      </c>
      <c r="DF29" s="15" t="n">
        <v>125.44</v>
      </c>
      <c r="DG29" s="982" t="n">
        <v>210</v>
      </c>
      <c r="DH29" s="15" t="n">
        <v>134.4</v>
      </c>
      <c r="DI29" s="983">
        <f>CK29+CM29+CO29+CQ29+CS29+CU29+CW29+CY29+DA29+DC29+DE29+DG29</f>
        <v/>
      </c>
      <c r="DJ29" s="983">
        <f>CL29+CN29+CP29+CR29+CT29+CV29+CX29+CZ29+DB29+DD29+DF29+DH29</f>
        <v/>
      </c>
      <c r="DK29" s="983">
        <f>(CK29+CM29)/2</f>
        <v/>
      </c>
      <c r="DL29" s="984">
        <f>(CL29+CN29)/2</f>
        <v/>
      </c>
      <c r="DM29" s="985">
        <f>DI29/12</f>
        <v/>
      </c>
      <c r="DN29" s="1129">
        <f>DJ29/12</f>
        <v/>
      </c>
      <c r="DO29" s="69">
        <f>DN29/$DN$57%</f>
        <v/>
      </c>
      <c r="DP29" s="982" t="n">
        <v>210</v>
      </c>
      <c r="DQ29" s="976" t="n">
        <v>134.4</v>
      </c>
      <c r="DR29" s="975" t="n">
        <v>224</v>
      </c>
      <c r="DS29" s="976" t="n">
        <v>143.36</v>
      </c>
      <c r="DT29" s="982" t="n"/>
      <c r="DU29" s="15" t="n"/>
      <c r="DV29" s="982" t="n"/>
      <c r="DW29" s="15" t="n"/>
      <c r="DX29" s="982" t="n"/>
      <c r="DY29" s="15" t="n"/>
      <c r="DZ29" s="982" t="n"/>
      <c r="EA29" s="15" t="n"/>
      <c r="EB29" s="982" t="n"/>
      <c r="EC29" s="15" t="n"/>
      <c r="ED29" s="982" t="n"/>
      <c r="EE29" s="15" t="n"/>
      <c r="EF29" s="982" t="n"/>
      <c r="EG29" s="15" t="n"/>
      <c r="EH29" s="982" t="n"/>
      <c r="EI29" s="15" t="n"/>
      <c r="EJ29" s="982" t="n"/>
      <c r="EK29" s="15" t="n"/>
      <c r="EL29" s="982" t="n"/>
      <c r="EM29" s="15" t="n"/>
      <c r="EN29" s="983">
        <f>DP29+DR29+DT29+DV29+DX29+DZ29+EB29+ED29+EF29+EH29+EJ29+EL29</f>
        <v/>
      </c>
      <c r="EO29" s="983">
        <f>DQ29+DS29+DU29+DW29+DY29+EA29+EC29+EE29+EG29+EI29+EK29+EM29</f>
        <v/>
      </c>
      <c r="EP29" s="985">
        <f>EN29/2</f>
        <v/>
      </c>
      <c r="EQ29" s="1129">
        <f>EO29/2</f>
        <v/>
      </c>
      <c r="ER29" s="535">
        <f>EQ29/$EQ$57%</f>
        <v/>
      </c>
      <c r="ES29" s="1130">
        <f>ER29-DO29</f>
        <v/>
      </c>
      <c r="ET29" s="1130">
        <f>EQ29/DL29*100-100</f>
        <v/>
      </c>
      <c r="EU29" s="1130">
        <f>EQ29/DN29*100-100</f>
        <v/>
      </c>
      <c r="EV29" s="1130">
        <f>EQ29-DN29</f>
        <v/>
      </c>
      <c r="EW29" s="1000">
        <f>EQ29-DL29</f>
        <v/>
      </c>
      <c r="EX29" s="1130">
        <f>EV29/14</f>
        <v/>
      </c>
      <c r="EY29" s="1130">
        <f>EW29/14</f>
        <v/>
      </c>
      <c r="EZ29" s="1130">
        <f>EY29*2</f>
        <v/>
      </c>
    </row>
    <row r="30" customFormat="1" s="251">
      <c r="A30" s="246" t="n"/>
      <c r="B30" s="247" t="inlineStr">
        <is>
          <t xml:space="preserve">Dagon Tamarind </t>
        </is>
      </c>
      <c r="C30" s="247" t="n"/>
      <c r="D30" s="246" t="n"/>
      <c r="E30" s="246" t="n"/>
      <c r="F30" s="246" t="n"/>
      <c r="G30" s="1131" t="n"/>
      <c r="H30" s="1132" t="n"/>
      <c r="I30" s="1131" t="n"/>
      <c r="J30" s="1132" t="n"/>
      <c r="K30" s="1131" t="n"/>
      <c r="L30" s="1132" t="n"/>
      <c r="M30" s="1131" t="n"/>
      <c r="N30" s="1132" t="n"/>
      <c r="O30" s="1131" t="n"/>
      <c r="P30" s="1132" t="n"/>
      <c r="Q30" s="1131" t="n"/>
      <c r="R30" s="1132" t="n"/>
      <c r="S30" s="1131" t="n"/>
      <c r="T30" s="1132" t="n"/>
      <c r="U30" s="1131" t="n"/>
      <c r="V30" s="1132" t="n"/>
      <c r="W30" s="1131" t="n"/>
      <c r="X30" s="1132" t="n"/>
      <c r="Y30" s="1131" t="n"/>
      <c r="Z30" s="1132" t="n"/>
      <c r="AA30" s="1131" t="n"/>
      <c r="AB30" s="1132" t="n"/>
      <c r="AC30" s="1131" t="n"/>
      <c r="AD30" s="1132" t="n"/>
      <c r="AE30" s="1131" t="n"/>
      <c r="AF30" s="1132" t="n"/>
      <c r="AG30" s="1131" t="n"/>
      <c r="AH30" s="1132" t="n"/>
      <c r="AI30" s="1131" t="n"/>
      <c r="AJ30" s="1132" t="n"/>
      <c r="AK30" s="1131" t="n"/>
      <c r="AL30" s="1132" t="n"/>
      <c r="AM30" s="1131" t="n"/>
      <c r="AN30" s="1132" t="n"/>
      <c r="AO30" s="1131" t="n"/>
      <c r="AP30" s="1132" t="n"/>
      <c r="AQ30" s="1131" t="n"/>
      <c r="AR30" s="1132" t="n"/>
      <c r="AS30" s="1131" t="n"/>
      <c r="AT30" s="1132" t="n"/>
      <c r="AU30" s="1131" t="n"/>
      <c r="AV30" s="1132" t="n"/>
      <c r="AW30" s="1131" t="n"/>
      <c r="AX30" s="1132" t="n"/>
      <c r="AY30" s="1131" t="n"/>
      <c r="AZ30" s="1132" t="n"/>
      <c r="BA30" s="1131" t="n"/>
      <c r="BB30" s="1132" t="n"/>
      <c r="BC30" s="1131" t="n"/>
      <c r="BD30" s="1132" t="n"/>
      <c r="BE30" s="1131" t="n"/>
      <c r="BF30" s="1132" t="n"/>
      <c r="BG30" s="1131" t="n"/>
      <c r="BH30" s="1132" t="n"/>
      <c r="BI30" s="1131" t="n"/>
      <c r="BJ30" s="1132" t="n"/>
      <c r="BK30" s="1131" t="n"/>
      <c r="BL30" s="1132" t="n"/>
      <c r="BM30" s="1131" t="n"/>
      <c r="BN30" s="1132" t="n"/>
      <c r="BO30" s="1131" t="n"/>
      <c r="BP30" s="1132" t="n"/>
      <c r="BQ30" s="1131" t="n"/>
      <c r="BR30" s="1132" t="n"/>
      <c r="BS30" s="1131" t="n"/>
      <c r="BT30" s="1132" t="n"/>
      <c r="BU30" s="1131" t="n"/>
      <c r="BV30" s="1132" t="n"/>
      <c r="BW30" s="1131" t="n"/>
      <c r="BX30" s="1132" t="n"/>
      <c r="BY30" s="1131" t="n"/>
      <c r="BZ30" s="1132" t="n"/>
      <c r="CA30" s="1131" t="n"/>
      <c r="CB30" s="1132" t="n"/>
      <c r="CC30" s="1131" t="n"/>
      <c r="CD30" s="1132" t="n"/>
      <c r="CE30" s="1133" t="n"/>
      <c r="CF30" s="1132" t="n"/>
      <c r="CG30" s="1131">
        <f>SUM(CG29)</f>
        <v/>
      </c>
      <c r="CH30" s="1131">
        <f>SUM(CH29)</f>
        <v/>
      </c>
      <c r="CI30" s="504" t="n"/>
      <c r="CJ30" s="504" t="n"/>
      <c r="CK30" s="1140" t="n"/>
      <c r="CL30" s="1132" t="n"/>
      <c r="CM30" s="1140" t="n"/>
      <c r="CN30" s="504" t="n"/>
      <c r="CO30" s="1140" t="n"/>
      <c r="CP30" s="504" t="n"/>
      <c r="CQ30" s="1140" t="n"/>
      <c r="CR30" s="504" t="n"/>
      <c r="CS30" s="1140" t="n"/>
      <c r="CT30" s="504" t="n"/>
      <c r="CU30" s="1140" t="n"/>
      <c r="CV30" s="504" t="n"/>
      <c r="CW30" s="1140" t="n"/>
      <c r="CX30" s="504" t="n"/>
      <c r="CY30" s="1140" t="n"/>
      <c r="CZ30" s="504" t="n"/>
      <c r="DA30" s="1140" t="n"/>
      <c r="DB30" s="504" t="n"/>
      <c r="DC30" s="1140" t="n"/>
      <c r="DD30" s="504" t="n"/>
      <c r="DE30" s="1140" t="n"/>
      <c r="DF30" s="504" t="n"/>
      <c r="DG30" s="1140">
        <f>SUM(DG29)</f>
        <v/>
      </c>
      <c r="DH30" s="1140">
        <f>SUM(DH29)</f>
        <v/>
      </c>
      <c r="DI30" s="1140">
        <f>SUM(DI29)</f>
        <v/>
      </c>
      <c r="DJ30" s="1140">
        <f>SUM(DJ29)</f>
        <v/>
      </c>
      <c r="DK30" s="1134">
        <f>(CK30+CM30)/2</f>
        <v/>
      </c>
      <c r="DL30" s="1135">
        <f>(CL30+CN30)/2</f>
        <v/>
      </c>
      <c r="DM30" s="1140">
        <f>SUM(DM29)</f>
        <v/>
      </c>
      <c r="DN30" s="1140">
        <f>SUM(DN29)</f>
        <v/>
      </c>
      <c r="DO30" s="1140">
        <f>SUM(DO29)</f>
        <v/>
      </c>
      <c r="DP30" s="1140">
        <f>SUM(DP29)</f>
        <v/>
      </c>
      <c r="DQ30" s="1140">
        <f>SUM(DQ29)</f>
        <v/>
      </c>
      <c r="DR30" s="1131">
        <f>SUM(DR29)</f>
        <v/>
      </c>
      <c r="DS30" s="1131">
        <f>SUM(DS29)</f>
        <v/>
      </c>
      <c r="DT30" s="1140">
        <f>SUM(DT29)</f>
        <v/>
      </c>
      <c r="DU30" s="1140">
        <f>SUM(DU29)</f>
        <v/>
      </c>
      <c r="DV30" s="1140">
        <f>SUM(DV29)</f>
        <v/>
      </c>
      <c r="DW30" s="1140">
        <f>SUM(DW29)</f>
        <v/>
      </c>
      <c r="DX30" s="1140">
        <f>SUM(DX29)</f>
        <v/>
      </c>
      <c r="DY30" s="1140">
        <f>SUM(DY29)</f>
        <v/>
      </c>
      <c r="DZ30" s="1140">
        <f>SUM(DZ29)</f>
        <v/>
      </c>
      <c r="EA30" s="1140">
        <f>SUM(EA29)</f>
        <v/>
      </c>
      <c r="EB30" s="1140">
        <f>SUM(EB29)</f>
        <v/>
      </c>
      <c r="EC30" s="1140">
        <f>SUM(EC29)</f>
        <v/>
      </c>
      <c r="ED30" s="1140">
        <f>SUM(ED29)</f>
        <v/>
      </c>
      <c r="EE30" s="1140">
        <f>SUM(EE29)</f>
        <v/>
      </c>
      <c r="EF30" s="1140">
        <f>SUM(EF29)</f>
        <v/>
      </c>
      <c r="EG30" s="1140">
        <f>SUM(EG29)</f>
        <v/>
      </c>
      <c r="EH30" s="1140">
        <f>SUM(EH29)</f>
        <v/>
      </c>
      <c r="EI30" s="1140">
        <f>SUM(EI29)</f>
        <v/>
      </c>
      <c r="EJ30" s="1140">
        <f>SUM(EJ29)</f>
        <v/>
      </c>
      <c r="EK30" s="1140">
        <f>SUM(EK29)</f>
        <v/>
      </c>
      <c r="EL30" s="1140">
        <f>SUM(EL29)</f>
        <v/>
      </c>
      <c r="EM30" s="1140">
        <f>SUM(EM29)</f>
        <v/>
      </c>
      <c r="EN30" s="1140">
        <f>SUM(EN29)</f>
        <v/>
      </c>
      <c r="EO30" s="1140">
        <f>SUM(EO29)</f>
        <v/>
      </c>
      <c r="EP30" s="1136">
        <f>EN30/2</f>
        <v/>
      </c>
      <c r="EQ30" s="1137">
        <f>EO30/2</f>
        <v/>
      </c>
      <c r="ER30" s="536">
        <f>EQ30/$EQ$57%</f>
        <v/>
      </c>
      <c r="ES30" s="1138">
        <f>ER30-DO30</f>
        <v/>
      </c>
      <c r="ET30" s="1138" t="n"/>
      <c r="EU30" s="1138">
        <f>EQ30/DN30*100-100</f>
        <v/>
      </c>
      <c r="EV30" s="1138">
        <f>EQ30-DN30</f>
        <v/>
      </c>
      <c r="EW30" s="1139">
        <f>EQ30-DL30</f>
        <v/>
      </c>
      <c r="EX30" s="1138">
        <f>EV30/14</f>
        <v/>
      </c>
      <c r="EY30" s="1138">
        <f>EW30/14</f>
        <v/>
      </c>
      <c r="EZ30" s="1138">
        <f>EY30*2</f>
        <v/>
      </c>
    </row>
    <row r="31">
      <c r="A31" s="7" t="n">
        <v>18</v>
      </c>
      <c r="B31" s="8" t="inlineStr">
        <is>
          <t xml:space="preserve">Dagon Pineapple </t>
        </is>
      </c>
      <c r="C31" s="8" t="inlineStr">
        <is>
          <t>ပုလင်း</t>
        </is>
      </c>
      <c r="D31" s="7" t="n">
        <v>0.64</v>
      </c>
      <c r="E31" s="7" t="inlineStr">
        <is>
          <t>1 * 24</t>
        </is>
      </c>
      <c r="F31" s="7" t="n">
        <v>1230</v>
      </c>
      <c r="G31" s="975" t="n">
        <v>12312</v>
      </c>
      <c r="H31" s="976" t="n">
        <v>7879.68</v>
      </c>
      <c r="I31" s="975" t="n">
        <v>9552</v>
      </c>
      <c r="J31" s="976" t="n">
        <v>6113.28</v>
      </c>
      <c r="K31" s="975" t="n">
        <v>17280</v>
      </c>
      <c r="L31" s="976" t="n">
        <v>11059.2</v>
      </c>
      <c r="M31" s="975" t="n">
        <v>8328</v>
      </c>
      <c r="N31" s="976" t="n">
        <v>5329.92</v>
      </c>
      <c r="O31" s="975" t="n">
        <v>8640</v>
      </c>
      <c r="P31" s="976" t="n">
        <v>5529.6</v>
      </c>
      <c r="Q31" s="975" t="n">
        <v>15312</v>
      </c>
      <c r="R31" s="976" t="n">
        <v>9799.68</v>
      </c>
      <c r="S31" s="975" t="n">
        <v>10944</v>
      </c>
      <c r="T31" s="976" t="n">
        <v>7004.16</v>
      </c>
      <c r="U31" s="975" t="n">
        <v>12888</v>
      </c>
      <c r="V31" s="976" t="n">
        <v>8248.32</v>
      </c>
      <c r="W31" s="975" t="n">
        <v>11496</v>
      </c>
      <c r="X31" s="976" t="n">
        <v>7357.440000000001</v>
      </c>
      <c r="Y31" s="975" t="n">
        <v>8736</v>
      </c>
      <c r="Z31" s="976" t="n">
        <v>5591.04</v>
      </c>
      <c r="AA31" s="975" t="n">
        <v>5760</v>
      </c>
      <c r="AB31" s="976" t="n">
        <v>3686.4</v>
      </c>
      <c r="AC31" s="975" t="n">
        <v>13536</v>
      </c>
      <c r="AD31" s="976" t="n">
        <v>8663.040000000001</v>
      </c>
      <c r="AE31" s="977" t="n">
        <v>11232</v>
      </c>
      <c r="AF31" s="978" t="n">
        <v>7188.48</v>
      </c>
      <c r="AG31" s="975" t="n">
        <v>15072</v>
      </c>
      <c r="AH31" s="976" t="n">
        <v>9646.08</v>
      </c>
      <c r="AI31" s="975" t="n">
        <v>5352</v>
      </c>
      <c r="AJ31" s="976" t="n">
        <v>3425.28</v>
      </c>
      <c r="AK31" s="975" t="n">
        <v>11496</v>
      </c>
      <c r="AL31" s="976" t="n">
        <v>7357.440000000001</v>
      </c>
      <c r="AM31" s="975" t="n">
        <v>10296</v>
      </c>
      <c r="AN31" s="976" t="n">
        <v>6589.440000000001</v>
      </c>
      <c r="AO31" s="975" t="n">
        <v>9336</v>
      </c>
      <c r="AP31" s="976" t="n">
        <v>5975.04</v>
      </c>
      <c r="AQ31" s="975" t="n">
        <v>11016</v>
      </c>
      <c r="AR31" s="976" t="n">
        <v>7050.24</v>
      </c>
      <c r="AS31" s="975" t="n">
        <v>13056</v>
      </c>
      <c r="AT31" s="976" t="n">
        <v>8355.84</v>
      </c>
      <c r="AU31" s="975" t="n">
        <v>14400</v>
      </c>
      <c r="AV31" s="976" t="n">
        <v>9216</v>
      </c>
      <c r="AW31" s="975" t="n">
        <v>12576</v>
      </c>
      <c r="AX31" s="976" t="n">
        <v>8048.64</v>
      </c>
      <c r="AY31" s="975" t="n">
        <v>10680</v>
      </c>
      <c r="AZ31" s="976" t="n">
        <v>6835.2</v>
      </c>
      <c r="BA31" s="975" t="n">
        <v>6942</v>
      </c>
      <c r="BB31" s="976" t="n">
        <v>4442.88</v>
      </c>
      <c r="BC31" s="975" t="n">
        <v>17568</v>
      </c>
      <c r="BD31" s="976" t="n">
        <v>11243.52</v>
      </c>
      <c r="BE31" s="977" t="n">
        <v>11482.5</v>
      </c>
      <c r="BF31" s="978" t="n">
        <v>7348.8</v>
      </c>
      <c r="BG31" s="975" t="n">
        <v>5832</v>
      </c>
      <c r="BH31" s="976" t="n">
        <v>3732.48</v>
      </c>
      <c r="BI31" s="975" t="n">
        <v>7320</v>
      </c>
      <c r="BJ31" s="976" t="n">
        <v>4684.8</v>
      </c>
      <c r="BK31" s="975" t="n">
        <v>12024</v>
      </c>
      <c r="BL31" s="976" t="n">
        <v>7695.360000000001</v>
      </c>
      <c r="BM31" s="975" t="n">
        <v>6528</v>
      </c>
      <c r="BN31" s="976" t="n">
        <v>4177.92</v>
      </c>
      <c r="BO31" s="975" t="n">
        <v>7944</v>
      </c>
      <c r="BP31" s="976" t="n">
        <v>5084.16</v>
      </c>
      <c r="BQ31" s="975" t="n">
        <v>9492</v>
      </c>
      <c r="BR31" s="976" t="n">
        <v>6074.88</v>
      </c>
      <c r="BS31" s="975" t="n">
        <v>11832</v>
      </c>
      <c r="BT31" s="976" t="n">
        <v>7572.48</v>
      </c>
      <c r="BU31" s="975" t="n">
        <v>12852</v>
      </c>
      <c r="BV31" s="976" t="n">
        <v>8225.280000000001</v>
      </c>
      <c r="BW31" s="975" t="n">
        <v>10104</v>
      </c>
      <c r="BX31" s="976" t="n">
        <v>6466.56</v>
      </c>
      <c r="BY31" s="975" t="n">
        <v>12240</v>
      </c>
      <c r="BZ31" s="976" t="n">
        <v>7833.6</v>
      </c>
      <c r="CA31" s="975" t="n">
        <v>8880</v>
      </c>
      <c r="CB31" s="976" t="n">
        <v>5683.2</v>
      </c>
      <c r="CC31" s="975" t="n">
        <v>12951</v>
      </c>
      <c r="CD31" s="976" t="n">
        <v>8288.639999999999</v>
      </c>
      <c r="CE31" s="979">
        <f>(BG31+BI31+BK31+BM31+BO31+BQ31+BS31+BU31+BW31+BY31+CA31)/11</f>
        <v/>
      </c>
      <c r="CF31" s="976">
        <f>(BH31+BJ31+BL31+BN31+BP31+BR31+BT31+BV31+BX31+BZ31+CB31)/11</f>
        <v/>
      </c>
      <c r="CG31" s="977" t="n">
        <v>9833.25</v>
      </c>
      <c r="CH31" s="978" t="n">
        <v>6293.28</v>
      </c>
      <c r="CI31" s="15" t="n">
        <v>1.116412617963179</v>
      </c>
      <c r="CJ31" s="15" t="n"/>
      <c r="CK31" s="982" t="n">
        <v>10968</v>
      </c>
      <c r="CL31" s="976" t="n">
        <v>7019.52</v>
      </c>
      <c r="CM31" s="982" t="n">
        <v>10200</v>
      </c>
      <c r="CN31" s="15" t="n">
        <v>6528</v>
      </c>
      <c r="CO31" s="982" t="n">
        <v>14808</v>
      </c>
      <c r="CP31" s="15" t="n">
        <v>9477.120000000001</v>
      </c>
      <c r="CQ31" s="982" t="n">
        <v>8928</v>
      </c>
      <c r="CR31" s="15" t="n">
        <v>5713.92</v>
      </c>
      <c r="CS31" s="982" t="n">
        <v>13152</v>
      </c>
      <c r="CT31" s="15" t="n">
        <v>8417.280000000001</v>
      </c>
      <c r="CU31" s="982" t="n">
        <v>13198</v>
      </c>
      <c r="CV31" s="15" t="n">
        <v>8446.719999999999</v>
      </c>
      <c r="CW31" s="982" t="n">
        <v>11976</v>
      </c>
      <c r="CX31" s="15" t="n">
        <v>7664.64</v>
      </c>
      <c r="CY31" s="982" t="n">
        <v>11280</v>
      </c>
      <c r="CZ31" s="15" t="n">
        <v>7219.2</v>
      </c>
      <c r="DA31" s="982" t="n">
        <v>8160</v>
      </c>
      <c r="DB31" s="15" t="n">
        <v>5222.400000000001</v>
      </c>
      <c r="DC31" s="982" t="n">
        <v>7848</v>
      </c>
      <c r="DD31" s="15" t="n">
        <v>5022.72</v>
      </c>
      <c r="DE31" s="982" t="n">
        <v>7464</v>
      </c>
      <c r="DF31" s="15" t="n">
        <v>4776.96</v>
      </c>
      <c r="DG31" s="982" t="n">
        <v>8880</v>
      </c>
      <c r="DH31" s="15" t="n">
        <v>5683.2</v>
      </c>
      <c r="DI31" s="983">
        <f>CK31+CM31+CO31+CQ31+CS31+CU31+CW31+CY31+DA31+DC31+DE31+DG31</f>
        <v/>
      </c>
      <c r="DJ31" s="983">
        <f>CL31+CN31+CP31+CR31+CT31+CV31+CX31+CZ31+DB31+DD31+DF31+DH31</f>
        <v/>
      </c>
      <c r="DK31" s="983">
        <f>(CK31+CM31)/2</f>
        <v/>
      </c>
      <c r="DL31" s="984">
        <f>(CL31+CN31)/2</f>
        <v/>
      </c>
      <c r="DM31" s="985">
        <f>DI31/12</f>
        <v/>
      </c>
      <c r="DN31" s="1129">
        <f>DJ31/12</f>
        <v/>
      </c>
      <c r="DO31" s="69">
        <f>DN31/$DN$57%</f>
        <v/>
      </c>
      <c r="DP31" s="982" t="n">
        <v>12360</v>
      </c>
      <c r="DQ31" s="976" t="n">
        <v>7910.400000000001</v>
      </c>
      <c r="DR31" s="975" t="n">
        <v>11496</v>
      </c>
      <c r="DS31" s="976" t="n">
        <v>7357.440000000001</v>
      </c>
      <c r="DT31" s="982" t="n"/>
      <c r="DU31" s="15" t="n"/>
      <c r="DV31" s="982" t="n"/>
      <c r="DW31" s="15" t="n"/>
      <c r="DX31" s="982" t="n"/>
      <c r="DY31" s="15" t="n"/>
      <c r="DZ31" s="982" t="n"/>
      <c r="EA31" s="15" t="n"/>
      <c r="EB31" s="982" t="n"/>
      <c r="EC31" s="15" t="n"/>
      <c r="ED31" s="982" t="n"/>
      <c r="EE31" s="15" t="n"/>
      <c r="EF31" s="982" t="n"/>
      <c r="EG31" s="15" t="n"/>
      <c r="EH31" s="982" t="n"/>
      <c r="EI31" s="15" t="n"/>
      <c r="EJ31" s="982" t="n"/>
      <c r="EK31" s="15" t="n"/>
      <c r="EL31" s="982" t="n"/>
      <c r="EM31" s="15" t="n"/>
      <c r="EN31" s="983">
        <f>DP31+DR31+DT31+DV31+DX31+DZ31+EB31+ED31+EF31+EH31+EJ31+EL31</f>
        <v/>
      </c>
      <c r="EO31" s="983">
        <f>DQ31+DS31+DU31+DW31+DY31+EA31+EC31+EE31+EG31+EI31+EK31+EM31</f>
        <v/>
      </c>
      <c r="EP31" s="985">
        <f>EN31/2</f>
        <v/>
      </c>
      <c r="EQ31" s="1129">
        <f>EO31/2</f>
        <v/>
      </c>
      <c r="ER31" s="535">
        <f>EQ31/$EQ$57%</f>
        <v/>
      </c>
      <c r="ES31" s="1130">
        <f>ER31-DO31</f>
        <v/>
      </c>
      <c r="ET31" s="1130">
        <f>EQ31/DL31*100-100</f>
        <v/>
      </c>
      <c r="EU31" s="1130">
        <f>EQ31/DN31*100-100</f>
        <v/>
      </c>
      <c r="EV31" s="1130">
        <f>EQ31-DN31</f>
        <v/>
      </c>
      <c r="EW31" s="1000">
        <f>EQ31-DL31</f>
        <v/>
      </c>
      <c r="EX31" s="1130">
        <f>EV31/14</f>
        <v/>
      </c>
      <c r="EY31" s="1130">
        <f>EW31/14</f>
        <v/>
      </c>
      <c r="EZ31" s="1130">
        <f>EY31*2</f>
        <v/>
      </c>
    </row>
    <row r="32" customFormat="1" s="251">
      <c r="A32" s="246" t="n"/>
      <c r="B32" s="247" t="inlineStr">
        <is>
          <t xml:space="preserve">Dagon Pineapple </t>
        </is>
      </c>
      <c r="C32" s="247" t="n"/>
      <c r="D32" s="246" t="n"/>
      <c r="E32" s="246" t="n"/>
      <c r="F32" s="246" t="n"/>
      <c r="G32" s="1131" t="n"/>
      <c r="H32" s="1132" t="n"/>
      <c r="I32" s="1131" t="n"/>
      <c r="J32" s="1132" t="n"/>
      <c r="K32" s="1131" t="n"/>
      <c r="L32" s="1132" t="n"/>
      <c r="M32" s="1131" t="n"/>
      <c r="N32" s="1132" t="n"/>
      <c r="O32" s="1131" t="n"/>
      <c r="P32" s="1132" t="n"/>
      <c r="Q32" s="1131" t="n"/>
      <c r="R32" s="1132" t="n"/>
      <c r="S32" s="1131" t="n"/>
      <c r="T32" s="1132" t="n"/>
      <c r="U32" s="1131" t="n"/>
      <c r="V32" s="1132" t="n"/>
      <c r="W32" s="1131" t="n"/>
      <c r="X32" s="1132" t="n"/>
      <c r="Y32" s="1131" t="n"/>
      <c r="Z32" s="1132" t="n"/>
      <c r="AA32" s="1131" t="n"/>
      <c r="AB32" s="1132" t="n"/>
      <c r="AC32" s="1131" t="n"/>
      <c r="AD32" s="1132" t="n"/>
      <c r="AE32" s="1131" t="n"/>
      <c r="AF32" s="1132" t="n"/>
      <c r="AG32" s="1131" t="n"/>
      <c r="AH32" s="1132" t="n"/>
      <c r="AI32" s="1131" t="n"/>
      <c r="AJ32" s="1132" t="n"/>
      <c r="AK32" s="1131" t="n"/>
      <c r="AL32" s="1132" t="n"/>
      <c r="AM32" s="1131" t="n"/>
      <c r="AN32" s="1132" t="n"/>
      <c r="AO32" s="1131" t="n"/>
      <c r="AP32" s="1132" t="n"/>
      <c r="AQ32" s="1131" t="n"/>
      <c r="AR32" s="1132" t="n"/>
      <c r="AS32" s="1131" t="n"/>
      <c r="AT32" s="1132" t="n"/>
      <c r="AU32" s="1131" t="n"/>
      <c r="AV32" s="1132" t="n"/>
      <c r="AW32" s="1131" t="n"/>
      <c r="AX32" s="1132" t="n"/>
      <c r="AY32" s="1131" t="n"/>
      <c r="AZ32" s="1132" t="n"/>
      <c r="BA32" s="1131" t="n"/>
      <c r="BB32" s="1132" t="n"/>
      <c r="BC32" s="1131" t="n"/>
      <c r="BD32" s="1132" t="n"/>
      <c r="BE32" s="1131" t="n"/>
      <c r="BF32" s="1132" t="n"/>
      <c r="BG32" s="1131" t="n"/>
      <c r="BH32" s="1132" t="n"/>
      <c r="BI32" s="1131" t="n"/>
      <c r="BJ32" s="1132" t="n"/>
      <c r="BK32" s="1131" t="n"/>
      <c r="BL32" s="1132" t="n"/>
      <c r="BM32" s="1131" t="n"/>
      <c r="BN32" s="1132" t="n"/>
      <c r="BO32" s="1131" t="n"/>
      <c r="BP32" s="1132" t="n"/>
      <c r="BQ32" s="1131" t="n"/>
      <c r="BR32" s="1132" t="n"/>
      <c r="BS32" s="1131" t="n"/>
      <c r="BT32" s="1132" t="n"/>
      <c r="BU32" s="1131" t="n"/>
      <c r="BV32" s="1132" t="n"/>
      <c r="BW32" s="1131" t="n"/>
      <c r="BX32" s="1132" t="n"/>
      <c r="BY32" s="1131" t="n"/>
      <c r="BZ32" s="1132" t="n"/>
      <c r="CA32" s="1131" t="n"/>
      <c r="CB32" s="1132" t="n"/>
      <c r="CC32" s="1131" t="n"/>
      <c r="CD32" s="1132" t="n"/>
      <c r="CE32" s="1133" t="n"/>
      <c r="CF32" s="1132" t="n"/>
      <c r="CG32" s="1131">
        <f>SUM(CG31)</f>
        <v/>
      </c>
      <c r="CH32" s="1131">
        <f>SUM(CH31)</f>
        <v/>
      </c>
      <c r="CI32" s="504" t="n"/>
      <c r="CJ32" s="504" t="n"/>
      <c r="CK32" s="1140" t="n"/>
      <c r="CL32" s="1132" t="n"/>
      <c r="CM32" s="1140" t="n"/>
      <c r="CN32" s="504" t="n"/>
      <c r="CO32" s="1140" t="n"/>
      <c r="CP32" s="504" t="n"/>
      <c r="CQ32" s="1140" t="n"/>
      <c r="CR32" s="504" t="n"/>
      <c r="CS32" s="1140" t="n"/>
      <c r="CT32" s="504" t="n"/>
      <c r="CU32" s="1140" t="n"/>
      <c r="CV32" s="504" t="n"/>
      <c r="CW32" s="1140" t="n"/>
      <c r="CX32" s="504" t="n"/>
      <c r="CY32" s="1140" t="n"/>
      <c r="CZ32" s="504" t="n"/>
      <c r="DA32" s="1140" t="n"/>
      <c r="DB32" s="504" t="n"/>
      <c r="DC32" s="1140" t="n"/>
      <c r="DD32" s="504" t="n"/>
      <c r="DE32" s="1140" t="n"/>
      <c r="DF32" s="504" t="n"/>
      <c r="DG32" s="1140">
        <f>SUM(DG31)</f>
        <v/>
      </c>
      <c r="DH32" s="1140">
        <f>SUM(DH31)</f>
        <v/>
      </c>
      <c r="DI32" s="1140">
        <f>SUM(DI31)</f>
        <v/>
      </c>
      <c r="DJ32" s="1140">
        <f>SUM(DJ31)</f>
        <v/>
      </c>
      <c r="DK32" s="1134">
        <f>(CK32+CM32)/2</f>
        <v/>
      </c>
      <c r="DL32" s="1135">
        <f>(CL32+CN32)/2</f>
        <v/>
      </c>
      <c r="DM32" s="1140">
        <f>SUM(DM31)</f>
        <v/>
      </c>
      <c r="DN32" s="1140">
        <f>SUM(DN31)</f>
        <v/>
      </c>
      <c r="DO32" s="1140">
        <f>SUM(DO31)</f>
        <v/>
      </c>
      <c r="DP32" s="1140">
        <f>SUM(DP31)</f>
        <v/>
      </c>
      <c r="DQ32" s="1140">
        <f>SUM(DQ31)</f>
        <v/>
      </c>
      <c r="DR32" s="1131">
        <f>SUM(DR31)</f>
        <v/>
      </c>
      <c r="DS32" s="1131">
        <f>SUM(DS31)</f>
        <v/>
      </c>
      <c r="DT32" s="1140">
        <f>SUM(DT31)</f>
        <v/>
      </c>
      <c r="DU32" s="1140">
        <f>SUM(DU31)</f>
        <v/>
      </c>
      <c r="DV32" s="1140">
        <f>SUM(DV31)</f>
        <v/>
      </c>
      <c r="DW32" s="1140">
        <f>SUM(DW31)</f>
        <v/>
      </c>
      <c r="DX32" s="1140">
        <f>SUM(DX31)</f>
        <v/>
      </c>
      <c r="DY32" s="1140">
        <f>SUM(DY31)</f>
        <v/>
      </c>
      <c r="DZ32" s="1140">
        <f>SUM(DZ31)</f>
        <v/>
      </c>
      <c r="EA32" s="1140">
        <f>SUM(EA31)</f>
        <v/>
      </c>
      <c r="EB32" s="1140">
        <f>SUM(EB31)</f>
        <v/>
      </c>
      <c r="EC32" s="1140">
        <f>SUM(EC31)</f>
        <v/>
      </c>
      <c r="ED32" s="1140">
        <f>SUM(ED31)</f>
        <v/>
      </c>
      <c r="EE32" s="1140">
        <f>SUM(EE31)</f>
        <v/>
      </c>
      <c r="EF32" s="1140">
        <f>SUM(EF31)</f>
        <v/>
      </c>
      <c r="EG32" s="1140">
        <f>SUM(EG31)</f>
        <v/>
      </c>
      <c r="EH32" s="1140">
        <f>SUM(EH31)</f>
        <v/>
      </c>
      <c r="EI32" s="1140">
        <f>SUM(EI31)</f>
        <v/>
      </c>
      <c r="EJ32" s="1140">
        <f>SUM(EJ31)</f>
        <v/>
      </c>
      <c r="EK32" s="1140">
        <f>SUM(EK31)</f>
        <v/>
      </c>
      <c r="EL32" s="1140">
        <f>SUM(EL31)</f>
        <v/>
      </c>
      <c r="EM32" s="1140">
        <f>SUM(EM31)</f>
        <v/>
      </c>
      <c r="EN32" s="1140">
        <f>SUM(EN31)</f>
        <v/>
      </c>
      <c r="EO32" s="1140">
        <f>SUM(EO31)</f>
        <v/>
      </c>
      <c r="EP32" s="1136">
        <f>EN32/2</f>
        <v/>
      </c>
      <c r="EQ32" s="1137">
        <f>EO32/2</f>
        <v/>
      </c>
      <c r="ER32" s="536">
        <f>EQ32/$EQ$57%</f>
        <v/>
      </c>
      <c r="ES32" s="1138">
        <f>ER32-DO32</f>
        <v/>
      </c>
      <c r="ET32" s="1138" t="n"/>
      <c r="EU32" s="1138">
        <f>EQ32/DN32*100-100</f>
        <v/>
      </c>
      <c r="EV32" s="1138">
        <f>EQ32-DN32</f>
        <v/>
      </c>
      <c r="EW32" s="1139">
        <f>EQ32-DL32</f>
        <v/>
      </c>
      <c r="EX32" s="1138">
        <f>EV32/14</f>
        <v/>
      </c>
      <c r="EY32" s="1138">
        <f>EW32/14</f>
        <v/>
      </c>
      <c r="EZ32" s="1138">
        <f>EY32*2</f>
        <v/>
      </c>
    </row>
    <row r="33">
      <c r="A33" s="7" t="n">
        <v>19</v>
      </c>
      <c r="B33" s="8" t="inlineStr">
        <is>
          <t xml:space="preserve">Dagon </t>
        </is>
      </c>
      <c r="C33" s="8" t="inlineStr">
        <is>
          <t>ပုလင်း</t>
        </is>
      </c>
      <c r="D33" s="7" t="n">
        <v>0.64</v>
      </c>
      <c r="E33" s="7" t="inlineStr">
        <is>
          <t>1 * 14</t>
        </is>
      </c>
      <c r="F33" s="7" t="n">
        <v>1230</v>
      </c>
      <c r="G33" s="975" t="n">
        <v>20902</v>
      </c>
      <c r="H33" s="976" t="n">
        <v>13377.28</v>
      </c>
      <c r="I33" s="975" t="n">
        <v>17052</v>
      </c>
      <c r="J33" s="976" t="n">
        <v>10913.28</v>
      </c>
      <c r="K33" s="975" t="n">
        <v>20062</v>
      </c>
      <c r="L33" s="976" t="n">
        <v>12839.68</v>
      </c>
      <c r="M33" s="975" t="n">
        <v>15960</v>
      </c>
      <c r="N33" s="976" t="n">
        <v>10214.4</v>
      </c>
      <c r="O33" s="975" t="n">
        <v>20048</v>
      </c>
      <c r="P33" s="976" t="n">
        <v>12830.72</v>
      </c>
      <c r="Q33" s="975" t="n">
        <v>16450</v>
      </c>
      <c r="R33" s="976" t="n">
        <v>10528</v>
      </c>
      <c r="S33" s="975" t="n">
        <v>17010</v>
      </c>
      <c r="T33" s="976" t="n">
        <v>10886.4</v>
      </c>
      <c r="U33" s="975" t="n">
        <v>15974</v>
      </c>
      <c r="V33" s="976" t="n">
        <v>10223.36</v>
      </c>
      <c r="W33" s="975" t="n">
        <v>13356</v>
      </c>
      <c r="X33" s="976" t="n">
        <v>8547.84</v>
      </c>
      <c r="Y33" s="975" t="n">
        <v>19488</v>
      </c>
      <c r="Z33" s="976" t="n">
        <v>12472.32</v>
      </c>
      <c r="AA33" s="975" t="n">
        <v>11046</v>
      </c>
      <c r="AB33" s="976" t="n">
        <v>7069.440000000001</v>
      </c>
      <c r="AC33" s="975" t="n">
        <v>23226</v>
      </c>
      <c r="AD33" s="976" t="n">
        <v>14864.64</v>
      </c>
      <c r="AE33" s="977" t="n">
        <v>17547.83333333333</v>
      </c>
      <c r="AF33" s="978" t="n">
        <v>11230.61333333333</v>
      </c>
      <c r="AG33" s="975" t="n">
        <v>15862</v>
      </c>
      <c r="AH33" s="976" t="n">
        <v>10151.68</v>
      </c>
      <c r="AI33" s="975" t="n">
        <v>16128</v>
      </c>
      <c r="AJ33" s="976" t="n">
        <v>10321.92</v>
      </c>
      <c r="AK33" s="975" t="n">
        <v>15082</v>
      </c>
      <c r="AL33" s="976" t="n">
        <v>9652.48</v>
      </c>
      <c r="AM33" s="975" t="n">
        <v>17766</v>
      </c>
      <c r="AN33" s="976" t="n">
        <v>11370.24</v>
      </c>
      <c r="AO33" s="975" t="n">
        <v>11270</v>
      </c>
      <c r="AP33" s="976" t="n">
        <v>7212.8</v>
      </c>
      <c r="AQ33" s="975" t="n">
        <v>17654</v>
      </c>
      <c r="AR33" s="976" t="n">
        <v>11298.56</v>
      </c>
      <c r="AS33" s="975" t="n">
        <v>16464</v>
      </c>
      <c r="AT33" s="976" t="n">
        <v>10536.96</v>
      </c>
      <c r="AU33" s="975" t="n">
        <v>14602</v>
      </c>
      <c r="AV33" s="976" t="n">
        <v>9345.280000000001</v>
      </c>
      <c r="AW33" s="975" t="n">
        <v>16268</v>
      </c>
      <c r="AX33" s="976" t="n">
        <v>10411.52</v>
      </c>
      <c r="AY33" s="975" t="n">
        <v>14196</v>
      </c>
      <c r="AZ33" s="976" t="n">
        <v>9085.440000000001</v>
      </c>
      <c r="BA33" s="975" t="n">
        <v>11200</v>
      </c>
      <c r="BB33" s="976" t="n">
        <v>7168</v>
      </c>
      <c r="BC33" s="975" t="n">
        <v>25116</v>
      </c>
      <c r="BD33" s="976" t="n">
        <v>16074.24</v>
      </c>
      <c r="BE33" s="977" t="n">
        <v>15967.33333333333</v>
      </c>
      <c r="BF33" s="978" t="n">
        <v>10219.09333333333</v>
      </c>
      <c r="BG33" s="975" t="n">
        <v>18844</v>
      </c>
      <c r="BH33" s="976" t="n">
        <v>12060.16</v>
      </c>
      <c r="BI33" s="975" t="n">
        <v>11788</v>
      </c>
      <c r="BJ33" s="976" t="n">
        <v>7544.32</v>
      </c>
      <c r="BK33" s="975" t="n">
        <v>16646</v>
      </c>
      <c r="BL33" s="976" t="n">
        <v>10653.44</v>
      </c>
      <c r="BM33" s="975" t="n">
        <v>15669</v>
      </c>
      <c r="BN33" s="976" t="n">
        <v>10028.16</v>
      </c>
      <c r="BO33" s="975" t="n">
        <v>14661</v>
      </c>
      <c r="BP33" s="976" t="n">
        <v>9383.040000000001</v>
      </c>
      <c r="BQ33" s="975" t="n">
        <v>16002</v>
      </c>
      <c r="BR33" s="976" t="n">
        <v>10241.28</v>
      </c>
      <c r="BS33" s="975" t="n">
        <v>18228</v>
      </c>
      <c r="BT33" s="976" t="n">
        <v>11665.92</v>
      </c>
      <c r="BU33" s="975" t="n">
        <v>16450</v>
      </c>
      <c r="BV33" s="976" t="n">
        <v>10528</v>
      </c>
      <c r="BW33" s="975" t="n">
        <v>15610</v>
      </c>
      <c r="BX33" s="976" t="n">
        <v>9990.4</v>
      </c>
      <c r="BY33" s="975" t="n">
        <v>16590</v>
      </c>
      <c r="BZ33" s="976" t="n">
        <v>10617.6</v>
      </c>
      <c r="CA33" s="975" t="n">
        <v>17080</v>
      </c>
      <c r="CB33" s="976" t="n">
        <v>10931.2</v>
      </c>
      <c r="CC33" s="975" t="n">
        <v>20748</v>
      </c>
      <c r="CD33" s="976" t="n">
        <v>13278.72</v>
      </c>
      <c r="CE33" s="979">
        <f>(BG33+BI33+BK33+BM33+BO33+BQ33+BS33+BU33+BW33+BY33+CA33)/11</f>
        <v/>
      </c>
      <c r="CF33" s="976">
        <f>(BH33+BJ33+BL33+BN33+BP33+BR33+BT33+BV33+BX33+BZ33+CB33)/11</f>
        <v/>
      </c>
      <c r="CG33" s="977" t="n">
        <v>16526.33333333333</v>
      </c>
      <c r="CH33" s="978" t="n">
        <v>10576.85333333333</v>
      </c>
      <c r="CI33" s="15" t="n">
        <v>1.876308144509579</v>
      </c>
      <c r="CJ33" s="15" t="n">
        <v>3.8</v>
      </c>
      <c r="CK33" s="982" t="n">
        <v>16170</v>
      </c>
      <c r="CL33" s="976" t="n">
        <v>10348.8</v>
      </c>
      <c r="CM33" s="982" t="n">
        <v>16310</v>
      </c>
      <c r="CN33" s="15" t="n">
        <v>10438.4</v>
      </c>
      <c r="CO33" s="982" t="n">
        <v>17892</v>
      </c>
      <c r="CP33" s="15" t="n">
        <v>11450.88</v>
      </c>
      <c r="CQ33" s="982" t="n">
        <v>24304</v>
      </c>
      <c r="CR33" s="15" t="n">
        <v>15554.56</v>
      </c>
      <c r="CS33" s="982" t="n">
        <v>12362</v>
      </c>
      <c r="CT33" s="15" t="n">
        <v>7911.68</v>
      </c>
      <c r="CU33" s="982" t="n">
        <v>16254</v>
      </c>
      <c r="CV33" s="15" t="n">
        <v>10402.56</v>
      </c>
      <c r="CW33" s="982" t="n">
        <v>13622</v>
      </c>
      <c r="CX33" s="15" t="n">
        <v>8718.08</v>
      </c>
      <c r="CY33" s="982" t="n">
        <v>15515</v>
      </c>
      <c r="CZ33" s="15" t="n">
        <v>9929.6</v>
      </c>
      <c r="DA33" s="982" t="n">
        <v>13034</v>
      </c>
      <c r="DB33" s="15" t="n">
        <v>8341.76</v>
      </c>
      <c r="DC33" s="982" t="n">
        <v>16534</v>
      </c>
      <c r="DD33" s="15" t="n">
        <v>10581.76</v>
      </c>
      <c r="DE33" s="982" t="n">
        <v>13832</v>
      </c>
      <c r="DF33" s="15" t="n">
        <v>8852.48</v>
      </c>
      <c r="DG33" s="982" t="n">
        <v>17178</v>
      </c>
      <c r="DH33" s="15" t="n">
        <v>10993.92</v>
      </c>
      <c r="DI33" s="983">
        <f>CK33+CM33+CO33+CQ33+CS33+CU33+CW33+CY33+DA33+DC33+DE33+DG33</f>
        <v/>
      </c>
      <c r="DJ33" s="983">
        <f>CL33+CN33+CP33+CR33+CT33+CV33+CX33+CZ33+DB33+DD33+DF33+DH33</f>
        <v/>
      </c>
      <c r="DK33" s="983">
        <f>(CK33+CM33)/2</f>
        <v/>
      </c>
      <c r="DL33" s="984">
        <f>(CL33+CN33)/2</f>
        <v/>
      </c>
      <c r="DM33" s="985">
        <f>DI33/12</f>
        <v/>
      </c>
      <c r="DN33" s="1129">
        <f>DJ33/12</f>
        <v/>
      </c>
      <c r="DO33" s="69">
        <f>DN33/$DN$57%</f>
        <v/>
      </c>
      <c r="DP33" s="982" t="n">
        <v>20006</v>
      </c>
      <c r="DQ33" s="976" t="n">
        <v>12803.84</v>
      </c>
      <c r="DR33" s="975" t="n">
        <v>17220</v>
      </c>
      <c r="DS33" s="976" t="n">
        <v>11020.8</v>
      </c>
      <c r="DT33" s="982" t="n"/>
      <c r="DU33" s="15" t="n"/>
      <c r="DV33" s="982" t="n"/>
      <c r="DW33" s="15" t="n"/>
      <c r="DX33" s="982" t="n"/>
      <c r="DY33" s="15" t="n"/>
      <c r="DZ33" s="982" t="n"/>
      <c r="EA33" s="15" t="n"/>
      <c r="EB33" s="982" t="n"/>
      <c r="EC33" s="15" t="n"/>
      <c r="ED33" s="982" t="n"/>
      <c r="EE33" s="15" t="n"/>
      <c r="EF33" s="982" t="n"/>
      <c r="EG33" s="15" t="n"/>
      <c r="EH33" s="982" t="n"/>
      <c r="EI33" s="15" t="n"/>
      <c r="EJ33" s="982" t="n"/>
      <c r="EK33" s="15" t="n"/>
      <c r="EL33" s="982" t="n"/>
      <c r="EM33" s="15" t="n"/>
      <c r="EN33" s="983">
        <f>DP33+DR33+DT33+DV33+DX33+DZ33+EB33+ED33+EF33+EH33+EJ33+EL33</f>
        <v/>
      </c>
      <c r="EO33" s="983">
        <f>DQ33+DS33+DU33+DW33+DY33+EA33+EC33+EE33+EG33+EI33+EK33+EM33</f>
        <v/>
      </c>
      <c r="EP33" s="985">
        <f>EN33/2</f>
        <v/>
      </c>
      <c r="EQ33" s="1129">
        <f>EO33/2</f>
        <v/>
      </c>
      <c r="ER33" s="535">
        <f>EQ33/$EQ$57%</f>
        <v/>
      </c>
      <c r="ES33" s="1130">
        <f>ER33-DO33</f>
        <v/>
      </c>
      <c r="ET33" s="1130">
        <f>EQ33/DL33*100-100</f>
        <v/>
      </c>
      <c r="EU33" s="1130">
        <f>EQ33/DN33*100-100</f>
        <v/>
      </c>
      <c r="EV33" s="1130">
        <f>EQ33-DN33</f>
        <v/>
      </c>
      <c r="EW33" s="1000">
        <f>EQ33-DL33</f>
        <v/>
      </c>
      <c r="EX33" s="1130">
        <f>EV33/14</f>
        <v/>
      </c>
      <c r="EY33" s="1130">
        <f>EW33/14</f>
        <v/>
      </c>
      <c r="EZ33" s="1130">
        <f>EY33*2</f>
        <v/>
      </c>
    </row>
    <row r="34" customFormat="1" s="251">
      <c r="A34" s="246" t="n"/>
      <c r="B34" s="247" t="inlineStr">
        <is>
          <t>Dagon</t>
        </is>
      </c>
      <c r="C34" s="247" t="n"/>
      <c r="D34" s="246" t="n"/>
      <c r="E34" s="246" t="n"/>
      <c r="F34" s="246" t="n"/>
      <c r="G34" s="1131" t="n"/>
      <c r="H34" s="1132" t="n"/>
      <c r="I34" s="1131" t="n"/>
      <c r="J34" s="1132" t="n"/>
      <c r="K34" s="1131" t="n"/>
      <c r="L34" s="1132" t="n"/>
      <c r="M34" s="1131" t="n"/>
      <c r="N34" s="1132" t="n"/>
      <c r="O34" s="1131" t="n"/>
      <c r="P34" s="1132" t="n"/>
      <c r="Q34" s="1131" t="n"/>
      <c r="R34" s="1132" t="n"/>
      <c r="S34" s="1131" t="n"/>
      <c r="T34" s="1132" t="n"/>
      <c r="U34" s="1131" t="n"/>
      <c r="V34" s="1132" t="n"/>
      <c r="W34" s="1131" t="n"/>
      <c r="X34" s="1132" t="n"/>
      <c r="Y34" s="1131" t="n"/>
      <c r="Z34" s="1132" t="n"/>
      <c r="AA34" s="1131" t="n"/>
      <c r="AB34" s="1132" t="n"/>
      <c r="AC34" s="1131" t="n"/>
      <c r="AD34" s="1132" t="n"/>
      <c r="AE34" s="1131" t="n"/>
      <c r="AF34" s="1132" t="n"/>
      <c r="AG34" s="1131" t="n"/>
      <c r="AH34" s="1132" t="n"/>
      <c r="AI34" s="1131" t="n"/>
      <c r="AJ34" s="1132" t="n"/>
      <c r="AK34" s="1131" t="n"/>
      <c r="AL34" s="1132" t="n"/>
      <c r="AM34" s="1131" t="n"/>
      <c r="AN34" s="1132" t="n"/>
      <c r="AO34" s="1131" t="n"/>
      <c r="AP34" s="1132" t="n"/>
      <c r="AQ34" s="1131" t="n"/>
      <c r="AR34" s="1132" t="n"/>
      <c r="AS34" s="1131" t="n"/>
      <c r="AT34" s="1132" t="n"/>
      <c r="AU34" s="1131" t="n"/>
      <c r="AV34" s="1132" t="n"/>
      <c r="AW34" s="1131" t="n"/>
      <c r="AX34" s="1132" t="n"/>
      <c r="AY34" s="1131" t="n"/>
      <c r="AZ34" s="1132" t="n"/>
      <c r="BA34" s="1131" t="n"/>
      <c r="BB34" s="1132" t="n"/>
      <c r="BC34" s="1131" t="n"/>
      <c r="BD34" s="1132" t="n"/>
      <c r="BE34" s="1131" t="n"/>
      <c r="BF34" s="1132" t="n"/>
      <c r="BG34" s="1131" t="n"/>
      <c r="BH34" s="1132" t="n"/>
      <c r="BI34" s="1131" t="n"/>
      <c r="BJ34" s="1132" t="n"/>
      <c r="BK34" s="1131" t="n"/>
      <c r="BL34" s="1132" t="n"/>
      <c r="BM34" s="1131" t="n"/>
      <c r="BN34" s="1132" t="n"/>
      <c r="BO34" s="1131" t="n"/>
      <c r="BP34" s="1132" t="n"/>
      <c r="BQ34" s="1131" t="n"/>
      <c r="BR34" s="1132" t="n"/>
      <c r="BS34" s="1131" t="n"/>
      <c r="BT34" s="1132" t="n"/>
      <c r="BU34" s="1131" t="n"/>
      <c r="BV34" s="1132" t="n"/>
      <c r="BW34" s="1131" t="n"/>
      <c r="BX34" s="1132" t="n"/>
      <c r="BY34" s="1131" t="n"/>
      <c r="BZ34" s="1132" t="n"/>
      <c r="CA34" s="1131" t="n"/>
      <c r="CB34" s="1132" t="n"/>
      <c r="CC34" s="1131" t="n"/>
      <c r="CD34" s="1132" t="n"/>
      <c r="CE34" s="1133">
        <f>SUM(CE27:CE33)</f>
        <v/>
      </c>
      <c r="CF34" s="1133">
        <f>SUM(CF27:CF33)</f>
        <v/>
      </c>
      <c r="CG34" s="1133">
        <f>SUM(CG33)</f>
        <v/>
      </c>
      <c r="CH34" s="1133">
        <f>SUM(CH33)</f>
        <v/>
      </c>
      <c r="CI34" s="1133">
        <f>SUM(CI27:CI33)</f>
        <v/>
      </c>
      <c r="CJ34" s="1133">
        <f>SUM(CJ27:CJ33)</f>
        <v/>
      </c>
      <c r="CK34" s="1133">
        <f>SUM(CK27:CK33)</f>
        <v/>
      </c>
      <c r="CL34" s="1133">
        <f>SUM(CL27:CL33)</f>
        <v/>
      </c>
      <c r="CM34" s="1133">
        <f>SUM(CM27:CM33)</f>
        <v/>
      </c>
      <c r="CN34" s="1133">
        <f>SUM(CN27:CN33)</f>
        <v/>
      </c>
      <c r="CO34" s="1133">
        <f>SUM(CO27:CO33)</f>
        <v/>
      </c>
      <c r="CP34" s="1133">
        <f>SUM(CP27:CP33)</f>
        <v/>
      </c>
      <c r="CQ34" s="1133">
        <f>SUM(CQ27:CQ33)</f>
        <v/>
      </c>
      <c r="CR34" s="1133">
        <f>SUM(CR27:CR33)</f>
        <v/>
      </c>
      <c r="CS34" s="1133">
        <f>SUM(CS27:CS33)</f>
        <v/>
      </c>
      <c r="CT34" s="1133">
        <f>SUM(CT27:CT33)</f>
        <v/>
      </c>
      <c r="CU34" s="1133">
        <f>SUM(CU27:CU33)</f>
        <v/>
      </c>
      <c r="CV34" s="1133">
        <f>SUM(CV27:CV33)</f>
        <v/>
      </c>
      <c r="CW34" s="1133">
        <f>SUM(CW27:CW33)</f>
        <v/>
      </c>
      <c r="CX34" s="1133">
        <f>SUM(CX27:CX33)</f>
        <v/>
      </c>
      <c r="CY34" s="1133">
        <f>SUM(CY27:CY33)</f>
        <v/>
      </c>
      <c r="CZ34" s="1133">
        <f>SUM(CZ27:CZ33)</f>
        <v/>
      </c>
      <c r="DA34" s="1133">
        <f>SUM(DA27:DA33)</f>
        <v/>
      </c>
      <c r="DB34" s="1133">
        <f>SUM(DB27:DB33)</f>
        <v/>
      </c>
      <c r="DC34" s="1133">
        <f>SUM(DC27:DC33)</f>
        <v/>
      </c>
      <c r="DD34" s="1133">
        <f>SUM(DD27:DD33)</f>
        <v/>
      </c>
      <c r="DE34" s="1133">
        <f>SUM(DE27:DE33)</f>
        <v/>
      </c>
      <c r="DF34" s="1133">
        <f>SUM(DF27:DF33)</f>
        <v/>
      </c>
      <c r="DG34" s="1133">
        <f>SUM(DG33)</f>
        <v/>
      </c>
      <c r="DH34" s="1133">
        <f>SUM(DH33)</f>
        <v/>
      </c>
      <c r="DI34" s="1133">
        <f>SUM(DI33)</f>
        <v/>
      </c>
      <c r="DJ34" s="1133">
        <f>SUM(DJ33)</f>
        <v/>
      </c>
      <c r="DK34" s="1134">
        <f>(CK34+CM34)/2</f>
        <v/>
      </c>
      <c r="DL34" s="1135">
        <f>(CL34+CN34)/2</f>
        <v/>
      </c>
      <c r="DM34" s="1133">
        <f>SUM(DM33)</f>
        <v/>
      </c>
      <c r="DN34" s="1133">
        <f>SUM(DN33)</f>
        <v/>
      </c>
      <c r="DO34" s="1133">
        <f>SUM(DO33)</f>
        <v/>
      </c>
      <c r="DP34" s="1133">
        <f>SUM(DP33)</f>
        <v/>
      </c>
      <c r="DQ34" s="1133">
        <f>SUM(DQ33)</f>
        <v/>
      </c>
      <c r="DR34" s="1133">
        <f>SUM(DR33)</f>
        <v/>
      </c>
      <c r="DS34" s="1133">
        <f>SUM(DS33)</f>
        <v/>
      </c>
      <c r="DT34" s="1133">
        <f>SUM(DT33)</f>
        <v/>
      </c>
      <c r="DU34" s="1133">
        <f>SUM(DU33)</f>
        <v/>
      </c>
      <c r="DV34" s="1133">
        <f>SUM(DV33)</f>
        <v/>
      </c>
      <c r="DW34" s="1133">
        <f>SUM(DW33)</f>
        <v/>
      </c>
      <c r="DX34" s="1133">
        <f>SUM(DX33)</f>
        <v/>
      </c>
      <c r="DY34" s="1133">
        <f>SUM(DY33)</f>
        <v/>
      </c>
      <c r="DZ34" s="1133">
        <f>SUM(DZ33)</f>
        <v/>
      </c>
      <c r="EA34" s="1133">
        <f>SUM(EA33)</f>
        <v/>
      </c>
      <c r="EB34" s="1133">
        <f>SUM(EB33)</f>
        <v/>
      </c>
      <c r="EC34" s="1133">
        <f>SUM(EC33)</f>
        <v/>
      </c>
      <c r="ED34" s="1133">
        <f>SUM(ED33)</f>
        <v/>
      </c>
      <c r="EE34" s="1133">
        <f>SUM(EE33)</f>
        <v/>
      </c>
      <c r="EF34" s="1133">
        <f>SUM(EF33)</f>
        <v/>
      </c>
      <c r="EG34" s="1133">
        <f>SUM(EG33)</f>
        <v/>
      </c>
      <c r="EH34" s="1133">
        <f>SUM(EH33)</f>
        <v/>
      </c>
      <c r="EI34" s="1133">
        <f>SUM(EI33)</f>
        <v/>
      </c>
      <c r="EJ34" s="1133">
        <f>SUM(EJ33)</f>
        <v/>
      </c>
      <c r="EK34" s="1133">
        <f>SUM(EK33)</f>
        <v/>
      </c>
      <c r="EL34" s="1133">
        <f>SUM(EL33)</f>
        <v/>
      </c>
      <c r="EM34" s="1133">
        <f>SUM(EM33)</f>
        <v/>
      </c>
      <c r="EN34" s="1133">
        <f>SUM(EN33)</f>
        <v/>
      </c>
      <c r="EO34" s="1133">
        <f>SUM(EO33)</f>
        <v/>
      </c>
      <c r="EP34" s="1136">
        <f>EN34/2</f>
        <v/>
      </c>
      <c r="EQ34" s="1137">
        <f>EO34/2</f>
        <v/>
      </c>
      <c r="ER34" s="536">
        <f>EQ34/$EQ$57%</f>
        <v/>
      </c>
      <c r="ES34" s="1138">
        <f>ER34-DO34</f>
        <v/>
      </c>
      <c r="ET34" s="1138">
        <f>EQ34/DL34*100-100</f>
        <v/>
      </c>
      <c r="EU34" s="1138">
        <f>EQ34/DN34*100-100</f>
        <v/>
      </c>
      <c r="EV34" s="1138">
        <f>EQ34-DN34</f>
        <v/>
      </c>
      <c r="EW34" s="1139">
        <f>EQ34-DL34</f>
        <v/>
      </c>
      <c r="EX34" s="1138">
        <f>EV34/14</f>
        <v/>
      </c>
      <c r="EY34" s="1138">
        <f>EW34/14</f>
        <v/>
      </c>
      <c r="EZ34" s="1138">
        <f>EY34*2</f>
        <v/>
      </c>
    </row>
    <row r="35">
      <c r="A35" s="7" t="n">
        <v>20</v>
      </c>
      <c r="B35" s="8" t="inlineStr">
        <is>
          <t>ချယ်ရီကော်ဘူး(0.6 Liter)</t>
        </is>
      </c>
      <c r="C35" s="8" t="inlineStr">
        <is>
          <t>‌ကော်ဘူး</t>
        </is>
      </c>
      <c r="D35" s="7" t="n">
        <v>0.6</v>
      </c>
      <c r="E35" s="7" t="inlineStr">
        <is>
          <t>1 * 24</t>
        </is>
      </c>
      <c r="F35" s="7" t="n">
        <v>900</v>
      </c>
      <c r="G35" s="975" t="n"/>
      <c r="H35" s="976" t="n">
        <v>0</v>
      </c>
      <c r="I35" s="975" t="n"/>
      <c r="J35" s="976" t="n">
        <v>0</v>
      </c>
      <c r="K35" s="975" t="n"/>
      <c r="L35" s="976" t="n">
        <v>0</v>
      </c>
      <c r="M35" s="975" t="n"/>
      <c r="N35" s="976" t="n">
        <v>0</v>
      </c>
      <c r="O35" s="975" t="n"/>
      <c r="P35" s="976" t="n">
        <v>0</v>
      </c>
      <c r="Q35" s="975" t="n"/>
      <c r="R35" s="976" t="n">
        <v>0</v>
      </c>
      <c r="S35" s="975" t="n"/>
      <c r="T35" s="976" t="n">
        <v>0</v>
      </c>
      <c r="U35" s="975" t="n"/>
      <c r="V35" s="976" t="n">
        <v>0</v>
      </c>
      <c r="W35" s="975" t="n"/>
      <c r="X35" s="976" t="n">
        <v>0</v>
      </c>
      <c r="Y35" s="975" t="n"/>
      <c r="Z35" s="976" t="n">
        <v>0</v>
      </c>
      <c r="AA35" s="975" t="n"/>
      <c r="AB35" s="976" t="n">
        <v>0</v>
      </c>
      <c r="AC35" s="975" t="n"/>
      <c r="AD35" s="976" t="n">
        <v>0</v>
      </c>
      <c r="AE35" s="977" t="n">
        <v>0</v>
      </c>
      <c r="AF35" s="978" t="n">
        <v>0</v>
      </c>
      <c r="AG35" s="975" t="n"/>
      <c r="AH35" s="976" t="n">
        <v>0</v>
      </c>
      <c r="AI35" s="975" t="n"/>
      <c r="AJ35" s="976" t="n">
        <v>0</v>
      </c>
      <c r="AK35" s="975" t="n"/>
      <c r="AL35" s="976" t="n">
        <v>0</v>
      </c>
      <c r="AM35" s="975" t="n"/>
      <c r="AN35" s="976" t="n">
        <v>0</v>
      </c>
      <c r="AO35" s="975" t="n"/>
      <c r="AP35" s="976" t="n">
        <v>0</v>
      </c>
      <c r="AQ35" s="975" t="n"/>
      <c r="AR35" s="976" t="n">
        <v>0</v>
      </c>
      <c r="AS35" s="975" t="n"/>
      <c r="AT35" s="976" t="n">
        <v>0</v>
      </c>
      <c r="AU35" s="975" t="n"/>
      <c r="AV35" s="976" t="n">
        <v>0</v>
      </c>
      <c r="AW35" s="975" t="n"/>
      <c r="AX35" s="976" t="n">
        <v>0</v>
      </c>
      <c r="AY35" s="975" t="n"/>
      <c r="AZ35" s="976" t="n">
        <v>0</v>
      </c>
      <c r="BA35" s="975" t="n"/>
      <c r="BB35" s="976" t="n">
        <v>0</v>
      </c>
      <c r="BC35" s="975" t="n"/>
      <c r="BD35" s="976" t="n">
        <v>0</v>
      </c>
      <c r="BE35" s="977" t="n">
        <v>0</v>
      </c>
      <c r="BF35" s="978" t="n">
        <v>0</v>
      </c>
      <c r="BG35" s="975" t="n"/>
      <c r="BH35" s="976" t="n">
        <v>0</v>
      </c>
      <c r="BI35" s="975" t="n"/>
      <c r="BJ35" s="976" t="n">
        <v>0</v>
      </c>
      <c r="BK35" s="975" t="n"/>
      <c r="BL35" s="976" t="n">
        <v>0</v>
      </c>
      <c r="BM35" s="975" t="n"/>
      <c r="BN35" s="976" t="n">
        <v>0</v>
      </c>
      <c r="BO35" s="975" t="n">
        <v>12608</v>
      </c>
      <c r="BP35" s="976" t="n">
        <v>7564.799999999999</v>
      </c>
      <c r="BQ35" s="975" t="n">
        <v>6380</v>
      </c>
      <c r="BR35" s="976" t="n">
        <v>3828</v>
      </c>
      <c r="BS35" s="975" t="n">
        <v>18960</v>
      </c>
      <c r="BT35" s="976" t="n">
        <v>11376</v>
      </c>
      <c r="BU35" s="975" t="n">
        <v>12922</v>
      </c>
      <c r="BV35" s="976" t="n">
        <v>7753.2</v>
      </c>
      <c r="BW35" s="975" t="n">
        <v>27118</v>
      </c>
      <c r="BX35" s="976" t="n">
        <v>16270.8</v>
      </c>
      <c r="BY35" s="975" t="n">
        <v>29069</v>
      </c>
      <c r="BZ35" s="976" t="n">
        <v>17441.4</v>
      </c>
      <c r="CA35" s="975" t="n">
        <v>28498</v>
      </c>
      <c r="CB35" s="976" t="n">
        <v>17098.8</v>
      </c>
      <c r="CC35" s="975" t="n">
        <v>30810</v>
      </c>
      <c r="CD35" s="976" t="n">
        <v>18486</v>
      </c>
      <c r="CE35" s="979">
        <f>(BG35+BI35+BK35+BM35+BO35+BQ35+BS35+BU35+BW35+BY35+CA35)/11</f>
        <v/>
      </c>
      <c r="CF35" s="976">
        <f>(BH35+BJ35+BL35+BN35+BP35+BR35+BT35+BV35+BX35+BZ35+CB35)/11</f>
        <v/>
      </c>
      <c r="CG35" s="977" t="n">
        <v>13863.75</v>
      </c>
      <c r="CH35" s="978" t="n">
        <v>8318.25</v>
      </c>
      <c r="CI35" s="15" t="n">
        <v>1.475637387717091</v>
      </c>
      <c r="CJ35" s="15" t="n"/>
      <c r="CK35" s="987" t="n">
        <v>42798</v>
      </c>
      <c r="CL35" s="976" t="n">
        <v>25678.8</v>
      </c>
      <c r="CM35" s="982" t="n">
        <v>32991</v>
      </c>
      <c r="CN35" s="15" t="n">
        <v>19794.6</v>
      </c>
      <c r="CO35" s="982" t="n">
        <v>26400</v>
      </c>
      <c r="CP35" s="15" t="n">
        <v>15840</v>
      </c>
      <c r="CQ35" s="982" t="n">
        <v>39264</v>
      </c>
      <c r="CR35" s="15" t="n">
        <v>23558.4</v>
      </c>
      <c r="CS35" s="982" t="n">
        <v>37848</v>
      </c>
      <c r="CT35" s="15" t="n">
        <v>22708.8</v>
      </c>
      <c r="CU35" s="982" t="n">
        <v>38424</v>
      </c>
      <c r="CV35" s="15" t="n">
        <v>23054.4</v>
      </c>
      <c r="CW35" s="982" t="n">
        <v>33432</v>
      </c>
      <c r="CX35" s="15" t="n">
        <v>20059.2</v>
      </c>
      <c r="CY35" s="982" t="n">
        <v>38659</v>
      </c>
      <c r="CZ35" s="15" t="n">
        <v>23195.4</v>
      </c>
      <c r="DA35" s="982" t="n">
        <v>34248</v>
      </c>
      <c r="DB35" s="15" t="n">
        <v>20548.8</v>
      </c>
      <c r="DC35" s="982" t="n">
        <v>38904</v>
      </c>
      <c r="DD35" s="15" t="n">
        <v>23342.4</v>
      </c>
      <c r="DE35" s="982" t="n">
        <v>46128</v>
      </c>
      <c r="DF35" s="15" t="n">
        <v>27676.8</v>
      </c>
      <c r="DG35" s="982" t="n">
        <v>56712</v>
      </c>
      <c r="DH35" s="15" t="n">
        <v>34027.2</v>
      </c>
      <c r="DI35" s="983">
        <f>CK35+CM35+CO35+CQ35+CS35+CU35+CW35+CY35+DA35+DC35+DE35+DG35</f>
        <v/>
      </c>
      <c r="DJ35" s="983">
        <f>CL35+CN35+CP35+CR35+CT35+CV35+CX35+CZ35+DB35+DD35+DF35+DH35</f>
        <v/>
      </c>
      <c r="DK35" s="983">
        <f>(CK35+CM35)/2</f>
        <v/>
      </c>
      <c r="DL35" s="984">
        <f>(CL35+CN35)/2</f>
        <v/>
      </c>
      <c r="DM35" s="985">
        <f>DI35/12</f>
        <v/>
      </c>
      <c r="DN35" s="1129">
        <f>DJ35/12</f>
        <v/>
      </c>
      <c r="DO35" s="69">
        <f>DN35/$DN$57%</f>
        <v/>
      </c>
      <c r="DP35" s="987" t="n">
        <v>27240</v>
      </c>
      <c r="DQ35" s="976" t="n">
        <v>16344</v>
      </c>
      <c r="DR35" s="975" t="n">
        <v>32650</v>
      </c>
      <c r="DS35" s="976" t="n">
        <v>19590</v>
      </c>
      <c r="DT35" s="982" t="n"/>
      <c r="DU35" s="15" t="n"/>
      <c r="DV35" s="982" t="n"/>
      <c r="DW35" s="15" t="n"/>
      <c r="DX35" s="982" t="n"/>
      <c r="DY35" s="15" t="n"/>
      <c r="DZ35" s="982" t="n"/>
      <c r="EA35" s="15" t="n"/>
      <c r="EB35" s="982" t="n"/>
      <c r="EC35" s="15" t="n"/>
      <c r="ED35" s="982" t="n"/>
      <c r="EE35" s="15" t="n"/>
      <c r="EF35" s="982" t="n"/>
      <c r="EG35" s="15" t="n"/>
      <c r="EH35" s="982" t="n"/>
      <c r="EI35" s="15" t="n"/>
      <c r="EJ35" s="982" t="n"/>
      <c r="EK35" s="15" t="n"/>
      <c r="EL35" s="982" t="n"/>
      <c r="EM35" s="15" t="n"/>
      <c r="EN35" s="983">
        <f>DP35+DR35+DT35+DV35+DX35+DZ35+EB35+ED35+EF35+EH35+EJ35+EL35</f>
        <v/>
      </c>
      <c r="EO35" s="983">
        <f>DQ35+DS35+DU35+DW35+DY35+EA35+EC35+EE35+EG35+EI35+EK35+EM35</f>
        <v/>
      </c>
      <c r="EP35" s="985">
        <f>EN35/2</f>
        <v/>
      </c>
      <c r="EQ35" s="1129">
        <f>EO35/2</f>
        <v/>
      </c>
      <c r="ER35" s="535">
        <f>EQ35/$EQ$57%</f>
        <v/>
      </c>
      <c r="ES35" s="1130">
        <f>ER35-DO35</f>
        <v/>
      </c>
      <c r="ET35" s="1130">
        <f>EQ35/DL35*100-100</f>
        <v/>
      </c>
      <c r="EU35" s="1130">
        <f>EQ35/DN35*100-100</f>
        <v/>
      </c>
      <c r="EV35" s="1130">
        <f>EQ35-DN35</f>
        <v/>
      </c>
      <c r="EW35" s="1000">
        <f>EQ35-DL35</f>
        <v/>
      </c>
      <c r="EX35" s="1130">
        <f>EV35/14</f>
        <v/>
      </c>
      <c r="EY35" s="1130">
        <f>EW35/14</f>
        <v/>
      </c>
      <c r="EZ35" s="1130">
        <f>EY35*2</f>
        <v/>
      </c>
    </row>
    <row r="36">
      <c r="A36" s="7" t="n">
        <v>21</v>
      </c>
      <c r="B36" s="8" t="inlineStr">
        <is>
          <t>ချယ်ရီအရက်သန့်</t>
        </is>
      </c>
      <c r="C36" s="8" t="inlineStr">
        <is>
          <t>ပုလင်း</t>
        </is>
      </c>
      <c r="D36" s="7" t="n">
        <v>0.64</v>
      </c>
      <c r="E36" s="7" t="inlineStr">
        <is>
          <t>1 * 14</t>
        </is>
      </c>
      <c r="F36" s="7" t="n">
        <v>1230</v>
      </c>
      <c r="G36" s="975" t="n"/>
      <c r="H36" s="976" t="n">
        <v>0</v>
      </c>
      <c r="I36" s="975" t="n"/>
      <c r="J36" s="976" t="n">
        <v>0</v>
      </c>
      <c r="K36" s="975" t="n"/>
      <c r="L36" s="976" t="n">
        <v>0</v>
      </c>
      <c r="M36" s="975" t="n"/>
      <c r="N36" s="976" t="n">
        <v>0</v>
      </c>
      <c r="O36" s="975" t="n"/>
      <c r="P36" s="976" t="n">
        <v>0</v>
      </c>
      <c r="Q36" s="975" t="n"/>
      <c r="R36" s="976" t="n">
        <v>0</v>
      </c>
      <c r="S36" s="975" t="n"/>
      <c r="T36" s="976" t="n">
        <v>0</v>
      </c>
      <c r="U36" s="975" t="n"/>
      <c r="V36" s="976" t="n">
        <v>0</v>
      </c>
      <c r="W36" s="975" t="n"/>
      <c r="X36" s="976" t="n">
        <v>0</v>
      </c>
      <c r="Y36" s="975" t="n"/>
      <c r="Z36" s="976" t="n">
        <v>0</v>
      </c>
      <c r="AA36" s="975" t="n"/>
      <c r="AB36" s="976" t="n">
        <v>0</v>
      </c>
      <c r="AC36" s="975" t="n"/>
      <c r="AD36" s="976" t="n">
        <v>0</v>
      </c>
      <c r="AE36" s="977" t="n">
        <v>0</v>
      </c>
      <c r="AF36" s="978" t="n">
        <v>0</v>
      </c>
      <c r="AG36" s="975" t="n"/>
      <c r="AH36" s="976" t="n">
        <v>0</v>
      </c>
      <c r="AI36" s="975" t="n"/>
      <c r="AJ36" s="976" t="n">
        <v>0</v>
      </c>
      <c r="AK36" s="975" t="n"/>
      <c r="AL36" s="976" t="n">
        <v>0</v>
      </c>
      <c r="AM36" s="975" t="n"/>
      <c r="AN36" s="976" t="n">
        <v>0</v>
      </c>
      <c r="AO36" s="975" t="n"/>
      <c r="AP36" s="976" t="n">
        <v>0</v>
      </c>
      <c r="AQ36" s="975" t="n"/>
      <c r="AR36" s="976" t="n">
        <v>0</v>
      </c>
      <c r="AS36" s="975" t="n"/>
      <c r="AT36" s="976" t="n">
        <v>0</v>
      </c>
      <c r="AU36" s="975" t="n"/>
      <c r="AV36" s="976" t="n">
        <v>0</v>
      </c>
      <c r="AW36" s="975" t="n"/>
      <c r="AX36" s="976" t="n">
        <v>0</v>
      </c>
      <c r="AY36" s="975" t="n"/>
      <c r="AZ36" s="976" t="n">
        <v>0</v>
      </c>
      <c r="BA36" s="975" t="n"/>
      <c r="BB36" s="976" t="n">
        <v>0</v>
      </c>
      <c r="BC36" s="975" t="n"/>
      <c r="BD36" s="976" t="n">
        <v>0</v>
      </c>
      <c r="BE36" s="977" t="n">
        <v>0</v>
      </c>
      <c r="BF36" s="978" t="n">
        <v>0</v>
      </c>
      <c r="BG36" s="975" t="n"/>
      <c r="BH36" s="976" t="n">
        <v>0</v>
      </c>
      <c r="BI36" s="975" t="n"/>
      <c r="BJ36" s="976" t="n">
        <v>0</v>
      </c>
      <c r="BK36" s="975" t="n">
        <v>5419</v>
      </c>
      <c r="BL36" s="976" t="n">
        <v>3468.16</v>
      </c>
      <c r="BM36" s="975" t="n">
        <v>840</v>
      </c>
      <c r="BN36" s="976" t="n">
        <v>537.6</v>
      </c>
      <c r="BO36" s="975" t="n">
        <v>2533</v>
      </c>
      <c r="BP36" s="976" t="n">
        <v>1621.12</v>
      </c>
      <c r="BQ36" s="975" t="n">
        <v>2394</v>
      </c>
      <c r="BR36" s="976" t="n">
        <v>1532.16</v>
      </c>
      <c r="BS36" s="975" t="n">
        <v>623</v>
      </c>
      <c r="BT36" s="976" t="n">
        <v>398.72</v>
      </c>
      <c r="BU36" s="975" t="n">
        <v>504</v>
      </c>
      <c r="BV36" s="976" t="n">
        <v>322.56</v>
      </c>
      <c r="BW36" s="975" t="n">
        <v>322</v>
      </c>
      <c r="BX36" s="976" t="n">
        <v>206.08</v>
      </c>
      <c r="BY36" s="975" t="n">
        <v>373</v>
      </c>
      <c r="BZ36" s="976" t="n">
        <v>238.72</v>
      </c>
      <c r="CA36" s="975" t="n">
        <v>1512</v>
      </c>
      <c r="CB36" s="976" t="n">
        <v>967.6800000000001</v>
      </c>
      <c r="CC36" s="975" t="n">
        <v>168</v>
      </c>
      <c r="CD36" s="976" t="n">
        <v>107.52</v>
      </c>
      <c r="CE36" s="979">
        <f>(BG36+BI36+BK36+BM36+BO36+BQ36+BS36+BU36+BW36+BY36+CA36)/11</f>
        <v/>
      </c>
      <c r="CF36" s="976">
        <f>(BH36+BJ36+BL36+BN36+BP36+BR36+BT36+BV36+BX36+BZ36+CB36)/11</f>
        <v/>
      </c>
      <c r="CG36" s="977" t="n">
        <v>1224</v>
      </c>
      <c r="CH36" s="978" t="n">
        <v>783.36</v>
      </c>
      <c r="CI36" s="15" t="n">
        <v>0.1389661652441392</v>
      </c>
      <c r="CJ36" s="15" t="n"/>
      <c r="CK36" s="987" t="n">
        <v>98</v>
      </c>
      <c r="CL36" s="976" t="n">
        <v>62.72</v>
      </c>
      <c r="CM36" s="982" t="n">
        <v>2380</v>
      </c>
      <c r="CN36" s="15" t="n">
        <v>1523.2</v>
      </c>
      <c r="CO36" s="982" t="n"/>
      <c r="CP36" s="15" t="n">
        <v>0</v>
      </c>
      <c r="CQ36" s="982" t="n"/>
      <c r="CR36" s="15" t="n">
        <v>0</v>
      </c>
      <c r="CS36" s="982" t="n"/>
      <c r="CT36" s="15" t="n">
        <v>0</v>
      </c>
      <c r="CU36" s="982" t="n"/>
      <c r="CV36" s="15" t="n">
        <v>0</v>
      </c>
      <c r="CW36" s="982" t="n">
        <v>700</v>
      </c>
      <c r="CX36" s="15" t="n">
        <v>448</v>
      </c>
      <c r="CY36" s="982" t="n"/>
      <c r="CZ36" s="15" t="n">
        <v>0</v>
      </c>
      <c r="DA36" s="982" t="n">
        <v>700</v>
      </c>
      <c r="DB36" s="15" t="n">
        <v>448</v>
      </c>
      <c r="DC36" s="982" t="n">
        <v>420</v>
      </c>
      <c r="DD36" s="15" t="n">
        <v>268.8</v>
      </c>
      <c r="DE36" s="982" t="n">
        <v>70</v>
      </c>
      <c r="DF36" s="15" t="n">
        <v>44.8</v>
      </c>
      <c r="DG36" s="982" t="n">
        <v>700</v>
      </c>
      <c r="DH36" s="15" t="n">
        <v>448</v>
      </c>
      <c r="DI36" s="983">
        <f>CK36+CM36+CO36+CQ36+CS36+CU36+CW36+CY36+DA36+DC36+DE36+DG36</f>
        <v/>
      </c>
      <c r="DJ36" s="983">
        <f>CL36+CN36+CP36+CR36+CT36+CV36+CX36+CZ36+DB36+DD36+DF36+DH36</f>
        <v/>
      </c>
      <c r="DK36" s="983">
        <f>(CK36+CM36)/2</f>
        <v/>
      </c>
      <c r="DL36" s="984">
        <f>(CL36+CN36)/2</f>
        <v/>
      </c>
      <c r="DM36" s="985">
        <f>DI36/12</f>
        <v/>
      </c>
      <c r="DN36" s="1129">
        <f>DJ36/12</f>
        <v/>
      </c>
      <c r="DO36" s="69">
        <f>DN36/$DN$57%</f>
        <v/>
      </c>
      <c r="DP36" s="987" t="n"/>
      <c r="DQ36" s="976" t="n"/>
      <c r="DR36" s="975" t="n">
        <v>420</v>
      </c>
      <c r="DS36" s="976" t="n">
        <v>268.8</v>
      </c>
      <c r="DT36" s="982" t="n"/>
      <c r="DU36" s="15" t="n"/>
      <c r="DV36" s="982" t="n"/>
      <c r="DW36" s="15" t="n"/>
      <c r="DX36" s="982" t="n"/>
      <c r="DY36" s="15" t="n"/>
      <c r="DZ36" s="982" t="n"/>
      <c r="EA36" s="15" t="n"/>
      <c r="EB36" s="982" t="n"/>
      <c r="EC36" s="15" t="n"/>
      <c r="ED36" s="982" t="n"/>
      <c r="EE36" s="15" t="n"/>
      <c r="EF36" s="982" t="n"/>
      <c r="EG36" s="15" t="n"/>
      <c r="EH36" s="982" t="n"/>
      <c r="EI36" s="15" t="n"/>
      <c r="EJ36" s="982" t="n"/>
      <c r="EK36" s="15" t="n"/>
      <c r="EL36" s="982" t="n"/>
      <c r="EM36" s="15" t="n"/>
      <c r="EN36" s="983">
        <f>DP36+DR36+DT36+DV36+DX36+DZ36+EB36+ED36+EF36+EH36+EJ36+EL36</f>
        <v/>
      </c>
      <c r="EO36" s="983">
        <f>DQ36+DS36+DU36+DW36+DY36+EA36+EC36+EE36+EG36+EI36+EK36+EM36</f>
        <v/>
      </c>
      <c r="EP36" s="985">
        <f>EN36/2</f>
        <v/>
      </c>
      <c r="EQ36" s="1129">
        <f>EO36/2</f>
        <v/>
      </c>
      <c r="ER36" s="535">
        <f>EQ36/$EQ$57%</f>
        <v/>
      </c>
      <c r="ES36" s="1130">
        <f>ER36-DO36</f>
        <v/>
      </c>
      <c r="ET36" s="1130">
        <f>EQ36/DL36*100-100</f>
        <v/>
      </c>
      <c r="EU36" s="1130">
        <f>EQ36/DN36*100-100</f>
        <v/>
      </c>
      <c r="EV36" s="1130">
        <f>EQ36-DN36</f>
        <v/>
      </c>
      <c r="EW36" s="1000">
        <f>EQ36-DL36</f>
        <v/>
      </c>
      <c r="EX36" s="1130">
        <f>EV36/14</f>
        <v/>
      </c>
      <c r="EY36" s="1130">
        <f>EW36/14</f>
        <v/>
      </c>
      <c r="EZ36" s="1130">
        <f>EY36*2</f>
        <v/>
      </c>
    </row>
    <row r="37">
      <c r="A37" s="7" t="n">
        <v>22</v>
      </c>
      <c r="B37" s="8" t="inlineStr">
        <is>
          <t>ချယ်ရီသံပုရာ (1 Liter )</t>
        </is>
      </c>
      <c r="C37" s="8" t="inlineStr">
        <is>
          <t>‌ကော်ဘူး</t>
        </is>
      </c>
      <c r="D37" s="7" t="n">
        <v>1</v>
      </c>
      <c r="E37" s="7" t="inlineStr">
        <is>
          <t>1 * 12</t>
        </is>
      </c>
      <c r="F37" s="7" t="n">
        <v>1220</v>
      </c>
      <c r="G37" s="975" t="n"/>
      <c r="H37" s="976" t="n">
        <v>0</v>
      </c>
      <c r="I37" s="975" t="n"/>
      <c r="J37" s="976" t="n">
        <v>0</v>
      </c>
      <c r="K37" s="975" t="n"/>
      <c r="L37" s="976" t="n">
        <v>0</v>
      </c>
      <c r="M37" s="975" t="n"/>
      <c r="N37" s="976" t="n">
        <v>0</v>
      </c>
      <c r="O37" s="975" t="n"/>
      <c r="P37" s="976" t="n">
        <v>0</v>
      </c>
      <c r="Q37" s="975" t="n"/>
      <c r="R37" s="976" t="n">
        <v>0</v>
      </c>
      <c r="S37" s="975" t="n"/>
      <c r="T37" s="976" t="n">
        <v>0</v>
      </c>
      <c r="U37" s="975" t="n"/>
      <c r="V37" s="976" t="n">
        <v>0</v>
      </c>
      <c r="W37" s="975" t="n"/>
      <c r="X37" s="976" t="n">
        <v>0</v>
      </c>
      <c r="Y37" s="975" t="n"/>
      <c r="Z37" s="976" t="n">
        <v>0</v>
      </c>
      <c r="AA37" s="975" t="n"/>
      <c r="AB37" s="976" t="n">
        <v>0</v>
      </c>
      <c r="AC37" s="975" t="n"/>
      <c r="AD37" s="976" t="n">
        <v>0</v>
      </c>
      <c r="AE37" s="977" t="n">
        <v>0</v>
      </c>
      <c r="AF37" s="978" t="n">
        <v>0</v>
      </c>
      <c r="AG37" s="975" t="n"/>
      <c r="AH37" s="976" t="n">
        <v>0</v>
      </c>
      <c r="AI37" s="975" t="n"/>
      <c r="AJ37" s="976" t="n">
        <v>0</v>
      </c>
      <c r="AK37" s="975" t="n"/>
      <c r="AL37" s="976" t="n">
        <v>0</v>
      </c>
      <c r="AM37" s="975" t="n"/>
      <c r="AN37" s="976" t="n">
        <v>0</v>
      </c>
      <c r="AO37" s="975" t="n"/>
      <c r="AP37" s="976" t="n">
        <v>0</v>
      </c>
      <c r="AQ37" s="975" t="n"/>
      <c r="AR37" s="976" t="n">
        <v>0</v>
      </c>
      <c r="AS37" s="975" t="n"/>
      <c r="AT37" s="976" t="n">
        <v>0</v>
      </c>
      <c r="AU37" s="975" t="n"/>
      <c r="AV37" s="976" t="n">
        <v>0</v>
      </c>
      <c r="AW37" s="975" t="n"/>
      <c r="AX37" s="976" t="n">
        <v>0</v>
      </c>
      <c r="AY37" s="975" t="n"/>
      <c r="AZ37" s="976" t="n">
        <v>0</v>
      </c>
      <c r="BA37" s="975" t="n"/>
      <c r="BB37" s="976" t="n">
        <v>0</v>
      </c>
      <c r="BC37" s="975" t="n"/>
      <c r="BD37" s="976" t="n">
        <v>0</v>
      </c>
      <c r="BE37" s="977" t="n">
        <v>0</v>
      </c>
      <c r="BF37" s="978" t="n">
        <v>0</v>
      </c>
      <c r="BG37" s="975" t="n"/>
      <c r="BH37" s="976" t="n">
        <v>0</v>
      </c>
      <c r="BI37" s="975" t="n"/>
      <c r="BJ37" s="976" t="n">
        <v>0</v>
      </c>
      <c r="BK37" s="975" t="n"/>
      <c r="BL37" s="976" t="n">
        <v>0</v>
      </c>
      <c r="BM37" s="975" t="n"/>
      <c r="BN37" s="976" t="n">
        <v>0</v>
      </c>
      <c r="BO37" s="975" t="n"/>
      <c r="BP37" s="976" t="n">
        <v>0</v>
      </c>
      <c r="BQ37" s="975" t="n"/>
      <c r="BR37" s="976" t="n">
        <v>0</v>
      </c>
      <c r="BS37" s="975" t="n"/>
      <c r="BT37" s="976" t="n">
        <v>0</v>
      </c>
      <c r="BU37" s="975" t="n"/>
      <c r="BV37" s="976" t="n">
        <v>0</v>
      </c>
      <c r="BW37" s="975" t="n">
        <v>1800</v>
      </c>
      <c r="BX37" s="976" t="n">
        <v>1800</v>
      </c>
      <c r="BY37" s="975" t="n">
        <v>1225</v>
      </c>
      <c r="BZ37" s="976" t="n">
        <v>1225</v>
      </c>
      <c r="CA37" s="975" t="n">
        <v>2352</v>
      </c>
      <c r="CB37" s="976" t="n">
        <v>2352</v>
      </c>
      <c r="CC37" s="975" t="n">
        <v>3829</v>
      </c>
      <c r="CD37" s="976" t="n">
        <v>3829</v>
      </c>
      <c r="CE37" s="979">
        <f>(BG37+BI37+BK37+BM37+BO37+BQ37+BS37+BU37+BW37+BY37+CA37)/11</f>
        <v/>
      </c>
      <c r="CF37" s="976">
        <f>(BH37+BJ37+BL37+BN37+BP37+BR37+BT37+BV37+BX37+BZ37+CB37)/11</f>
        <v/>
      </c>
      <c r="CG37" s="977" t="n">
        <v>767.1666666666666</v>
      </c>
      <c r="CH37" s="978" t="n">
        <v>767.1666666666666</v>
      </c>
      <c r="CI37" s="15" t="n">
        <v>0.1360935071611972</v>
      </c>
      <c r="CJ37" s="15" t="n"/>
      <c r="CK37" s="987" t="n">
        <v>8591</v>
      </c>
      <c r="CL37" s="976" t="n">
        <v>8591</v>
      </c>
      <c r="CM37" s="982" t="n">
        <v>7187</v>
      </c>
      <c r="CN37" s="15" t="n">
        <v>7187</v>
      </c>
      <c r="CO37" s="982" t="n">
        <v>4257</v>
      </c>
      <c r="CP37" s="15" t="n">
        <v>4257</v>
      </c>
      <c r="CQ37" s="982" t="n">
        <v>4920</v>
      </c>
      <c r="CR37" s="15" t="n">
        <v>4920</v>
      </c>
      <c r="CS37" s="982" t="n">
        <v>7955</v>
      </c>
      <c r="CT37" s="15" t="n">
        <v>7955</v>
      </c>
      <c r="CU37" s="982" t="n">
        <v>4860</v>
      </c>
      <c r="CV37" s="15" t="n">
        <v>4860</v>
      </c>
      <c r="CW37" s="982" t="n">
        <v>13137</v>
      </c>
      <c r="CX37" s="15" t="n">
        <v>13137</v>
      </c>
      <c r="CY37" s="982" t="n">
        <v>8892</v>
      </c>
      <c r="CZ37" s="15" t="n">
        <v>8892</v>
      </c>
      <c r="DA37" s="982" t="n">
        <v>27768</v>
      </c>
      <c r="DB37" s="15" t="n">
        <v>27768</v>
      </c>
      <c r="DC37" s="982" t="n">
        <v>12502</v>
      </c>
      <c r="DD37" s="15" t="n">
        <v>12502</v>
      </c>
      <c r="DE37" s="982" t="n">
        <v>30048</v>
      </c>
      <c r="DF37" s="15" t="n">
        <v>30048</v>
      </c>
      <c r="DG37" s="982" t="n">
        <v>20220</v>
      </c>
      <c r="DH37" s="15" t="n">
        <v>20220</v>
      </c>
      <c r="DI37" s="983">
        <f>CK37+CM37+CO37+CQ37+CS37+CU37+CW37+CY37+DA37+DC37+DE37+DG37</f>
        <v/>
      </c>
      <c r="DJ37" s="983">
        <f>CL37+CN37+CP37+CR37+CT37+CV37+CX37+CZ37+DB37+DD37+DF37+DH37</f>
        <v/>
      </c>
      <c r="DK37" s="983">
        <f>(CK37+CM37)/2</f>
        <v/>
      </c>
      <c r="DL37" s="984">
        <f>(CL37+CN37)/2</f>
        <v/>
      </c>
      <c r="DM37" s="985">
        <f>DI37/12</f>
        <v/>
      </c>
      <c r="DN37" s="1129">
        <f>DJ37/12</f>
        <v/>
      </c>
      <c r="DO37" s="69">
        <f>DN37/$DN$57%</f>
        <v/>
      </c>
      <c r="DP37" s="987" t="n">
        <v>11274</v>
      </c>
      <c r="DQ37" s="976" t="n">
        <v>11274</v>
      </c>
      <c r="DR37" s="975" t="n">
        <v>12354</v>
      </c>
      <c r="DS37" s="976" t="n">
        <v>12354</v>
      </c>
      <c r="DT37" s="982" t="n"/>
      <c r="DU37" s="15" t="n"/>
      <c r="DV37" s="982" t="n"/>
      <c r="DW37" s="15" t="n"/>
      <c r="DX37" s="982" t="n"/>
      <c r="DY37" s="15" t="n"/>
      <c r="DZ37" s="982" t="n"/>
      <c r="EA37" s="15" t="n"/>
      <c r="EB37" s="982" t="n"/>
      <c r="EC37" s="15" t="n"/>
      <c r="ED37" s="982" t="n"/>
      <c r="EE37" s="15" t="n"/>
      <c r="EF37" s="982" t="n"/>
      <c r="EG37" s="15" t="n"/>
      <c r="EH37" s="982" t="n"/>
      <c r="EI37" s="15" t="n"/>
      <c r="EJ37" s="982" t="n"/>
      <c r="EK37" s="15" t="n"/>
      <c r="EL37" s="982" t="n"/>
      <c r="EM37" s="15" t="n"/>
      <c r="EN37" s="983">
        <f>DP37+DR37+DT37+DV37+DX37+DZ37+EB37+ED37+EF37+EH37+EJ37+EL37</f>
        <v/>
      </c>
      <c r="EO37" s="983">
        <f>DQ37+DS37+DU37+DW37+DY37+EA37+EC37+EE37+EG37+EI37+EK37+EM37</f>
        <v/>
      </c>
      <c r="EP37" s="985">
        <f>EN37/2</f>
        <v/>
      </c>
      <c r="EQ37" s="1129">
        <f>EO37/2</f>
        <v/>
      </c>
      <c r="ER37" s="535">
        <f>EQ37/$EQ$57%</f>
        <v/>
      </c>
      <c r="ES37" s="1130">
        <f>ER37-DO37</f>
        <v/>
      </c>
      <c r="ET37" s="1130">
        <f>EQ37/DL37*100-100</f>
        <v/>
      </c>
      <c r="EU37" s="1130">
        <f>EQ37/DN37*100-100</f>
        <v/>
      </c>
      <c r="EV37" s="1130">
        <f>EQ37-DN37</f>
        <v/>
      </c>
      <c r="EW37" s="1000">
        <f>EQ37-DL37</f>
        <v/>
      </c>
      <c r="EX37" s="1130">
        <f>EV37/14</f>
        <v/>
      </c>
      <c r="EY37" s="1130">
        <f>EW37/14</f>
        <v/>
      </c>
      <c r="EZ37" s="1130">
        <f>EY37*2</f>
        <v/>
      </c>
    </row>
    <row r="38">
      <c r="A38" s="7" t="n">
        <v>23</v>
      </c>
      <c r="B38" s="8" t="inlineStr">
        <is>
          <t>ချယ်ရီသံပုရာ (0.6 Liter )</t>
        </is>
      </c>
      <c r="C38" s="8" t="inlineStr">
        <is>
          <t>‌ကော်ဘူး</t>
        </is>
      </c>
      <c r="D38" s="7" t="n">
        <v>0.6</v>
      </c>
      <c r="E38" s="7" t="inlineStr">
        <is>
          <t>1 * 24</t>
        </is>
      </c>
      <c r="F38" s="7" t="n">
        <v>915</v>
      </c>
      <c r="G38" s="975" t="n"/>
      <c r="H38" s="976" t="n">
        <v>0</v>
      </c>
      <c r="I38" s="975" t="n"/>
      <c r="J38" s="976" t="n">
        <v>0</v>
      </c>
      <c r="K38" s="975" t="n"/>
      <c r="L38" s="976" t="n">
        <v>0</v>
      </c>
      <c r="M38" s="975" t="n"/>
      <c r="N38" s="976" t="n">
        <v>0</v>
      </c>
      <c r="O38" s="975" t="n"/>
      <c r="P38" s="976" t="n">
        <v>0</v>
      </c>
      <c r="Q38" s="975" t="n"/>
      <c r="R38" s="976" t="n">
        <v>0</v>
      </c>
      <c r="S38" s="975" t="n"/>
      <c r="T38" s="976" t="n">
        <v>0</v>
      </c>
      <c r="U38" s="975" t="n"/>
      <c r="V38" s="976" t="n">
        <v>0</v>
      </c>
      <c r="W38" s="975" t="n"/>
      <c r="X38" s="976" t="n">
        <v>0</v>
      </c>
      <c r="Y38" s="975" t="n"/>
      <c r="Z38" s="976" t="n">
        <v>0</v>
      </c>
      <c r="AA38" s="975" t="n"/>
      <c r="AB38" s="976" t="n">
        <v>0</v>
      </c>
      <c r="AC38" s="975" t="n"/>
      <c r="AD38" s="976" t="n">
        <v>0</v>
      </c>
      <c r="AE38" s="977" t="n">
        <v>0</v>
      </c>
      <c r="AF38" s="978" t="n">
        <v>0</v>
      </c>
      <c r="AG38" s="975" t="n"/>
      <c r="AH38" s="976" t="n">
        <v>0</v>
      </c>
      <c r="AI38" s="975" t="n"/>
      <c r="AJ38" s="976" t="n">
        <v>0</v>
      </c>
      <c r="AK38" s="975" t="n"/>
      <c r="AL38" s="976" t="n">
        <v>0</v>
      </c>
      <c r="AM38" s="975" t="n"/>
      <c r="AN38" s="976" t="n">
        <v>0</v>
      </c>
      <c r="AO38" s="975" t="n"/>
      <c r="AP38" s="976" t="n">
        <v>0</v>
      </c>
      <c r="AQ38" s="975" t="n"/>
      <c r="AR38" s="976" t="n">
        <v>0</v>
      </c>
      <c r="AS38" s="975" t="n"/>
      <c r="AT38" s="976" t="n">
        <v>0</v>
      </c>
      <c r="AU38" s="975" t="n"/>
      <c r="AV38" s="976" t="n">
        <v>0</v>
      </c>
      <c r="AW38" s="975" t="n"/>
      <c r="AX38" s="976" t="n">
        <v>0</v>
      </c>
      <c r="AY38" s="975" t="n"/>
      <c r="AZ38" s="976" t="n">
        <v>0</v>
      </c>
      <c r="BA38" s="975" t="n"/>
      <c r="BB38" s="976" t="n">
        <v>0</v>
      </c>
      <c r="BC38" s="975" t="n"/>
      <c r="BD38" s="976" t="n">
        <v>0</v>
      </c>
      <c r="BE38" s="977" t="n">
        <v>0</v>
      </c>
      <c r="BF38" s="978" t="n">
        <v>0</v>
      </c>
      <c r="BG38" s="975" t="n"/>
      <c r="BH38" s="976" t="n">
        <v>0</v>
      </c>
      <c r="BI38" s="975" t="n"/>
      <c r="BJ38" s="976" t="n">
        <v>0</v>
      </c>
      <c r="BK38" s="975" t="n"/>
      <c r="BL38" s="976" t="n">
        <v>0</v>
      </c>
      <c r="BM38" s="975" t="n"/>
      <c r="BN38" s="976" t="n">
        <v>0</v>
      </c>
      <c r="BO38" s="975" t="n"/>
      <c r="BP38" s="976" t="n">
        <v>0</v>
      </c>
      <c r="BQ38" s="975" t="n"/>
      <c r="BR38" s="976" t="n">
        <v>0</v>
      </c>
      <c r="BS38" s="975" t="n"/>
      <c r="BT38" s="976" t="n">
        <v>0</v>
      </c>
      <c r="BU38" s="975" t="n"/>
      <c r="BV38" s="976" t="n">
        <v>0</v>
      </c>
      <c r="BW38" s="975" t="n">
        <v>3192</v>
      </c>
      <c r="BX38" s="976" t="n">
        <v>1915.2</v>
      </c>
      <c r="BY38" s="975" t="n">
        <v>3095</v>
      </c>
      <c r="BZ38" s="976" t="n">
        <v>1857</v>
      </c>
      <c r="CA38" s="975" t="n">
        <v>2112</v>
      </c>
      <c r="CB38" s="976" t="n">
        <v>1267.2</v>
      </c>
      <c r="CC38" s="975" t="n">
        <v>3870</v>
      </c>
      <c r="CD38" s="976" t="n">
        <v>2322</v>
      </c>
      <c r="CE38" s="979">
        <f>(BG38+BI38+BK38+BM38+BO38+BQ38+BS38+BU38+BW38+BY38+CA38)/11</f>
        <v/>
      </c>
      <c r="CF38" s="976">
        <f>(BH38+BJ38+BL38+BN38+BP38+BR38+BT38+BV38+BX38+BZ38+CB38)/11</f>
        <v/>
      </c>
      <c r="CG38" s="977" t="n">
        <v>1022.416666666667</v>
      </c>
      <c r="CH38" s="978" t="n">
        <v>613.4499999999999</v>
      </c>
      <c r="CI38" s="15" t="n">
        <v>0.1088245430823851</v>
      </c>
      <c r="CJ38" s="15" t="n">
        <v>1.86</v>
      </c>
      <c r="CK38" s="987" t="n">
        <v>3756</v>
      </c>
      <c r="CL38" s="976" t="n">
        <v>2253.6</v>
      </c>
      <c r="CM38" s="982" t="n">
        <v>2577</v>
      </c>
      <c r="CN38" s="15" t="n">
        <v>1546.2</v>
      </c>
      <c r="CO38" s="982" t="n">
        <v>2112</v>
      </c>
      <c r="CP38" s="15" t="n">
        <v>1267.2</v>
      </c>
      <c r="CQ38" s="982" t="n">
        <v>1992</v>
      </c>
      <c r="CR38" s="15" t="n">
        <v>1195.2</v>
      </c>
      <c r="CS38" s="982" t="n">
        <v>1296</v>
      </c>
      <c r="CT38" s="15" t="n">
        <v>777.6</v>
      </c>
      <c r="CU38" s="982" t="n">
        <v>1536</v>
      </c>
      <c r="CV38" s="15" t="n">
        <v>921.5999999999999</v>
      </c>
      <c r="CW38" s="982" t="n">
        <v>984</v>
      </c>
      <c r="CX38" s="15" t="n">
        <v>590.4</v>
      </c>
      <c r="CY38" s="982" t="n">
        <v>648</v>
      </c>
      <c r="CZ38" s="15" t="n">
        <v>388.8</v>
      </c>
      <c r="DA38" s="982" t="n">
        <v>2088</v>
      </c>
      <c r="DB38" s="15" t="n">
        <v>1252.8</v>
      </c>
      <c r="DC38" s="982" t="n">
        <v>576</v>
      </c>
      <c r="DD38" s="15" t="n">
        <v>345.6</v>
      </c>
      <c r="DE38" s="982" t="n">
        <v>984</v>
      </c>
      <c r="DF38" s="15" t="n">
        <v>590.4</v>
      </c>
      <c r="DG38" s="982" t="n">
        <v>1608</v>
      </c>
      <c r="DH38" s="15" t="n">
        <v>964.8</v>
      </c>
      <c r="DI38" s="983">
        <f>CK38+CM38+CO38+CQ38+CS38+CU38+CW38+CY38+DA38+DC38+DE38+DG38</f>
        <v/>
      </c>
      <c r="DJ38" s="983">
        <f>CL38+CN38+CP38+CR38+CT38+CV38+CX38+CZ38+DB38+DD38+DF38+DH38</f>
        <v/>
      </c>
      <c r="DK38" s="983">
        <f>(CK38+CM38)/2</f>
        <v/>
      </c>
      <c r="DL38" s="984">
        <f>(CL38+CN38)/2</f>
        <v/>
      </c>
      <c r="DM38" s="985">
        <f>DI38/12</f>
        <v/>
      </c>
      <c r="DN38" s="1129">
        <f>DJ38/12</f>
        <v/>
      </c>
      <c r="DO38" s="69">
        <f>DN38/$DN$57%</f>
        <v/>
      </c>
      <c r="DP38" s="987" t="n">
        <v>792</v>
      </c>
      <c r="DQ38" s="976" t="n">
        <v>475.2</v>
      </c>
      <c r="DR38" s="975" t="n">
        <v>1020</v>
      </c>
      <c r="DS38" s="976" t="n">
        <v>612</v>
      </c>
      <c r="DT38" s="982" t="n"/>
      <c r="DU38" s="15" t="n"/>
      <c r="DV38" s="982" t="n"/>
      <c r="DW38" s="15" t="n"/>
      <c r="DX38" s="982" t="n"/>
      <c r="DY38" s="15" t="n"/>
      <c r="DZ38" s="982" t="n"/>
      <c r="EA38" s="15" t="n"/>
      <c r="EB38" s="982" t="n"/>
      <c r="EC38" s="15" t="n"/>
      <c r="ED38" s="982" t="n"/>
      <c r="EE38" s="15" t="n"/>
      <c r="EF38" s="982" t="n"/>
      <c r="EG38" s="15" t="n"/>
      <c r="EH38" s="982" t="n"/>
      <c r="EI38" s="15" t="n"/>
      <c r="EJ38" s="982" t="n"/>
      <c r="EK38" s="15" t="n"/>
      <c r="EL38" s="982" t="n"/>
      <c r="EM38" s="15" t="n"/>
      <c r="EN38" s="983">
        <f>DP38+DR38+DT38+DV38+DX38+DZ38+EB38+ED38+EF38+EH38+EJ38+EL38</f>
        <v/>
      </c>
      <c r="EO38" s="983">
        <f>DQ38+DS38+DU38+DW38+DY38+EA38+EC38+EE38+EG38+EI38+EK38+EM38</f>
        <v/>
      </c>
      <c r="EP38" s="985">
        <f>EN38/2</f>
        <v/>
      </c>
      <c r="EQ38" s="1129">
        <f>EO38/2</f>
        <v/>
      </c>
      <c r="ER38" s="535">
        <f>EQ38/$EQ$57%</f>
        <v/>
      </c>
      <c r="ES38" s="1130">
        <f>ER38-DO38</f>
        <v/>
      </c>
      <c r="ET38" s="1130">
        <f>EQ38/DL38*100-100</f>
        <v/>
      </c>
      <c r="EU38" s="1130">
        <f>EQ38/DN38*100-100</f>
        <v/>
      </c>
      <c r="EV38" s="1130">
        <f>EQ38-DN38</f>
        <v/>
      </c>
      <c r="EW38" s="1000">
        <f>EQ38-DL38</f>
        <v/>
      </c>
      <c r="EX38" s="1130">
        <f>EV38/14</f>
        <v/>
      </c>
      <c r="EY38" s="1130">
        <f>EW38/14</f>
        <v/>
      </c>
      <c r="EZ38" s="1130">
        <f>EY38*2</f>
        <v/>
      </c>
    </row>
    <row r="39" customFormat="1" s="251">
      <c r="A39" s="246" t="n"/>
      <c r="B39" s="247" t="inlineStr">
        <is>
          <t>Cherry</t>
        </is>
      </c>
      <c r="C39" s="247" t="n"/>
      <c r="D39" s="246" t="n"/>
      <c r="E39" s="246" t="n"/>
      <c r="F39" s="246" t="n"/>
      <c r="G39" s="1131" t="n"/>
      <c r="H39" s="1132" t="n"/>
      <c r="I39" s="1131" t="n"/>
      <c r="J39" s="1132" t="n"/>
      <c r="K39" s="1131" t="n"/>
      <c r="L39" s="1132" t="n"/>
      <c r="M39" s="1131" t="n"/>
      <c r="N39" s="1132" t="n"/>
      <c r="O39" s="1131" t="n"/>
      <c r="P39" s="1132" t="n"/>
      <c r="Q39" s="1131" t="n"/>
      <c r="R39" s="1132" t="n"/>
      <c r="S39" s="1131" t="n"/>
      <c r="T39" s="1132" t="n"/>
      <c r="U39" s="1131" t="n"/>
      <c r="V39" s="1132" t="n"/>
      <c r="W39" s="1131" t="n"/>
      <c r="X39" s="1132" t="n"/>
      <c r="Y39" s="1131" t="n"/>
      <c r="Z39" s="1132" t="n"/>
      <c r="AA39" s="1131" t="n"/>
      <c r="AB39" s="1132" t="n"/>
      <c r="AC39" s="1131" t="n"/>
      <c r="AD39" s="1132" t="n"/>
      <c r="AE39" s="1131" t="n"/>
      <c r="AF39" s="1132" t="n"/>
      <c r="AG39" s="1131" t="n"/>
      <c r="AH39" s="1132" t="n"/>
      <c r="AI39" s="1131" t="n"/>
      <c r="AJ39" s="1132" t="n"/>
      <c r="AK39" s="1131" t="n"/>
      <c r="AL39" s="1132" t="n"/>
      <c r="AM39" s="1131" t="n"/>
      <c r="AN39" s="1132" t="n"/>
      <c r="AO39" s="1131" t="n"/>
      <c r="AP39" s="1132" t="n"/>
      <c r="AQ39" s="1131" t="n"/>
      <c r="AR39" s="1132" t="n"/>
      <c r="AS39" s="1131" t="n"/>
      <c r="AT39" s="1132" t="n"/>
      <c r="AU39" s="1131" t="n"/>
      <c r="AV39" s="1132" t="n"/>
      <c r="AW39" s="1131" t="n"/>
      <c r="AX39" s="1132" t="n"/>
      <c r="AY39" s="1131" t="n"/>
      <c r="AZ39" s="1132" t="n"/>
      <c r="BA39" s="1131" t="n"/>
      <c r="BB39" s="1132" t="n"/>
      <c r="BC39" s="1131" t="n"/>
      <c r="BD39" s="1132" t="n"/>
      <c r="BE39" s="1131" t="n"/>
      <c r="BF39" s="1132" t="n"/>
      <c r="BG39" s="1131" t="n"/>
      <c r="BH39" s="1132" t="n"/>
      <c r="BI39" s="1131" t="n"/>
      <c r="BJ39" s="1132" t="n"/>
      <c r="BK39" s="1131" t="n"/>
      <c r="BL39" s="1132" t="n"/>
      <c r="BM39" s="1131" t="n"/>
      <c r="BN39" s="1132" t="n"/>
      <c r="BO39" s="1131" t="n"/>
      <c r="BP39" s="1132" t="n"/>
      <c r="BQ39" s="1131" t="n"/>
      <c r="BR39" s="1132" t="n"/>
      <c r="BS39" s="1131" t="n"/>
      <c r="BT39" s="1132" t="n"/>
      <c r="BU39" s="1131" t="n"/>
      <c r="BV39" s="1132" t="n"/>
      <c r="BW39" s="1131" t="n"/>
      <c r="BX39" s="1132" t="n"/>
      <c r="BY39" s="1131" t="n"/>
      <c r="BZ39" s="1132" t="n"/>
      <c r="CA39" s="1131" t="n"/>
      <c r="CB39" s="1132" t="n"/>
      <c r="CC39" s="1131" t="n"/>
      <c r="CD39" s="1132" t="n"/>
      <c r="CE39" s="1133">
        <f>SUM(CE35:CE38)</f>
        <v/>
      </c>
      <c r="CF39" s="1133">
        <f>SUM(CF35:CF38)</f>
        <v/>
      </c>
      <c r="CG39" s="1133">
        <f>SUM(CG35:CG38)</f>
        <v/>
      </c>
      <c r="CH39" s="1133">
        <f>SUM(CH35:CH38)</f>
        <v/>
      </c>
      <c r="CI39" s="1133">
        <f>SUM(CI35:CI38)</f>
        <v/>
      </c>
      <c r="CJ39" s="1133">
        <f>SUM(CJ35:CJ38)</f>
        <v/>
      </c>
      <c r="CK39" s="1133">
        <f>SUM(CK35:CK38)</f>
        <v/>
      </c>
      <c r="CL39" s="1133">
        <f>SUM(CL35:CL38)</f>
        <v/>
      </c>
      <c r="CM39" s="1133">
        <f>SUM(CM35:CM38)</f>
        <v/>
      </c>
      <c r="CN39" s="1133">
        <f>SUM(CN35:CN38)</f>
        <v/>
      </c>
      <c r="CO39" s="1133">
        <f>SUM(CO35:CO38)</f>
        <v/>
      </c>
      <c r="CP39" s="1133">
        <f>SUM(CP35:CP38)</f>
        <v/>
      </c>
      <c r="CQ39" s="1133">
        <f>SUM(CQ35:CQ38)</f>
        <v/>
      </c>
      <c r="CR39" s="1133">
        <f>SUM(CR35:CR38)</f>
        <v/>
      </c>
      <c r="CS39" s="1133">
        <f>SUM(CS35:CS38)</f>
        <v/>
      </c>
      <c r="CT39" s="1133">
        <f>SUM(CT35:CT38)</f>
        <v/>
      </c>
      <c r="CU39" s="1133">
        <f>SUM(CU35:CU38)</f>
        <v/>
      </c>
      <c r="CV39" s="1133">
        <f>SUM(CV35:CV38)</f>
        <v/>
      </c>
      <c r="CW39" s="1133">
        <f>SUM(CW35:CW38)</f>
        <v/>
      </c>
      <c r="CX39" s="1133">
        <f>SUM(CX35:CX38)</f>
        <v/>
      </c>
      <c r="CY39" s="1133">
        <f>SUM(CY35:CY38)</f>
        <v/>
      </c>
      <c r="CZ39" s="1133">
        <f>SUM(CZ35:CZ38)</f>
        <v/>
      </c>
      <c r="DA39" s="1133">
        <f>SUM(DA35:DA38)</f>
        <v/>
      </c>
      <c r="DB39" s="1133">
        <f>SUM(DB35:DB38)</f>
        <v/>
      </c>
      <c r="DC39" s="1133">
        <f>SUM(DC35:DC38)</f>
        <v/>
      </c>
      <c r="DD39" s="1133">
        <f>SUM(DD35:DD38)</f>
        <v/>
      </c>
      <c r="DE39" s="1133">
        <f>SUM(DE35:DE38)</f>
        <v/>
      </c>
      <c r="DF39" s="1133">
        <f>SUM(DF35:DF38)</f>
        <v/>
      </c>
      <c r="DG39" s="1133">
        <f>SUM(DG35:DG38)</f>
        <v/>
      </c>
      <c r="DH39" s="1133">
        <f>SUM(DH35:DH38)</f>
        <v/>
      </c>
      <c r="DI39" s="1133">
        <f>SUM(DI35:DI38)</f>
        <v/>
      </c>
      <c r="DJ39" s="1133">
        <f>SUM(DJ35:DJ38)</f>
        <v/>
      </c>
      <c r="DK39" s="1134">
        <f>(CK39+CM39)/2</f>
        <v/>
      </c>
      <c r="DL39" s="1135">
        <f>(CL39+CN39)/2</f>
        <v/>
      </c>
      <c r="DM39" s="1136">
        <f>DI39/12</f>
        <v/>
      </c>
      <c r="DN39" s="1137">
        <f>DJ39/12</f>
        <v/>
      </c>
      <c r="DO39" s="1133">
        <f>SUM(DO35:DO38)</f>
        <v/>
      </c>
      <c r="DP39" s="1133">
        <f>SUM(DP35:DP38)</f>
        <v/>
      </c>
      <c r="DQ39" s="1133">
        <f>SUM(DQ35:DQ38)</f>
        <v/>
      </c>
      <c r="DR39" s="1133">
        <f>SUM(DR35:DR38)</f>
        <v/>
      </c>
      <c r="DS39" s="1133">
        <f>SUM(DS35:DS38)</f>
        <v/>
      </c>
      <c r="DT39" s="1133">
        <f>SUM(DT35:DT38)</f>
        <v/>
      </c>
      <c r="DU39" s="1133">
        <f>SUM(DU35:DU38)</f>
        <v/>
      </c>
      <c r="DV39" s="1133">
        <f>SUM(DV35:DV38)</f>
        <v/>
      </c>
      <c r="DW39" s="1133">
        <f>SUM(DW35:DW38)</f>
        <v/>
      </c>
      <c r="DX39" s="1133">
        <f>SUM(DX35:DX38)</f>
        <v/>
      </c>
      <c r="DY39" s="1133">
        <f>SUM(DY35:DY38)</f>
        <v/>
      </c>
      <c r="DZ39" s="1133">
        <f>SUM(DZ35:DZ38)</f>
        <v/>
      </c>
      <c r="EA39" s="1133">
        <f>SUM(EA35:EA38)</f>
        <v/>
      </c>
      <c r="EB39" s="1133">
        <f>SUM(EB35:EB38)</f>
        <v/>
      </c>
      <c r="EC39" s="1133">
        <f>SUM(EC35:EC38)</f>
        <v/>
      </c>
      <c r="ED39" s="1133">
        <f>SUM(ED35:ED38)</f>
        <v/>
      </c>
      <c r="EE39" s="1133">
        <f>SUM(EE35:EE38)</f>
        <v/>
      </c>
      <c r="EF39" s="1133">
        <f>SUM(EF35:EF38)</f>
        <v/>
      </c>
      <c r="EG39" s="1133">
        <f>SUM(EG35:EG38)</f>
        <v/>
      </c>
      <c r="EH39" s="1133">
        <f>SUM(EH35:EH38)</f>
        <v/>
      </c>
      <c r="EI39" s="1133">
        <f>SUM(EI35:EI38)</f>
        <v/>
      </c>
      <c r="EJ39" s="1133">
        <f>SUM(EJ35:EJ38)</f>
        <v/>
      </c>
      <c r="EK39" s="1133">
        <f>SUM(EK35:EK38)</f>
        <v/>
      </c>
      <c r="EL39" s="1133">
        <f>SUM(EL35:EL38)</f>
        <v/>
      </c>
      <c r="EM39" s="1133">
        <f>SUM(EM35:EM38)</f>
        <v/>
      </c>
      <c r="EN39" s="1133">
        <f>SUM(EN35:EN38)</f>
        <v/>
      </c>
      <c r="EO39" s="1133">
        <f>SUM(EO35:EO38)</f>
        <v/>
      </c>
      <c r="EP39" s="1136">
        <f>EN39/2</f>
        <v/>
      </c>
      <c r="EQ39" s="1137">
        <f>EO39/2</f>
        <v/>
      </c>
      <c r="ER39" s="536">
        <f>EQ39/$EQ$57%</f>
        <v/>
      </c>
      <c r="ES39" s="1138">
        <f>ER39-DO39</f>
        <v/>
      </c>
      <c r="ET39" s="1138">
        <f>EQ39/DL39*100-100</f>
        <v/>
      </c>
      <c r="EU39" s="1138">
        <f>EQ39/DN39*100-100</f>
        <v/>
      </c>
      <c r="EV39" s="1138">
        <f>EQ39-DN39</f>
        <v/>
      </c>
      <c r="EW39" s="1139">
        <f>EQ39-DL39</f>
        <v/>
      </c>
      <c r="EX39" s="1138">
        <f>EV39/14</f>
        <v/>
      </c>
      <c r="EY39" s="1138">
        <f>EW39/14</f>
        <v/>
      </c>
      <c r="EZ39" s="1138">
        <f>EY39*2</f>
        <v/>
      </c>
    </row>
    <row r="40">
      <c r="A40" s="7" t="n">
        <v>24</v>
      </c>
      <c r="B40" s="8" t="inlineStr">
        <is>
          <t>ရွှေမင်းသားခေါင်ရည်</t>
        </is>
      </c>
      <c r="C40" s="8" t="inlineStr">
        <is>
          <t>ကော်ဘူး</t>
        </is>
      </c>
      <c r="D40" s="7" t="n">
        <v>0.6</v>
      </c>
      <c r="E40" s="7" t="inlineStr">
        <is>
          <t>1 * 12</t>
        </is>
      </c>
      <c r="F40" s="7" t="n">
        <v>800</v>
      </c>
      <c r="G40" s="975" t="n"/>
      <c r="H40" s="976" t="n"/>
      <c r="I40" s="975" t="n"/>
      <c r="J40" s="976" t="n"/>
      <c r="K40" s="975" t="n"/>
      <c r="L40" s="976" t="n"/>
      <c r="M40" s="975" t="n"/>
      <c r="N40" s="976" t="n"/>
      <c r="O40" s="975" t="n"/>
      <c r="P40" s="976" t="n"/>
      <c r="Q40" s="975" t="n"/>
      <c r="R40" s="976" t="n"/>
      <c r="S40" s="975" t="n"/>
      <c r="T40" s="976" t="n"/>
      <c r="U40" s="975" t="n"/>
      <c r="V40" s="976" t="n"/>
      <c r="W40" s="975" t="n"/>
      <c r="X40" s="976" t="n"/>
      <c r="Y40" s="975" t="n"/>
      <c r="Z40" s="976" t="n"/>
      <c r="AA40" s="975" t="n"/>
      <c r="AB40" s="976" t="n"/>
      <c r="AC40" s="975" t="n"/>
      <c r="AD40" s="976" t="n"/>
      <c r="AE40" s="977" t="n"/>
      <c r="AF40" s="978" t="n"/>
      <c r="AG40" s="975" t="n"/>
      <c r="AH40" s="976" t="n"/>
      <c r="AI40" s="975" t="n"/>
      <c r="AJ40" s="976" t="n"/>
      <c r="AK40" s="975" t="n"/>
      <c r="AL40" s="976" t="n"/>
      <c r="AM40" s="975" t="n"/>
      <c r="AN40" s="976" t="n"/>
      <c r="AO40" s="975" t="n"/>
      <c r="AP40" s="976" t="n"/>
      <c r="AQ40" s="975" t="n"/>
      <c r="AR40" s="976" t="n"/>
      <c r="AS40" s="975" t="n"/>
      <c r="AT40" s="976" t="n"/>
      <c r="AU40" s="975" t="n"/>
      <c r="AV40" s="976" t="n"/>
      <c r="AW40" s="975" t="n"/>
      <c r="AX40" s="976" t="n"/>
      <c r="AY40" s="975" t="n"/>
      <c r="AZ40" s="976" t="n"/>
      <c r="BA40" s="975" t="n"/>
      <c r="BB40" s="976" t="n"/>
      <c r="BC40" s="975" t="n"/>
      <c r="BD40" s="976" t="n"/>
      <c r="BE40" s="977" t="n"/>
      <c r="BF40" s="978" t="n"/>
      <c r="BG40" s="975" t="n"/>
      <c r="BH40" s="976" t="n"/>
      <c r="BI40" s="975" t="n"/>
      <c r="BJ40" s="976" t="n"/>
      <c r="BK40" s="975" t="n"/>
      <c r="BL40" s="976" t="n"/>
      <c r="BM40" s="975" t="n"/>
      <c r="BN40" s="976" t="n"/>
      <c r="BO40" s="975" t="n"/>
      <c r="BP40" s="976" t="n"/>
      <c r="BQ40" s="975" t="n"/>
      <c r="BR40" s="976" t="n"/>
      <c r="BS40" s="975" t="n"/>
      <c r="BT40" s="976" t="n"/>
      <c r="BU40" s="975" t="n"/>
      <c r="BV40" s="976" t="n"/>
      <c r="BW40" s="975" t="n"/>
      <c r="BX40" s="976" t="n"/>
      <c r="BY40" s="975" t="n"/>
      <c r="BZ40" s="976" t="n"/>
      <c r="CA40" s="975" t="n"/>
      <c r="CB40" s="976" t="n"/>
      <c r="CC40" s="975" t="n"/>
      <c r="CD40" s="976" t="n"/>
      <c r="CE40" s="979">
        <f>(BG40+BI40+BK40+BM40+BO40+BQ40+BS40+BU40+BW40+BY40+CA40)/11</f>
        <v/>
      </c>
      <c r="CF40" s="976">
        <f>(BH40+BJ40+BL40+BN40+BP40+BR40+BT40+BV40+BX40+BZ40+CB40)/11</f>
        <v/>
      </c>
      <c r="CG40" s="977" t="n">
        <v>0</v>
      </c>
      <c r="CH40" s="978" t="n">
        <v>0</v>
      </c>
      <c r="CI40" s="15" t="n">
        <v>0</v>
      </c>
      <c r="CJ40" s="15" t="n"/>
      <c r="CK40" s="987" t="n"/>
      <c r="CL40" s="976" t="n"/>
      <c r="CM40" s="982" t="n"/>
      <c r="CN40" s="15" t="n"/>
      <c r="CO40" s="982" t="n"/>
      <c r="CP40" s="15" t="n"/>
      <c r="CQ40" s="982" t="n"/>
      <c r="CR40" s="15" t="n"/>
      <c r="CS40" s="982" t="n"/>
      <c r="CT40" s="15" t="n"/>
      <c r="CU40" s="982" t="n">
        <v>6432</v>
      </c>
      <c r="CV40" s="15" t="n">
        <v>3859.2</v>
      </c>
      <c r="CW40" s="982" t="n">
        <v>3024</v>
      </c>
      <c r="CX40" s="15" t="n">
        <v>1814.4</v>
      </c>
      <c r="CY40" s="982" t="n">
        <v>1764</v>
      </c>
      <c r="CZ40" s="15" t="n">
        <v>1058.4</v>
      </c>
      <c r="DA40" s="982" t="n">
        <v>1188</v>
      </c>
      <c r="DB40" s="15" t="n">
        <v>712.8</v>
      </c>
      <c r="DC40" s="982" t="n">
        <v>192</v>
      </c>
      <c r="DD40" s="15" t="n">
        <v>115.2</v>
      </c>
      <c r="DE40" s="982" t="n">
        <v>528</v>
      </c>
      <c r="DF40" s="15" t="n">
        <v>316.8</v>
      </c>
      <c r="DG40" s="982" t="n">
        <v>732</v>
      </c>
      <c r="DH40" s="15" t="n">
        <v>439.2</v>
      </c>
      <c r="DI40" s="983">
        <f>CK40+CM40+CO40+CQ40+CS40+CU40+CW40+CY40+DA40+DC40+DE40+DG40</f>
        <v/>
      </c>
      <c r="DJ40" s="983">
        <f>CL40+CN40+CP40+CR40+CT40+CV40+CX40+CZ40+DB40+DD40+DF40+DH40</f>
        <v/>
      </c>
      <c r="DK40" s="983">
        <f>(CK40+CM40)/2</f>
        <v/>
      </c>
      <c r="DL40" s="984">
        <f>(CL40+CN40)/2</f>
        <v/>
      </c>
      <c r="DM40" s="985">
        <f>DI40/12</f>
        <v/>
      </c>
      <c r="DN40" s="1129">
        <f>DJ40/12</f>
        <v/>
      </c>
      <c r="DO40" s="69">
        <f>DN40/$DN$57%</f>
        <v/>
      </c>
      <c r="DP40" s="987" t="n">
        <v>648</v>
      </c>
      <c r="DQ40" s="976" t="n">
        <v>388.8</v>
      </c>
      <c r="DR40" s="975" t="n">
        <v>588</v>
      </c>
      <c r="DS40" s="976" t="n">
        <v>352.8</v>
      </c>
      <c r="DT40" s="982" t="n"/>
      <c r="DU40" s="15" t="n"/>
      <c r="DV40" s="982" t="n"/>
      <c r="DW40" s="15" t="n"/>
      <c r="DX40" s="982" t="n"/>
      <c r="DY40" s="15" t="n"/>
      <c r="DZ40" s="982" t="n"/>
      <c r="EA40" s="15" t="n"/>
      <c r="EB40" s="982" t="n"/>
      <c r="EC40" s="15" t="n"/>
      <c r="ED40" s="982" t="n"/>
      <c r="EE40" s="15" t="n"/>
      <c r="EF40" s="982" t="n"/>
      <c r="EG40" s="15" t="n"/>
      <c r="EH40" s="982" t="n"/>
      <c r="EI40" s="15" t="n"/>
      <c r="EJ40" s="982" t="n"/>
      <c r="EK40" s="15" t="n"/>
      <c r="EL40" s="982" t="n"/>
      <c r="EM40" s="15" t="n"/>
      <c r="EN40" s="983">
        <f>DP40+DR40+DT40+DV40+DX40+DZ40+EB40+ED40+EF40+EH40+EJ40+EL40</f>
        <v/>
      </c>
      <c r="EO40" s="983">
        <f>DQ40+DS40+DU40+DW40+DY40+EA40+EC40+EE40+EG40+EI40+EK40+EM40</f>
        <v/>
      </c>
      <c r="EP40" s="985">
        <f>EN40/2</f>
        <v/>
      </c>
      <c r="EQ40" s="1129">
        <f>EO40/2</f>
        <v/>
      </c>
      <c r="ER40" s="535">
        <f>EQ40/$EQ$57%</f>
        <v/>
      </c>
      <c r="ES40" s="1130">
        <f>ER40-DO40</f>
        <v/>
      </c>
      <c r="ET40" s="1130" t="n"/>
      <c r="EU40" s="1130">
        <f>EQ40/DN40*100-100</f>
        <v/>
      </c>
      <c r="EV40" s="1130">
        <f>EQ40-DN40</f>
        <v/>
      </c>
      <c r="EW40" s="1000">
        <f>EQ40-DL40</f>
        <v/>
      </c>
      <c r="EX40" s="1130">
        <f>EV40/14</f>
        <v/>
      </c>
      <c r="EY40" s="1130">
        <f>EW40/14</f>
        <v/>
      </c>
      <c r="EZ40" s="1130">
        <f>EY40*2</f>
        <v/>
      </c>
    </row>
    <row r="41">
      <c r="A41" s="7" t="n">
        <v>25</v>
      </c>
      <c r="B41" s="8" t="inlineStr">
        <is>
          <t>ရွှေမင်းသားခေါင်ရည်</t>
        </is>
      </c>
      <c r="C41" s="8" t="inlineStr">
        <is>
          <t>ပုလင်း</t>
        </is>
      </c>
      <c r="D41" s="7" t="n">
        <v>0.64</v>
      </c>
      <c r="E41" s="7" t="inlineStr">
        <is>
          <t>1 * 24</t>
        </is>
      </c>
      <c r="F41" s="7" t="n">
        <v>800</v>
      </c>
      <c r="G41" s="975" t="n"/>
      <c r="H41" s="976" t="n">
        <v>0</v>
      </c>
      <c r="I41" s="975" t="n"/>
      <c r="J41" s="976" t="n">
        <v>0</v>
      </c>
      <c r="K41" s="975" t="n"/>
      <c r="L41" s="976" t="n">
        <v>0</v>
      </c>
      <c r="M41" s="975" t="n"/>
      <c r="N41" s="976" t="n">
        <v>0</v>
      </c>
      <c r="O41" s="975" t="n"/>
      <c r="P41" s="976" t="n">
        <v>0</v>
      </c>
      <c r="Q41" s="975" t="n"/>
      <c r="R41" s="976" t="n">
        <v>0</v>
      </c>
      <c r="S41" s="975" t="n"/>
      <c r="T41" s="976" t="n">
        <v>0</v>
      </c>
      <c r="U41" s="975" t="n"/>
      <c r="V41" s="976" t="n">
        <v>0</v>
      </c>
      <c r="W41" s="975" t="n"/>
      <c r="X41" s="976" t="n">
        <v>0</v>
      </c>
      <c r="Y41" s="975" t="n"/>
      <c r="Z41" s="976" t="n">
        <v>0</v>
      </c>
      <c r="AA41" s="975" t="n"/>
      <c r="AB41" s="976" t="n">
        <v>0</v>
      </c>
      <c r="AC41" s="975" t="n"/>
      <c r="AD41" s="976" t="n">
        <v>0</v>
      </c>
      <c r="AE41" s="977" t="n">
        <v>0</v>
      </c>
      <c r="AF41" s="978" t="n">
        <v>0</v>
      </c>
      <c r="AG41" s="975" t="n"/>
      <c r="AH41" s="976" t="n">
        <v>0</v>
      </c>
      <c r="AI41" s="975" t="n"/>
      <c r="AJ41" s="976" t="n">
        <v>0</v>
      </c>
      <c r="AK41" s="975" t="n"/>
      <c r="AL41" s="976" t="n">
        <v>0</v>
      </c>
      <c r="AM41" s="975" t="n">
        <v>5029</v>
      </c>
      <c r="AN41" s="976" t="n">
        <v>3218.56</v>
      </c>
      <c r="AO41" s="975" t="n">
        <v>520</v>
      </c>
      <c r="AP41" s="976" t="n">
        <v>332.8</v>
      </c>
      <c r="AQ41" s="975" t="n">
        <v>192</v>
      </c>
      <c r="AR41" s="976" t="n">
        <v>122.88</v>
      </c>
      <c r="AS41" s="975" t="n">
        <v>192</v>
      </c>
      <c r="AT41" s="976" t="n">
        <v>122.88</v>
      </c>
      <c r="AU41" s="975" t="n">
        <v>72</v>
      </c>
      <c r="AV41" s="976" t="n">
        <v>46.08</v>
      </c>
      <c r="AW41" s="975" t="n">
        <v>576</v>
      </c>
      <c r="AX41" s="976" t="n">
        <v>368.64</v>
      </c>
      <c r="AY41" s="975" t="n">
        <v>24</v>
      </c>
      <c r="AZ41" s="976" t="n">
        <v>15.36</v>
      </c>
      <c r="BA41" s="975" t="n">
        <v>264</v>
      </c>
      <c r="BB41" s="976" t="n">
        <v>168.96</v>
      </c>
      <c r="BC41" s="975" t="n">
        <v>120</v>
      </c>
      <c r="BD41" s="976" t="n">
        <v>76.8</v>
      </c>
      <c r="BE41" s="977" t="n">
        <v>582.4166666666666</v>
      </c>
      <c r="BF41" s="978" t="n">
        <v>372.7466666666667</v>
      </c>
      <c r="BG41" s="975" t="n"/>
      <c r="BH41" s="976" t="n">
        <v>0</v>
      </c>
      <c r="BI41" s="975" t="n">
        <v>144</v>
      </c>
      <c r="BJ41" s="976" t="n">
        <v>92.16</v>
      </c>
      <c r="BK41" s="975" t="n">
        <v>4149</v>
      </c>
      <c r="BL41" s="976" t="n">
        <v>2655.36</v>
      </c>
      <c r="BM41" s="975" t="n">
        <v>18550</v>
      </c>
      <c r="BN41" s="976" t="n">
        <v>11872</v>
      </c>
      <c r="BO41" s="975" t="n">
        <v>20986</v>
      </c>
      <c r="BP41" s="976" t="n">
        <v>13431.04</v>
      </c>
      <c r="BQ41" s="975" t="n">
        <v>17002</v>
      </c>
      <c r="BR41" s="976" t="n">
        <v>10881.28</v>
      </c>
      <c r="BS41" s="975" t="n">
        <v>21224</v>
      </c>
      <c r="BT41" s="976" t="n">
        <v>13583.36</v>
      </c>
      <c r="BU41" s="975" t="n">
        <v>18204</v>
      </c>
      <c r="BV41" s="976" t="n">
        <v>11650.56</v>
      </c>
      <c r="BW41" s="975" t="n">
        <v>17136</v>
      </c>
      <c r="BX41" s="976" t="n">
        <v>10967.04</v>
      </c>
      <c r="BY41" s="975" t="n">
        <v>20256</v>
      </c>
      <c r="BZ41" s="976" t="n">
        <v>12963.84</v>
      </c>
      <c r="CA41" s="975" t="n">
        <v>18185</v>
      </c>
      <c r="CB41" s="976" t="n">
        <v>11638.4</v>
      </c>
      <c r="CC41" s="975" t="n">
        <v>11232</v>
      </c>
      <c r="CD41" s="976" t="n">
        <v>7188.48</v>
      </c>
      <c r="CE41" s="979">
        <f>(BG41+BI41+BK41+BM41+BO41+BQ41+BS41+BU41+BW41+BY41+CA41)/11</f>
        <v/>
      </c>
      <c r="CF41" s="976">
        <f>(BH41+BJ41+BL41+BN41+BP41+BR41+BT41+BV41+BX41+BZ41+CB41)/11</f>
        <v/>
      </c>
      <c r="CG41" s="977" t="n">
        <v>13922.33333333333</v>
      </c>
      <c r="CH41" s="978" t="n">
        <v>8910.293333333333</v>
      </c>
      <c r="CI41" s="15" t="n">
        <v>1.580664440019597</v>
      </c>
      <c r="CJ41" s="15" t="n"/>
      <c r="CK41" s="982" t="n">
        <v>14112</v>
      </c>
      <c r="CL41" s="976" t="n">
        <v>9031.68</v>
      </c>
      <c r="CM41" s="982" t="n">
        <v>17376</v>
      </c>
      <c r="CN41" s="15" t="n">
        <v>11120.64</v>
      </c>
      <c r="CO41" s="982" t="n">
        <v>20266</v>
      </c>
      <c r="CP41" s="15" t="n">
        <v>12970.24</v>
      </c>
      <c r="CQ41" s="982" t="n">
        <v>21648</v>
      </c>
      <c r="CR41" s="15" t="n">
        <v>13854.72</v>
      </c>
      <c r="CS41" s="982" t="n">
        <v>31114</v>
      </c>
      <c r="CT41" s="15" t="n">
        <v>19912.96</v>
      </c>
      <c r="CU41" s="982" t="n">
        <v>13233</v>
      </c>
      <c r="CV41" s="15" t="n">
        <v>8469.120000000001</v>
      </c>
      <c r="CW41" s="982" t="n">
        <v>11904</v>
      </c>
      <c r="CX41" s="15" t="n">
        <v>7618.56</v>
      </c>
      <c r="CY41" s="982" t="n">
        <v>10783</v>
      </c>
      <c r="CZ41" s="15" t="n">
        <v>6901.12</v>
      </c>
      <c r="DA41" s="982" t="n">
        <v>10296</v>
      </c>
      <c r="DB41" s="15" t="n">
        <v>6589.440000000001</v>
      </c>
      <c r="DC41" s="982" t="n">
        <v>10992</v>
      </c>
      <c r="DD41" s="15" t="n">
        <v>7034.88</v>
      </c>
      <c r="DE41" s="982" t="n">
        <v>13176</v>
      </c>
      <c r="DF41" s="15" t="n">
        <v>8432.639999999999</v>
      </c>
      <c r="DG41" s="982" t="n">
        <v>10536</v>
      </c>
      <c r="DH41" s="15" t="n">
        <v>6743.04</v>
      </c>
      <c r="DI41" s="983">
        <f>CK41+CM41+CO41+CQ41+CS41+CU41+CW41+CY41+DA41+DC41+DE41+DG41</f>
        <v/>
      </c>
      <c r="DJ41" s="983">
        <f>CL41+CN41+CP41+CR41+CT41+CV41+CX41+CZ41+DB41+DD41+DF41+DH41</f>
        <v/>
      </c>
      <c r="DK41" s="983">
        <f>(CK41+CM41)/2</f>
        <v/>
      </c>
      <c r="DL41" s="984">
        <f>(CL41+CN41)/2</f>
        <v/>
      </c>
      <c r="DM41" s="985">
        <f>DI41/12</f>
        <v/>
      </c>
      <c r="DN41" s="1129">
        <f>DJ41/12</f>
        <v/>
      </c>
      <c r="DO41" s="69">
        <f>DN41/$DN$57%</f>
        <v/>
      </c>
      <c r="DP41" s="982" t="n">
        <v>8179</v>
      </c>
      <c r="DQ41" s="976" t="n">
        <v>5234.56</v>
      </c>
      <c r="DR41" s="975" t="n">
        <v>6409</v>
      </c>
      <c r="DS41" s="976" t="n">
        <v>4101.76</v>
      </c>
      <c r="DT41" s="982" t="n"/>
      <c r="DU41" s="15" t="n"/>
      <c r="DV41" s="982" t="n"/>
      <c r="DW41" s="15" t="n"/>
      <c r="DX41" s="982" t="n"/>
      <c r="DY41" s="15" t="n"/>
      <c r="DZ41" s="982" t="n"/>
      <c r="EA41" s="15" t="n"/>
      <c r="EB41" s="982" t="n"/>
      <c r="EC41" s="15" t="n"/>
      <c r="ED41" s="982" t="n"/>
      <c r="EE41" s="15" t="n"/>
      <c r="EF41" s="982" t="n"/>
      <c r="EG41" s="15" t="n"/>
      <c r="EH41" s="982" t="n"/>
      <c r="EI41" s="15" t="n"/>
      <c r="EJ41" s="982" t="n"/>
      <c r="EK41" s="15" t="n"/>
      <c r="EL41" s="982" t="n"/>
      <c r="EM41" s="15" t="n"/>
      <c r="EN41" s="983">
        <f>DP41+DR41+DT41+DV41+DX41+DZ41+EB41+ED41+EF41+EH41+EJ41+EL41</f>
        <v/>
      </c>
      <c r="EO41" s="983">
        <f>DQ41+DS41+DU41+DW41+DY41+EA41+EC41+EE41+EG41+EI41+EK41+EM41</f>
        <v/>
      </c>
      <c r="EP41" s="985">
        <f>EN41/2</f>
        <v/>
      </c>
      <c r="EQ41" s="1129">
        <f>EO41/2</f>
        <v/>
      </c>
      <c r="ER41" s="535">
        <f>EQ41/$EQ$57%</f>
        <v/>
      </c>
      <c r="ES41" s="1130">
        <f>ER41-DO41</f>
        <v/>
      </c>
      <c r="ET41" s="1130">
        <f>EQ41/DL41*100-100</f>
        <v/>
      </c>
      <c r="EU41" s="1130">
        <f>EQ41/DN41*100-100</f>
        <v/>
      </c>
      <c r="EV41" s="1130">
        <f>EQ41-DN41</f>
        <v/>
      </c>
      <c r="EW41" s="1000">
        <f>EQ41-DL41</f>
        <v/>
      </c>
      <c r="EX41" s="1130">
        <f>EV41/14</f>
        <v/>
      </c>
      <c r="EY41" s="1130">
        <f>EW41/14</f>
        <v/>
      </c>
      <c r="EZ41" s="1130">
        <f>EY41*2</f>
        <v/>
      </c>
    </row>
    <row r="42">
      <c r="A42" s="7" t="n">
        <v>26</v>
      </c>
      <c r="B42" s="8" t="inlineStr">
        <is>
          <t>ရွှေမင်းသားမန်ကျည်းခေါင်ရည်</t>
        </is>
      </c>
      <c r="C42" s="8" t="inlineStr">
        <is>
          <t>ကော်ဘူး</t>
        </is>
      </c>
      <c r="D42" s="7" t="n">
        <v>0.6</v>
      </c>
      <c r="E42" s="7" t="inlineStr">
        <is>
          <t>1 * 12</t>
        </is>
      </c>
      <c r="F42" s="7" t="n">
        <v>800</v>
      </c>
      <c r="G42" s="975" t="n"/>
      <c r="H42" s="976" t="n"/>
      <c r="I42" s="975" t="n"/>
      <c r="J42" s="976" t="n"/>
      <c r="K42" s="975" t="n"/>
      <c r="L42" s="976" t="n"/>
      <c r="M42" s="975" t="n"/>
      <c r="N42" s="976" t="n"/>
      <c r="O42" s="975" t="n"/>
      <c r="P42" s="976" t="n"/>
      <c r="Q42" s="975" t="n"/>
      <c r="R42" s="976" t="n"/>
      <c r="S42" s="975" t="n"/>
      <c r="T42" s="976" t="n"/>
      <c r="U42" s="975" t="n"/>
      <c r="V42" s="976" t="n"/>
      <c r="W42" s="975" t="n"/>
      <c r="X42" s="976" t="n"/>
      <c r="Y42" s="975" t="n"/>
      <c r="Z42" s="976" t="n"/>
      <c r="AA42" s="975" t="n"/>
      <c r="AB42" s="976" t="n"/>
      <c r="AC42" s="975" t="n"/>
      <c r="AD42" s="976" t="n"/>
      <c r="AE42" s="977" t="n"/>
      <c r="AF42" s="978" t="n"/>
      <c r="AG42" s="975" t="n"/>
      <c r="AH42" s="976" t="n"/>
      <c r="AI42" s="975" t="n"/>
      <c r="AJ42" s="976" t="n"/>
      <c r="AK42" s="975" t="n"/>
      <c r="AL42" s="976" t="n"/>
      <c r="AM42" s="975" t="n"/>
      <c r="AN42" s="976" t="n"/>
      <c r="AO42" s="975" t="n"/>
      <c r="AP42" s="976" t="n"/>
      <c r="AQ42" s="975" t="n"/>
      <c r="AR42" s="976" t="n"/>
      <c r="AS42" s="975" t="n"/>
      <c r="AT42" s="976" t="n"/>
      <c r="AU42" s="975" t="n"/>
      <c r="AV42" s="976" t="n"/>
      <c r="AW42" s="975" t="n"/>
      <c r="AX42" s="976" t="n"/>
      <c r="AY42" s="975" t="n"/>
      <c r="AZ42" s="976" t="n"/>
      <c r="BA42" s="975" t="n"/>
      <c r="BB42" s="976" t="n"/>
      <c r="BC42" s="975" t="n"/>
      <c r="BD42" s="976" t="n"/>
      <c r="BE42" s="977" t="n"/>
      <c r="BF42" s="978" t="n"/>
      <c r="BG42" s="975" t="n"/>
      <c r="BH42" s="976" t="n"/>
      <c r="BI42" s="975" t="n"/>
      <c r="BJ42" s="976" t="n"/>
      <c r="BK42" s="975" t="n"/>
      <c r="BL42" s="976" t="n"/>
      <c r="BM42" s="975" t="n"/>
      <c r="BN42" s="976" t="n"/>
      <c r="BO42" s="975" t="n"/>
      <c r="BP42" s="976" t="n"/>
      <c r="BQ42" s="975" t="n"/>
      <c r="BR42" s="976" t="n"/>
      <c r="BS42" s="975" t="n"/>
      <c r="BT42" s="976" t="n"/>
      <c r="BU42" s="975" t="n"/>
      <c r="BV42" s="976" t="n"/>
      <c r="BW42" s="975" t="n"/>
      <c r="BX42" s="976" t="n"/>
      <c r="BY42" s="975" t="n"/>
      <c r="BZ42" s="976" t="n"/>
      <c r="CA42" s="975" t="n"/>
      <c r="CB42" s="976" t="n"/>
      <c r="CC42" s="975" t="n"/>
      <c r="CD42" s="976" t="n"/>
      <c r="CE42" s="979">
        <f>(BG42+BI42+BK42+BM42+BO42+BQ42+BS42+BU42+BW42+BY42+CA42)/11</f>
        <v/>
      </c>
      <c r="CF42" s="976">
        <f>(BH42+BJ42+BL42+BN42+BP42+BR42+BT42+BV42+BX42+BZ42+CB42)/11</f>
        <v/>
      </c>
      <c r="CG42" s="977" t="n">
        <v>0</v>
      </c>
      <c r="CH42" s="978" t="n">
        <v>0</v>
      </c>
      <c r="CI42" s="15" t="n">
        <v>0</v>
      </c>
      <c r="CJ42" s="15" t="n"/>
      <c r="CK42" s="987" t="n"/>
      <c r="CL42" s="976" t="n"/>
      <c r="CM42" s="982" t="n"/>
      <c r="CN42" s="15" t="n"/>
      <c r="CO42" s="982" t="n"/>
      <c r="CP42" s="15" t="n"/>
      <c r="CQ42" s="982" t="n"/>
      <c r="CR42" s="15" t="n"/>
      <c r="CS42" s="982" t="n"/>
      <c r="CT42" s="15" t="n"/>
      <c r="CU42" s="982" t="n">
        <v>6144</v>
      </c>
      <c r="CV42" s="15" t="n">
        <v>3686.4</v>
      </c>
      <c r="CW42" s="982" t="n">
        <v>4080</v>
      </c>
      <c r="CX42" s="15" t="n">
        <v>2448</v>
      </c>
      <c r="CY42" s="982" t="n">
        <v>1485</v>
      </c>
      <c r="CZ42" s="15" t="n">
        <v>891</v>
      </c>
      <c r="DA42" s="982" t="n">
        <v>2172</v>
      </c>
      <c r="DB42" s="15" t="n">
        <v>1303.2</v>
      </c>
      <c r="DC42" s="982" t="n">
        <v>312</v>
      </c>
      <c r="DD42" s="15" t="n">
        <v>187.2</v>
      </c>
      <c r="DE42" s="982" t="n">
        <v>1488</v>
      </c>
      <c r="DF42" s="15" t="n">
        <v>892.8</v>
      </c>
      <c r="DG42" s="982" t="n">
        <v>780</v>
      </c>
      <c r="DH42" s="15" t="n">
        <v>468</v>
      </c>
      <c r="DI42" s="983">
        <f>CK42+CM42+CO42+CQ42+CS42+CU42+CW42+CY42+DA42+DC42+DE42+DG42</f>
        <v/>
      </c>
      <c r="DJ42" s="983">
        <f>CL42+CN42+CP42+CR42+CT42+CV42+CX42+CZ42+DB42+DD42+DF42+DH42</f>
        <v/>
      </c>
      <c r="DK42" s="983">
        <f>(CK42+CM42)/2</f>
        <v/>
      </c>
      <c r="DL42" s="984">
        <f>(CL42+CN42)/2</f>
        <v/>
      </c>
      <c r="DM42" s="985">
        <f>DI42/12</f>
        <v/>
      </c>
      <c r="DN42" s="1129">
        <f>DJ42/12</f>
        <v/>
      </c>
      <c r="DO42" s="69">
        <f>DN42/$DN$57%</f>
        <v/>
      </c>
      <c r="DP42" s="987" t="n">
        <v>1044</v>
      </c>
      <c r="DQ42" s="976" t="n">
        <v>626.4</v>
      </c>
      <c r="DR42" s="975" t="n">
        <v>1008</v>
      </c>
      <c r="DS42" s="976" t="n">
        <v>604.8</v>
      </c>
      <c r="DT42" s="982" t="n"/>
      <c r="DU42" s="15" t="n"/>
      <c r="DV42" s="982" t="n"/>
      <c r="DW42" s="15" t="n"/>
      <c r="DX42" s="982" t="n"/>
      <c r="DY42" s="15" t="n"/>
      <c r="DZ42" s="982" t="n"/>
      <c r="EA42" s="15" t="n"/>
      <c r="EB42" s="982" t="n"/>
      <c r="EC42" s="15" t="n"/>
      <c r="ED42" s="982" t="n"/>
      <c r="EE42" s="15" t="n"/>
      <c r="EF42" s="982" t="n"/>
      <c r="EG42" s="15" t="n"/>
      <c r="EH42" s="982" t="n"/>
      <c r="EI42" s="15" t="n"/>
      <c r="EJ42" s="982" t="n"/>
      <c r="EK42" s="15" t="n"/>
      <c r="EL42" s="982" t="n"/>
      <c r="EM42" s="15" t="n"/>
      <c r="EN42" s="983">
        <f>DP42+DR42+DT42+DV42+DX42+DZ42+EB42+ED42+EF42+EH42+EJ42+EL42</f>
        <v/>
      </c>
      <c r="EO42" s="983">
        <f>DQ42+DS42+DU42+DW42+DY42+EA42+EC42+EE42+EG42+EI42+EK42+EM42</f>
        <v/>
      </c>
      <c r="EP42" s="985">
        <f>EN42/2</f>
        <v/>
      </c>
      <c r="EQ42" s="1129">
        <f>EO42/2</f>
        <v/>
      </c>
      <c r="ER42" s="535">
        <f>EQ42/$EQ$57%</f>
        <v/>
      </c>
      <c r="ES42" s="1130">
        <f>ER42-DO42</f>
        <v/>
      </c>
      <c r="ET42" s="1130" t="n"/>
      <c r="EU42" s="1130">
        <f>EQ42/DN42*100-100</f>
        <v/>
      </c>
      <c r="EV42" s="1130">
        <f>EQ42-DN42</f>
        <v/>
      </c>
      <c r="EW42" s="1000">
        <f>EQ42-DL42</f>
        <v/>
      </c>
      <c r="EX42" s="1130">
        <f>EV42/14</f>
        <v/>
      </c>
      <c r="EY42" s="1130">
        <f>EW42/14</f>
        <v/>
      </c>
      <c r="EZ42" s="1130">
        <f>EY42*2</f>
        <v/>
      </c>
    </row>
    <row r="43">
      <c r="A43" s="7" t="n">
        <v>27</v>
      </c>
      <c r="B43" s="8" t="inlineStr">
        <is>
          <t>ရွှေမင်းသားမန်ကျည်းခေါင်ရည်</t>
        </is>
      </c>
      <c r="C43" s="8" t="inlineStr">
        <is>
          <t>ပုလင်း</t>
        </is>
      </c>
      <c r="D43" s="7" t="n">
        <v>0.64</v>
      </c>
      <c r="E43" s="7" t="inlineStr">
        <is>
          <t>1 x 14</t>
        </is>
      </c>
      <c r="F43" s="7" t="n">
        <v>830</v>
      </c>
      <c r="G43" s="975" t="n"/>
      <c r="H43" s="976" t="n"/>
      <c r="I43" s="975" t="n"/>
      <c r="J43" s="976" t="n"/>
      <c r="K43" s="975" t="n"/>
      <c r="L43" s="976" t="n"/>
      <c r="M43" s="975" t="n"/>
      <c r="N43" s="976" t="n"/>
      <c r="O43" s="975" t="n"/>
      <c r="P43" s="976" t="n"/>
      <c r="Q43" s="975" t="n"/>
      <c r="R43" s="976" t="n"/>
      <c r="S43" s="975" t="n"/>
      <c r="T43" s="976" t="n"/>
      <c r="U43" s="975" t="n"/>
      <c r="V43" s="976" t="n"/>
      <c r="W43" s="975" t="n"/>
      <c r="X43" s="976" t="n"/>
      <c r="Y43" s="975" t="n"/>
      <c r="Z43" s="976" t="n"/>
      <c r="AA43" s="975" t="n"/>
      <c r="AB43" s="976" t="n"/>
      <c r="AC43" s="975" t="n"/>
      <c r="AD43" s="976" t="n"/>
      <c r="AE43" s="977" t="n"/>
      <c r="AF43" s="978" t="n"/>
      <c r="AG43" s="975" t="n"/>
      <c r="AH43" s="976" t="n"/>
      <c r="AI43" s="975" t="n"/>
      <c r="AJ43" s="976" t="n"/>
      <c r="AK43" s="975" t="n"/>
      <c r="AL43" s="976" t="n"/>
      <c r="AM43" s="975" t="n"/>
      <c r="AN43" s="976" t="n"/>
      <c r="AO43" s="975" t="n"/>
      <c r="AP43" s="976" t="n"/>
      <c r="AQ43" s="975" t="n"/>
      <c r="AR43" s="976" t="n"/>
      <c r="AS43" s="975" t="n"/>
      <c r="AT43" s="976" t="n"/>
      <c r="AU43" s="975" t="n"/>
      <c r="AV43" s="976" t="n"/>
      <c r="AW43" s="975" t="n"/>
      <c r="AX43" s="976" t="n"/>
      <c r="AY43" s="975" t="n"/>
      <c r="AZ43" s="976" t="n"/>
      <c r="BA43" s="975" t="n"/>
      <c r="BB43" s="976" t="n"/>
      <c r="BC43" s="975" t="n"/>
      <c r="BD43" s="976" t="n"/>
      <c r="BE43" s="977" t="n"/>
      <c r="BF43" s="978" t="n"/>
      <c r="BG43" s="975" t="n"/>
      <c r="BH43" s="976" t="n"/>
      <c r="BI43" s="975" t="n"/>
      <c r="BJ43" s="976" t="n"/>
      <c r="BK43" s="975" t="n"/>
      <c r="BL43" s="976" t="n"/>
      <c r="BM43" s="975" t="n"/>
      <c r="BN43" s="976" t="n"/>
      <c r="BO43" s="975" t="n"/>
      <c r="BP43" s="976" t="n"/>
      <c r="BQ43" s="975" t="n"/>
      <c r="BR43" s="976" t="n"/>
      <c r="BS43" s="975" t="n"/>
      <c r="BT43" s="976" t="n"/>
      <c r="BU43" s="975" t="n"/>
      <c r="BV43" s="976" t="n"/>
      <c r="BW43" s="975" t="n"/>
      <c r="BX43" s="976" t="n"/>
      <c r="BY43" s="975" t="n"/>
      <c r="BZ43" s="976" t="n"/>
      <c r="CA43" s="975" t="n"/>
      <c r="CB43" s="976" t="n"/>
      <c r="CC43" s="975" t="n"/>
      <c r="CD43" s="976" t="n"/>
      <c r="CE43" s="979">
        <f>(BG43+BI43+BK43+BM43+BO43+BQ43+BS43+BU43+BW43+BY43+CA43)/11</f>
        <v/>
      </c>
      <c r="CF43" s="976">
        <f>(BH43+BJ43+BL43+BN43+BP43+BR43+BT43+BV43+BX43+BZ43+CB43)/11</f>
        <v/>
      </c>
      <c r="CG43" s="977" t="n">
        <v>0</v>
      </c>
      <c r="CH43" s="978" t="n">
        <v>0</v>
      </c>
      <c r="CI43" s="15" t="n">
        <v>0</v>
      </c>
      <c r="CJ43" s="15" t="n">
        <v>1.58</v>
      </c>
      <c r="CK43" s="982" t="n"/>
      <c r="CL43" s="976" t="n"/>
      <c r="CM43" s="982" t="n"/>
      <c r="CN43" s="15" t="n"/>
      <c r="CO43" s="982" t="n"/>
      <c r="CP43" s="15" t="n"/>
      <c r="CQ43" s="982" t="n">
        <v>4158</v>
      </c>
      <c r="CR43" s="15" t="n">
        <v>2661.12</v>
      </c>
      <c r="CS43" s="982" t="n">
        <v>10876</v>
      </c>
      <c r="CT43" s="15" t="n">
        <v>6960.64</v>
      </c>
      <c r="CU43" s="982" t="n">
        <v>10206</v>
      </c>
      <c r="CV43" s="15" t="n">
        <v>6531.84</v>
      </c>
      <c r="CW43" s="982" t="n">
        <v>13566</v>
      </c>
      <c r="CX43" s="15" t="n">
        <v>8682.24</v>
      </c>
      <c r="CY43" s="982" t="n">
        <v>8414</v>
      </c>
      <c r="CZ43" s="15" t="n">
        <v>5384.96</v>
      </c>
      <c r="DA43" s="982" t="n">
        <v>7784</v>
      </c>
      <c r="DB43" s="15" t="n">
        <v>4981.76</v>
      </c>
      <c r="DC43" s="982" t="n">
        <v>7994</v>
      </c>
      <c r="DD43" s="15" t="n">
        <v>5116.16</v>
      </c>
      <c r="DE43" s="982" t="n">
        <v>5334</v>
      </c>
      <c r="DF43" s="15" t="n">
        <v>3413.76</v>
      </c>
      <c r="DG43" s="982" t="n">
        <v>6454</v>
      </c>
      <c r="DH43" s="15" t="n">
        <v>4130.56</v>
      </c>
      <c r="DI43" s="983">
        <f>CK43+CM43+CO43+CQ43+CS43+CU43+CW43+CY43+DA43+DC43+DE43+DG43</f>
        <v/>
      </c>
      <c r="DJ43" s="983">
        <f>CL43+CN43+CP43+CR43+CT43+CV43+CX43+CZ43+DB43+DD43+DF43+DH43</f>
        <v/>
      </c>
      <c r="DK43" s="983">
        <f>(CK43+CM43)/2</f>
        <v/>
      </c>
      <c r="DL43" s="984">
        <f>(CL43+CN43)/2</f>
        <v/>
      </c>
      <c r="DM43" s="985">
        <f>DI43/12</f>
        <v/>
      </c>
      <c r="DN43" s="1129">
        <f>DJ43/12</f>
        <v/>
      </c>
      <c r="DO43" s="69">
        <f>DN43/$DN$57%</f>
        <v/>
      </c>
      <c r="DP43" s="982" t="n">
        <v>5418</v>
      </c>
      <c r="DQ43" s="976" t="n">
        <v>3467.52</v>
      </c>
      <c r="DR43" s="975" t="n">
        <v>5768</v>
      </c>
      <c r="DS43" s="976" t="n">
        <v>3691.52</v>
      </c>
      <c r="DT43" s="982" t="n"/>
      <c r="DU43" s="15" t="n"/>
      <c r="DV43" s="982" t="n"/>
      <c r="DW43" s="15" t="n"/>
      <c r="DX43" s="982" t="n"/>
      <c r="DY43" s="15" t="n"/>
      <c r="DZ43" s="982" t="n"/>
      <c r="EA43" s="15" t="n"/>
      <c r="EB43" s="982" t="n"/>
      <c r="EC43" s="15" t="n"/>
      <c r="ED43" s="982" t="n"/>
      <c r="EE43" s="15" t="n"/>
      <c r="EF43" s="982" t="n"/>
      <c r="EG43" s="15" t="n"/>
      <c r="EH43" s="982" t="n"/>
      <c r="EI43" s="15" t="n"/>
      <c r="EJ43" s="982" t="n"/>
      <c r="EK43" s="15" t="n"/>
      <c r="EL43" s="982" t="n"/>
      <c r="EM43" s="15" t="n"/>
      <c r="EN43" s="983">
        <f>DP43+DR43+DT43+DV43+DX43+DZ43+EB43+ED43+EF43+EH43+EJ43+EL43</f>
        <v/>
      </c>
      <c r="EO43" s="983">
        <f>DQ43+DS43+DU43+DW43+DY43+EA43+EC43+EE43+EG43+EI43+EK43+EM43</f>
        <v/>
      </c>
      <c r="EP43" s="985">
        <f>EN43/2</f>
        <v/>
      </c>
      <c r="EQ43" s="1129">
        <f>EO43/2</f>
        <v/>
      </c>
      <c r="ER43" s="535">
        <f>EQ43/$EQ$57%</f>
        <v/>
      </c>
      <c r="ES43" s="1130">
        <f>ER43-DO43</f>
        <v/>
      </c>
      <c r="ET43" s="1130" t="n"/>
      <c r="EU43" s="1130">
        <f>EQ43/DN43*100-100</f>
        <v/>
      </c>
      <c r="EV43" s="1130">
        <f>EQ43-DN43</f>
        <v/>
      </c>
      <c r="EW43" s="1000">
        <f>EQ43-DL43</f>
        <v/>
      </c>
      <c r="EX43" s="1130">
        <f>EV43/14</f>
        <v/>
      </c>
      <c r="EY43" s="1130">
        <f>EW43/14</f>
        <v/>
      </c>
      <c r="EZ43" s="1130">
        <f>EY43*2</f>
        <v/>
      </c>
    </row>
    <row r="44" customFormat="1" s="251">
      <c r="A44" s="246" t="n"/>
      <c r="B44" s="247" t="inlineStr">
        <is>
          <t>Shweminthar</t>
        </is>
      </c>
      <c r="C44" s="247" t="n"/>
      <c r="D44" s="246" t="n"/>
      <c r="E44" s="246" t="n"/>
      <c r="F44" s="246" t="n"/>
      <c r="G44" s="1131" t="n"/>
      <c r="H44" s="1132" t="n"/>
      <c r="I44" s="1131" t="n"/>
      <c r="J44" s="1132" t="n"/>
      <c r="K44" s="1131" t="n"/>
      <c r="L44" s="1132" t="n"/>
      <c r="M44" s="1131" t="n"/>
      <c r="N44" s="1132" t="n"/>
      <c r="O44" s="1131" t="n"/>
      <c r="P44" s="1132" t="n"/>
      <c r="Q44" s="1131" t="n"/>
      <c r="R44" s="1132" t="n"/>
      <c r="S44" s="1131" t="n"/>
      <c r="T44" s="1132" t="n"/>
      <c r="U44" s="1131" t="n"/>
      <c r="V44" s="1132" t="n"/>
      <c r="W44" s="1131" t="n"/>
      <c r="X44" s="1132" t="n"/>
      <c r="Y44" s="1131" t="n"/>
      <c r="Z44" s="1132" t="n"/>
      <c r="AA44" s="1131" t="n"/>
      <c r="AB44" s="1132" t="n"/>
      <c r="AC44" s="1131" t="n"/>
      <c r="AD44" s="1132" t="n"/>
      <c r="AE44" s="1131" t="n"/>
      <c r="AF44" s="1132" t="n"/>
      <c r="AG44" s="1131" t="n"/>
      <c r="AH44" s="1132" t="n"/>
      <c r="AI44" s="1131" t="n"/>
      <c r="AJ44" s="1132" t="n"/>
      <c r="AK44" s="1131" t="n"/>
      <c r="AL44" s="1132" t="n"/>
      <c r="AM44" s="1131" t="n"/>
      <c r="AN44" s="1132" t="n"/>
      <c r="AO44" s="1131" t="n"/>
      <c r="AP44" s="1132" t="n"/>
      <c r="AQ44" s="1131" t="n"/>
      <c r="AR44" s="1132" t="n"/>
      <c r="AS44" s="1131" t="n"/>
      <c r="AT44" s="1132" t="n"/>
      <c r="AU44" s="1131" t="n"/>
      <c r="AV44" s="1132" t="n"/>
      <c r="AW44" s="1131" t="n"/>
      <c r="AX44" s="1132" t="n"/>
      <c r="AY44" s="1131" t="n"/>
      <c r="AZ44" s="1132" t="n"/>
      <c r="BA44" s="1131" t="n"/>
      <c r="BB44" s="1132" t="n"/>
      <c r="BC44" s="1131" t="n"/>
      <c r="BD44" s="1132" t="n"/>
      <c r="BE44" s="1131" t="n"/>
      <c r="BF44" s="1132" t="n"/>
      <c r="BG44" s="1131" t="n"/>
      <c r="BH44" s="1132" t="n"/>
      <c r="BI44" s="1131" t="n"/>
      <c r="BJ44" s="1132" t="n"/>
      <c r="BK44" s="1131" t="n"/>
      <c r="BL44" s="1132" t="n"/>
      <c r="BM44" s="1131" t="n"/>
      <c r="BN44" s="1132" t="n"/>
      <c r="BO44" s="1131" t="n"/>
      <c r="BP44" s="1132" t="n"/>
      <c r="BQ44" s="1131" t="n"/>
      <c r="BR44" s="1132" t="n"/>
      <c r="BS44" s="1131" t="n"/>
      <c r="BT44" s="1132" t="n"/>
      <c r="BU44" s="1131" t="n"/>
      <c r="BV44" s="1132" t="n"/>
      <c r="BW44" s="1131" t="n"/>
      <c r="BX44" s="1132" t="n"/>
      <c r="BY44" s="1131" t="n"/>
      <c r="BZ44" s="1132" t="n"/>
      <c r="CA44" s="1131" t="n"/>
      <c r="CB44" s="1132" t="n"/>
      <c r="CC44" s="1131" t="n"/>
      <c r="CD44" s="1132" t="n"/>
      <c r="CE44" s="1133">
        <f>(BG44+BI44+BK44+BM44+BO44+BQ44+BS44+BU44+BW44+BY44+CA44)/11</f>
        <v/>
      </c>
      <c r="CF44" s="1132">
        <f>(BH44+BJ44+BL44+BN44+BP44+BR44+BT44+BV44+BX44+BZ44+CB44)/11</f>
        <v/>
      </c>
      <c r="CG44" s="1133">
        <f>SUM(CG40:CG43)</f>
        <v/>
      </c>
      <c r="CH44" s="1133">
        <f>SUM(CH40:CH43)</f>
        <v/>
      </c>
      <c r="CI44" s="1133">
        <f>SUM(CI40:CI43)</f>
        <v/>
      </c>
      <c r="CJ44" s="1133">
        <f>SUM(CJ40:CJ43)</f>
        <v/>
      </c>
      <c r="CK44" s="1133">
        <f>SUM(CK40:CK43)</f>
        <v/>
      </c>
      <c r="CL44" s="1133">
        <f>SUM(CL40:CL43)</f>
        <v/>
      </c>
      <c r="CM44" s="1133">
        <f>SUM(CM40:CM43)</f>
        <v/>
      </c>
      <c r="CN44" s="1133">
        <f>SUM(CN40:CN43)</f>
        <v/>
      </c>
      <c r="CO44" s="1133">
        <f>SUM(CO40:CO43)</f>
        <v/>
      </c>
      <c r="CP44" s="1133">
        <f>SUM(CP40:CP43)</f>
        <v/>
      </c>
      <c r="CQ44" s="1133">
        <f>SUM(CQ40:CQ43)</f>
        <v/>
      </c>
      <c r="CR44" s="1133">
        <f>SUM(CR40:CR43)</f>
        <v/>
      </c>
      <c r="CS44" s="1133">
        <f>SUM(CS40:CS43)</f>
        <v/>
      </c>
      <c r="CT44" s="1133">
        <f>SUM(CT40:CT43)</f>
        <v/>
      </c>
      <c r="CU44" s="1133">
        <f>SUM(CU40:CU43)</f>
        <v/>
      </c>
      <c r="CV44" s="1133">
        <f>SUM(CV40:CV43)</f>
        <v/>
      </c>
      <c r="CW44" s="1133">
        <f>SUM(CW40:CW43)</f>
        <v/>
      </c>
      <c r="CX44" s="1133">
        <f>SUM(CX40:CX43)</f>
        <v/>
      </c>
      <c r="CY44" s="1133">
        <f>SUM(CY40:CY43)</f>
        <v/>
      </c>
      <c r="CZ44" s="1133">
        <f>SUM(CZ40:CZ43)</f>
        <v/>
      </c>
      <c r="DA44" s="1133">
        <f>SUM(DA40:DA43)</f>
        <v/>
      </c>
      <c r="DB44" s="1133">
        <f>SUM(DB40:DB43)</f>
        <v/>
      </c>
      <c r="DC44" s="1133">
        <f>SUM(DC40:DC43)</f>
        <v/>
      </c>
      <c r="DD44" s="1133">
        <f>SUM(DD40:DD43)</f>
        <v/>
      </c>
      <c r="DE44" s="1133">
        <f>SUM(DE40:DE43)</f>
        <v/>
      </c>
      <c r="DF44" s="1133">
        <f>SUM(DF40:DF43)</f>
        <v/>
      </c>
      <c r="DG44" s="1133">
        <f>SUM(DG40:DG43)</f>
        <v/>
      </c>
      <c r="DH44" s="1133">
        <f>SUM(DH40:DH43)</f>
        <v/>
      </c>
      <c r="DI44" s="1133">
        <f>SUM(DI40:DI43)</f>
        <v/>
      </c>
      <c r="DJ44" s="1133">
        <f>SUM(DJ40:DJ43)</f>
        <v/>
      </c>
      <c r="DK44" s="1134">
        <f>(CK44+CM44)/2</f>
        <v/>
      </c>
      <c r="DL44" s="1135">
        <f>(CL44+CN44)/2</f>
        <v/>
      </c>
      <c r="DM44" s="1136">
        <f>DI44/12</f>
        <v/>
      </c>
      <c r="DN44" s="1137">
        <f>DJ44/12</f>
        <v/>
      </c>
      <c r="DO44" s="1133">
        <f>SUM(DO40:DO43)</f>
        <v/>
      </c>
      <c r="DP44" s="1133">
        <f>SUM(DP40:DP43)</f>
        <v/>
      </c>
      <c r="DQ44" s="1133">
        <f>SUM(DQ40:DQ43)</f>
        <v/>
      </c>
      <c r="DR44" s="1133">
        <f>SUM(DR40:DR43)</f>
        <v/>
      </c>
      <c r="DS44" s="1133">
        <f>SUM(DS40:DS43)</f>
        <v/>
      </c>
      <c r="DT44" s="1133">
        <f>SUM(DT40:DT43)</f>
        <v/>
      </c>
      <c r="DU44" s="1133">
        <f>SUM(DU40:DU43)</f>
        <v/>
      </c>
      <c r="DV44" s="1133">
        <f>SUM(DV40:DV43)</f>
        <v/>
      </c>
      <c r="DW44" s="1133">
        <f>SUM(DW40:DW43)</f>
        <v/>
      </c>
      <c r="DX44" s="1133">
        <f>SUM(DX40:DX43)</f>
        <v/>
      </c>
      <c r="DY44" s="1133">
        <f>SUM(DY40:DY43)</f>
        <v/>
      </c>
      <c r="DZ44" s="1133">
        <f>SUM(DZ40:DZ43)</f>
        <v/>
      </c>
      <c r="EA44" s="1133">
        <f>SUM(EA40:EA43)</f>
        <v/>
      </c>
      <c r="EB44" s="1133">
        <f>SUM(EB40:EB43)</f>
        <v/>
      </c>
      <c r="EC44" s="1133">
        <f>SUM(EC40:EC43)</f>
        <v/>
      </c>
      <c r="ED44" s="1133">
        <f>SUM(ED40:ED43)</f>
        <v/>
      </c>
      <c r="EE44" s="1133">
        <f>SUM(EE40:EE43)</f>
        <v/>
      </c>
      <c r="EF44" s="1133">
        <f>SUM(EF40:EF43)</f>
        <v/>
      </c>
      <c r="EG44" s="1133">
        <f>SUM(EG40:EG43)</f>
        <v/>
      </c>
      <c r="EH44" s="1133">
        <f>SUM(EH40:EH43)</f>
        <v/>
      </c>
      <c r="EI44" s="1133">
        <f>SUM(EI40:EI43)</f>
        <v/>
      </c>
      <c r="EJ44" s="1133">
        <f>SUM(EJ40:EJ43)</f>
        <v/>
      </c>
      <c r="EK44" s="1133">
        <f>SUM(EK40:EK43)</f>
        <v/>
      </c>
      <c r="EL44" s="1133">
        <f>SUM(EL40:EL43)</f>
        <v/>
      </c>
      <c r="EM44" s="1133">
        <f>SUM(EM40:EM43)</f>
        <v/>
      </c>
      <c r="EN44" s="1133">
        <f>SUM(EN40:EN43)</f>
        <v/>
      </c>
      <c r="EO44" s="1133">
        <f>SUM(EO40:EO43)</f>
        <v/>
      </c>
      <c r="EP44" s="1136">
        <f>EN44/2</f>
        <v/>
      </c>
      <c r="EQ44" s="1137">
        <f>EO44/2</f>
        <v/>
      </c>
      <c r="ER44" s="536">
        <f>EQ44/$EQ$57%</f>
        <v/>
      </c>
      <c r="ES44" s="1138">
        <f>ER44-DO44</f>
        <v/>
      </c>
      <c r="ET44" s="1138">
        <f>EQ44/DL44*100-100</f>
        <v/>
      </c>
      <c r="EU44" s="1138">
        <f>EQ44/DN44*100-100</f>
        <v/>
      </c>
      <c r="EV44" s="1138">
        <f>EQ44-DN44</f>
        <v/>
      </c>
      <c r="EW44" s="1139">
        <f>EQ44-DL44</f>
        <v/>
      </c>
      <c r="EX44" s="1138">
        <f>EV44/14</f>
        <v/>
      </c>
      <c r="EY44" s="1138">
        <f>EW44/14</f>
        <v/>
      </c>
      <c r="EZ44" s="1138">
        <f>EY44*2</f>
        <v/>
      </c>
    </row>
    <row r="45">
      <c r="A45" s="7" t="n">
        <v>28</v>
      </c>
      <c r="B45" s="8" t="inlineStr">
        <is>
          <t>Formula Rum 700ml</t>
        </is>
      </c>
      <c r="C45" s="8" t="inlineStr">
        <is>
          <t>ပုလင်း</t>
        </is>
      </c>
      <c r="D45" s="7" t="n">
        <v>0.7</v>
      </c>
      <c r="E45" s="7" t="inlineStr">
        <is>
          <t>1 * 12</t>
        </is>
      </c>
      <c r="F45" s="7" t="n">
        <v>3600</v>
      </c>
      <c r="G45" s="975" t="n">
        <v>404</v>
      </c>
      <c r="H45" s="976" t="n">
        <v>282.8</v>
      </c>
      <c r="I45" s="975" t="n">
        <v>592</v>
      </c>
      <c r="J45" s="976" t="n">
        <v>414.4</v>
      </c>
      <c r="K45" s="975" t="n">
        <v>866</v>
      </c>
      <c r="L45" s="976" t="n">
        <v>606.1999999999999</v>
      </c>
      <c r="M45" s="975" t="n">
        <v>636</v>
      </c>
      <c r="N45" s="976" t="n">
        <v>445.2</v>
      </c>
      <c r="O45" s="975" t="n">
        <v>977</v>
      </c>
      <c r="P45" s="976" t="n">
        <v>683.9</v>
      </c>
      <c r="Q45" s="975" t="n">
        <v>468</v>
      </c>
      <c r="R45" s="976" t="n">
        <v>327.6</v>
      </c>
      <c r="S45" s="975" t="n">
        <v>96</v>
      </c>
      <c r="T45" s="976" t="n">
        <v>67.19999999999999</v>
      </c>
      <c r="U45" s="975" t="n">
        <v>396</v>
      </c>
      <c r="V45" s="976" t="n">
        <v>277.2</v>
      </c>
      <c r="W45" s="975" t="n">
        <v>24</v>
      </c>
      <c r="X45" s="976" t="n">
        <v>16.8</v>
      </c>
      <c r="Y45" s="975" t="n">
        <v>845</v>
      </c>
      <c r="Z45" s="976" t="n">
        <v>591.5</v>
      </c>
      <c r="AA45" s="975" t="n">
        <v>1146</v>
      </c>
      <c r="AB45" s="976" t="n">
        <v>802.1999999999999</v>
      </c>
      <c r="AC45" s="975" t="n">
        <v>759</v>
      </c>
      <c r="AD45" s="976" t="n">
        <v>531.3</v>
      </c>
      <c r="AE45" s="977" t="n">
        <v>600.75</v>
      </c>
      <c r="AF45" s="978" t="n">
        <v>420.525</v>
      </c>
      <c r="AG45" s="975" t="n">
        <v>910</v>
      </c>
      <c r="AH45" s="976" t="n">
        <v>637</v>
      </c>
      <c r="AI45" s="975" t="n">
        <v>517</v>
      </c>
      <c r="AJ45" s="976" t="n">
        <v>361.9</v>
      </c>
      <c r="AK45" s="975" t="n">
        <v>250</v>
      </c>
      <c r="AL45" s="976" t="n">
        <v>175</v>
      </c>
      <c r="AM45" s="975" t="n">
        <v>515</v>
      </c>
      <c r="AN45" s="976" t="n">
        <v>360.5</v>
      </c>
      <c r="AO45" s="975" t="n">
        <v>738</v>
      </c>
      <c r="AP45" s="976" t="n">
        <v>516.6</v>
      </c>
      <c r="AQ45" s="975" t="n">
        <v>352</v>
      </c>
      <c r="AR45" s="976" t="n">
        <v>246.4</v>
      </c>
      <c r="AS45" s="975" t="n">
        <v>415</v>
      </c>
      <c r="AT45" s="976" t="n">
        <v>290.5</v>
      </c>
      <c r="AU45" s="975" t="n">
        <v>305</v>
      </c>
      <c r="AV45" s="976" t="n">
        <v>213.5</v>
      </c>
      <c r="AW45" s="975" t="n">
        <v>840</v>
      </c>
      <c r="AX45" s="976" t="n">
        <v>588</v>
      </c>
      <c r="AY45" s="975" t="n">
        <v>446</v>
      </c>
      <c r="AZ45" s="976" t="n">
        <v>312.2</v>
      </c>
      <c r="BA45" s="975" t="n">
        <v>180</v>
      </c>
      <c r="BB45" s="976" t="n">
        <v>126</v>
      </c>
      <c r="BC45" s="975" t="n">
        <v>1272</v>
      </c>
      <c r="BD45" s="976" t="n">
        <v>890.4</v>
      </c>
      <c r="BE45" s="977" t="n">
        <v>561.6666666666666</v>
      </c>
      <c r="BF45" s="978" t="n">
        <v>393.1666666666666</v>
      </c>
      <c r="BG45" s="975" t="n">
        <v>372</v>
      </c>
      <c r="BH45" s="976" t="n">
        <v>260.4</v>
      </c>
      <c r="BI45" s="975" t="n">
        <v>1045</v>
      </c>
      <c r="BJ45" s="976" t="n">
        <v>731.5</v>
      </c>
      <c r="BK45" s="975" t="n">
        <v>2335</v>
      </c>
      <c r="BL45" s="976" t="n">
        <v>1634.5</v>
      </c>
      <c r="BM45" s="975" t="n">
        <v>252</v>
      </c>
      <c r="BN45" s="976" t="n">
        <v>176.4</v>
      </c>
      <c r="BO45" s="975" t="n">
        <v>870</v>
      </c>
      <c r="BP45" s="976" t="n">
        <v>609</v>
      </c>
      <c r="BQ45" s="975" t="n">
        <v>448</v>
      </c>
      <c r="BR45" s="976" t="n">
        <v>313.6</v>
      </c>
      <c r="BS45" s="975" t="n">
        <v>2144</v>
      </c>
      <c r="BT45" s="976" t="n">
        <v>1500.8</v>
      </c>
      <c r="BU45" s="975" t="n">
        <v>1209</v>
      </c>
      <c r="BV45" s="976" t="n">
        <v>846.3</v>
      </c>
      <c r="BW45" s="975" t="n">
        <v>324</v>
      </c>
      <c r="BX45" s="976" t="n">
        <v>226.8</v>
      </c>
      <c r="BY45" s="975" t="n">
        <v>772</v>
      </c>
      <c r="BZ45" s="976" t="n">
        <v>540.4</v>
      </c>
      <c r="CA45" s="975" t="n">
        <v>948</v>
      </c>
      <c r="CB45" s="976" t="n">
        <v>663.5999999999999</v>
      </c>
      <c r="CC45" s="975" t="n">
        <v>12</v>
      </c>
      <c r="CD45" s="976" t="n">
        <v>8.399999999999999</v>
      </c>
      <c r="CE45" s="979">
        <f>(BG45+BI45+BK45+BM45+BO45+BQ45+BS45+BU45+BW45+BY45+CA45)/11</f>
        <v/>
      </c>
      <c r="CF45" s="976">
        <f>(BH45+BJ45+BL45+BN45+BP45+BR45+BT45+BV45+BX45+BZ45+CB45)/11</f>
        <v/>
      </c>
      <c r="CG45" s="977" t="n">
        <v>894.25</v>
      </c>
      <c r="CH45" s="978" t="n">
        <v>625.9749999999999</v>
      </c>
      <c r="CI45" s="15" t="n">
        <v>0.1110464477235243</v>
      </c>
      <c r="CJ45" s="15" t="n"/>
      <c r="CK45" s="987" t="n">
        <v>121</v>
      </c>
      <c r="CL45" s="976" t="n">
        <v>84.69999999999999</v>
      </c>
      <c r="CM45" s="982" t="n">
        <v>141</v>
      </c>
      <c r="CN45" s="15" t="n">
        <v>98.69999999999999</v>
      </c>
      <c r="CO45" s="982" t="n">
        <v>234</v>
      </c>
      <c r="CP45" s="15" t="n">
        <v>163.8</v>
      </c>
      <c r="CQ45" s="982" t="n">
        <v>51</v>
      </c>
      <c r="CR45" s="15" t="n">
        <v>35.7</v>
      </c>
      <c r="CS45" s="982" t="n">
        <v>540</v>
      </c>
      <c r="CT45" s="15" t="n">
        <v>378</v>
      </c>
      <c r="CU45" s="982" t="n">
        <v>314</v>
      </c>
      <c r="CV45" s="15" t="n">
        <v>219.8</v>
      </c>
      <c r="CW45" s="982" t="n">
        <v>546</v>
      </c>
      <c r="CX45" s="15" t="n">
        <v>382.2</v>
      </c>
      <c r="CY45" s="982" t="n">
        <v>435</v>
      </c>
      <c r="CZ45" s="15" t="n">
        <v>304.5</v>
      </c>
      <c r="DA45" s="982" t="n">
        <v>78</v>
      </c>
      <c r="DB45" s="15" t="n">
        <v>54.59999999999999</v>
      </c>
      <c r="DC45" s="982" t="n">
        <v>240</v>
      </c>
      <c r="DD45" s="15" t="n">
        <v>168</v>
      </c>
      <c r="DE45" s="982" t="n">
        <v>300</v>
      </c>
      <c r="DF45" s="15" t="n">
        <v>210</v>
      </c>
      <c r="DG45" s="982" t="n">
        <v>300</v>
      </c>
      <c r="DH45" s="15" t="n">
        <v>210</v>
      </c>
      <c r="DI45" s="983">
        <f>CK45+CM45+CO45+CQ45+CS45+CU45+CW45+CY45+DA45+DC45+DE45+DG45</f>
        <v/>
      </c>
      <c r="DJ45" s="983">
        <f>CL45+CN45+CP45+CR45+CT45+CV45+CX45+CZ45+DB45+DD45+DF45+DH45</f>
        <v/>
      </c>
      <c r="DK45" s="983">
        <f>(CK45+CM45)/2</f>
        <v/>
      </c>
      <c r="DL45" s="984">
        <f>(CL45+CN45)/2</f>
        <v/>
      </c>
      <c r="DM45" s="985">
        <f>DI45/12</f>
        <v/>
      </c>
      <c r="DN45" s="1129">
        <f>DJ45/12</f>
        <v/>
      </c>
      <c r="DO45" s="69">
        <f>DN45/$DN$57%</f>
        <v/>
      </c>
      <c r="DP45" s="987" t="n">
        <v>120</v>
      </c>
      <c r="DQ45" s="976" t="n">
        <v>84</v>
      </c>
      <c r="DR45" s="975" t="n"/>
      <c r="DS45" s="976" t="n"/>
      <c r="DT45" s="982" t="n"/>
      <c r="DU45" s="15" t="n"/>
      <c r="DV45" s="982" t="n"/>
      <c r="DW45" s="15" t="n"/>
      <c r="DX45" s="982" t="n"/>
      <c r="DY45" s="15" t="n"/>
      <c r="DZ45" s="982" t="n"/>
      <c r="EA45" s="15" t="n"/>
      <c r="EB45" s="982" t="n"/>
      <c r="EC45" s="15" t="n"/>
      <c r="ED45" s="982" t="n"/>
      <c r="EE45" s="15" t="n"/>
      <c r="EF45" s="982" t="n"/>
      <c r="EG45" s="15" t="n"/>
      <c r="EH45" s="982" t="n"/>
      <c r="EI45" s="15" t="n"/>
      <c r="EJ45" s="982" t="n"/>
      <c r="EK45" s="15" t="n"/>
      <c r="EL45" s="982" t="n"/>
      <c r="EM45" s="15" t="n"/>
      <c r="EN45" s="983">
        <f>DP45+DR45+DT45+DV45+DX45+DZ45+EB45+ED45+EF45+EH45+EJ45+EL45</f>
        <v/>
      </c>
      <c r="EO45" s="983">
        <f>DQ45+DS45+DU45+DW45+DY45+EA45+EC45+EE45+EG45+EI45+EK45+EM45</f>
        <v/>
      </c>
      <c r="EP45" s="985">
        <f>EN45/2</f>
        <v/>
      </c>
      <c r="EQ45" s="1129">
        <f>EO45/2</f>
        <v/>
      </c>
      <c r="ER45" s="535">
        <f>EQ45/$EQ$57%</f>
        <v/>
      </c>
      <c r="ES45" s="1130">
        <f>ER45-DO45</f>
        <v/>
      </c>
      <c r="ET45" s="1130">
        <f>EQ45/DL45*100-100</f>
        <v/>
      </c>
      <c r="EU45" s="1130">
        <f>EQ45/DN45*100-100</f>
        <v/>
      </c>
      <c r="EV45" s="1130">
        <f>EQ45-DN45</f>
        <v/>
      </c>
      <c r="EW45" s="1000">
        <f>EQ45-DL45</f>
        <v/>
      </c>
      <c r="EX45" s="1130">
        <f>EV45/14</f>
        <v/>
      </c>
      <c r="EY45" s="1130">
        <f>EW45/14</f>
        <v/>
      </c>
      <c r="EZ45" s="1130">
        <f>EY45*2</f>
        <v/>
      </c>
    </row>
    <row r="46">
      <c r="A46" s="7" t="n">
        <v>29</v>
      </c>
      <c r="B46" s="8" t="inlineStr">
        <is>
          <t>Formula Rum 350ml</t>
        </is>
      </c>
      <c r="C46" s="8" t="inlineStr">
        <is>
          <t>ပုလင်း</t>
        </is>
      </c>
      <c r="D46" s="7" t="n">
        <v>0.35</v>
      </c>
      <c r="E46" s="7" t="inlineStr">
        <is>
          <t>1 * 24</t>
        </is>
      </c>
      <c r="F46" s="7" t="n">
        <v>2100</v>
      </c>
      <c r="G46" s="975" t="n"/>
      <c r="H46" s="976" t="n">
        <v>0</v>
      </c>
      <c r="I46" s="975" t="n"/>
      <c r="J46" s="976" t="n">
        <v>0</v>
      </c>
      <c r="K46" s="975" t="n"/>
      <c r="L46" s="976" t="n">
        <v>0</v>
      </c>
      <c r="M46" s="975" t="n"/>
      <c r="N46" s="976" t="n">
        <v>0</v>
      </c>
      <c r="O46" s="975" t="n"/>
      <c r="P46" s="976" t="n">
        <v>0</v>
      </c>
      <c r="Q46" s="975" t="n"/>
      <c r="R46" s="976" t="n">
        <v>0</v>
      </c>
      <c r="S46" s="975" t="n"/>
      <c r="T46" s="976" t="n">
        <v>0</v>
      </c>
      <c r="U46" s="975" t="n">
        <v>372</v>
      </c>
      <c r="V46" s="976" t="n">
        <v>130.2</v>
      </c>
      <c r="W46" s="975" t="n"/>
      <c r="X46" s="976" t="n">
        <v>0</v>
      </c>
      <c r="Y46" s="975" t="n">
        <v>1379</v>
      </c>
      <c r="Z46" s="976" t="n">
        <v>482.65</v>
      </c>
      <c r="AA46" s="975" t="n">
        <v>476</v>
      </c>
      <c r="AB46" s="976" t="n">
        <v>166.6</v>
      </c>
      <c r="AC46" s="975" t="n">
        <v>427</v>
      </c>
      <c r="AD46" s="976" t="n">
        <v>149.45</v>
      </c>
      <c r="AE46" s="977" t="n">
        <v>221.1666666666667</v>
      </c>
      <c r="AF46" s="978" t="n">
        <v>77.40833333333333</v>
      </c>
      <c r="AG46" s="975" t="n">
        <v>339</v>
      </c>
      <c r="AH46" s="976" t="n">
        <v>118.65</v>
      </c>
      <c r="AI46" s="975" t="n">
        <v>98</v>
      </c>
      <c r="AJ46" s="976" t="n">
        <v>34.3</v>
      </c>
      <c r="AK46" s="975" t="n">
        <v>185</v>
      </c>
      <c r="AL46" s="976" t="n">
        <v>64.75</v>
      </c>
      <c r="AM46" s="975" t="n">
        <v>65</v>
      </c>
      <c r="AN46" s="976" t="n">
        <v>22.75</v>
      </c>
      <c r="AO46" s="975" t="n">
        <v>67</v>
      </c>
      <c r="AP46" s="976" t="n">
        <v>23.45</v>
      </c>
      <c r="AQ46" s="975" t="n">
        <v>34</v>
      </c>
      <c r="AR46" s="976" t="n">
        <v>11.9</v>
      </c>
      <c r="AS46" s="975" t="n">
        <v>39</v>
      </c>
      <c r="AT46" s="976" t="n">
        <v>13.65</v>
      </c>
      <c r="AU46" s="975" t="n">
        <v>30</v>
      </c>
      <c r="AV46" s="976" t="n">
        <v>10.5</v>
      </c>
      <c r="AW46" s="975" t="n">
        <v>195</v>
      </c>
      <c r="AX46" s="976" t="n">
        <v>68.25</v>
      </c>
      <c r="AY46" s="975" t="n">
        <v>30</v>
      </c>
      <c r="AZ46" s="976" t="n">
        <v>10.5</v>
      </c>
      <c r="BA46" s="975" t="n">
        <v>60</v>
      </c>
      <c r="BB46" s="976" t="n">
        <v>21</v>
      </c>
      <c r="BC46" s="975" t="n">
        <v>342</v>
      </c>
      <c r="BD46" s="976" t="n">
        <v>119.7</v>
      </c>
      <c r="BE46" s="977" t="n">
        <v>123.6666666666667</v>
      </c>
      <c r="BF46" s="978" t="n">
        <v>43.28333333333333</v>
      </c>
      <c r="BG46" s="975" t="n">
        <v>24</v>
      </c>
      <c r="BH46" s="976" t="n">
        <v>8.399999999999999</v>
      </c>
      <c r="BI46" s="975" t="n">
        <v>234</v>
      </c>
      <c r="BJ46" s="976" t="n">
        <v>81.89999999999999</v>
      </c>
      <c r="BK46" s="975" t="n">
        <v>474</v>
      </c>
      <c r="BL46" s="976" t="n">
        <v>165.9</v>
      </c>
      <c r="BM46" s="975" t="n">
        <v>412</v>
      </c>
      <c r="BN46" s="976" t="n">
        <v>144.2</v>
      </c>
      <c r="BO46" s="975" t="n">
        <v>510</v>
      </c>
      <c r="BP46" s="976" t="n">
        <v>178.5</v>
      </c>
      <c r="BQ46" s="975" t="n">
        <v>399</v>
      </c>
      <c r="BR46" s="976" t="n">
        <v>139.65</v>
      </c>
      <c r="BS46" s="975" t="n">
        <v>1270</v>
      </c>
      <c r="BT46" s="976" t="n">
        <v>444.5</v>
      </c>
      <c r="BU46" s="975" t="n">
        <v>966</v>
      </c>
      <c r="BV46" s="976" t="n">
        <v>338.1</v>
      </c>
      <c r="BW46" s="975" t="n">
        <v>330</v>
      </c>
      <c r="BX46" s="976" t="n">
        <v>115.5</v>
      </c>
      <c r="BY46" s="975" t="n">
        <v>899</v>
      </c>
      <c r="BZ46" s="976" t="n">
        <v>314.65</v>
      </c>
      <c r="CA46" s="975" t="n">
        <v>810</v>
      </c>
      <c r="CB46" s="976" t="n">
        <v>283.5</v>
      </c>
      <c r="CC46" s="975" t="n">
        <v>12</v>
      </c>
      <c r="CD46" s="976" t="n">
        <v>4.199999999999999</v>
      </c>
      <c r="CE46" s="979">
        <f>(BG46+BI46+BK46+BM46+BO46+BQ46+BS46+BU46+BW46+BY46+CA46)/11</f>
        <v/>
      </c>
      <c r="CF46" s="976">
        <f>(BH46+BJ46+BL46+BN46+BP46+BR46+BT46+BV46+BX46+BZ46+CB46)/11</f>
        <v/>
      </c>
      <c r="CG46" s="977" t="n">
        <v>528.3333333333334</v>
      </c>
      <c r="CH46" s="978" t="n">
        <v>184.9166666666667</v>
      </c>
      <c r="CI46" s="15" t="n">
        <v>0.03280376845434461</v>
      </c>
      <c r="CJ46" s="15" t="n">
        <v>0.14</v>
      </c>
      <c r="CK46" s="987" t="n">
        <v>26</v>
      </c>
      <c r="CL46" s="976" t="n">
        <v>9.1</v>
      </c>
      <c r="CM46" s="982" t="n">
        <v>90</v>
      </c>
      <c r="CN46" s="15" t="n">
        <v>31.5</v>
      </c>
      <c r="CO46" s="982" t="n">
        <v>264</v>
      </c>
      <c r="CP46" s="15" t="n">
        <v>92.39999999999999</v>
      </c>
      <c r="CQ46" s="982" t="n">
        <v>481</v>
      </c>
      <c r="CR46" s="15" t="n">
        <v>168.35</v>
      </c>
      <c r="CS46" s="982" t="n">
        <v>331</v>
      </c>
      <c r="CT46" s="15" t="n">
        <v>115.85</v>
      </c>
      <c r="CU46" s="982" t="n">
        <v>1260</v>
      </c>
      <c r="CV46" s="15" t="n">
        <v>441</v>
      </c>
      <c r="CW46" s="982" t="n">
        <v>521</v>
      </c>
      <c r="CX46" s="15" t="n">
        <v>182.35</v>
      </c>
      <c r="CY46" s="982" t="n">
        <v>42</v>
      </c>
      <c r="CZ46" s="15" t="n">
        <v>14.7</v>
      </c>
      <c r="DA46" s="982" t="n">
        <v>60</v>
      </c>
      <c r="DB46" s="15" t="n">
        <v>21</v>
      </c>
      <c r="DC46" s="982" t="n"/>
      <c r="DD46" s="15" t="n">
        <v>0</v>
      </c>
      <c r="DE46" s="982" t="n"/>
      <c r="DF46" s="15" t="n">
        <v>0</v>
      </c>
      <c r="DG46" s="982" t="n"/>
      <c r="DH46" s="15" t="n">
        <v>0</v>
      </c>
      <c r="DI46" s="983">
        <f>CK46+CM46+CO46+CQ46+CS46+CU46+CW46+CY46+DA46+DC46+DE46+DG46</f>
        <v/>
      </c>
      <c r="DJ46" s="983">
        <f>CL46+CN46+CP46+CR46+CT46+CV46+CX46+CZ46+DB46+DD46+DF46+DH46</f>
        <v/>
      </c>
      <c r="DK46" s="983">
        <f>(CK46+CM46)/2</f>
        <v/>
      </c>
      <c r="DL46" s="984">
        <f>(CL46+CN46)/2</f>
        <v/>
      </c>
      <c r="DM46" s="985">
        <f>DI46/12</f>
        <v/>
      </c>
      <c r="DN46" s="1129">
        <f>DJ46/12</f>
        <v/>
      </c>
      <c r="DO46" s="69">
        <f>DN46/$DN$57%</f>
        <v/>
      </c>
      <c r="DP46" s="987" t="n"/>
      <c r="DQ46" s="976" t="n"/>
      <c r="DR46" s="975" t="n"/>
      <c r="DS46" s="976" t="n"/>
      <c r="DT46" s="982" t="n"/>
      <c r="DU46" s="15" t="n"/>
      <c r="DV46" s="982" t="n"/>
      <c r="DW46" s="15" t="n"/>
      <c r="DX46" s="982" t="n"/>
      <c r="DY46" s="15" t="n"/>
      <c r="DZ46" s="982" t="n"/>
      <c r="EA46" s="15" t="n"/>
      <c r="EB46" s="982" t="n"/>
      <c r="EC46" s="15" t="n"/>
      <c r="ED46" s="982" t="n"/>
      <c r="EE46" s="15" t="n"/>
      <c r="EF46" s="982" t="n"/>
      <c r="EG46" s="15" t="n"/>
      <c r="EH46" s="982" t="n"/>
      <c r="EI46" s="15" t="n"/>
      <c r="EJ46" s="982" t="n"/>
      <c r="EK46" s="15" t="n"/>
      <c r="EL46" s="982" t="n"/>
      <c r="EM46" s="15" t="n"/>
      <c r="EN46" s="983">
        <f>DP46+DR46+DT46+DV46+DX46+DZ46+EB46+ED46+EF46+EH46+EJ46+EL46</f>
        <v/>
      </c>
      <c r="EO46" s="983">
        <f>DQ46+DS46+DU46+DW46+DY46+EA46+EC46+EE46+EG46+EI46+EK46+EM46</f>
        <v/>
      </c>
      <c r="EP46" s="985">
        <f>EN46/2</f>
        <v/>
      </c>
      <c r="EQ46" s="1129">
        <f>EO46/2</f>
        <v/>
      </c>
      <c r="ER46" s="535">
        <f>EQ46/$EQ$57%</f>
        <v/>
      </c>
      <c r="ES46" s="1130">
        <f>ER46-DO46</f>
        <v/>
      </c>
      <c r="ET46" s="1130">
        <f>EQ46/DL46*100-100</f>
        <v/>
      </c>
      <c r="EU46" s="1130">
        <f>EQ46/DN46*100-100</f>
        <v/>
      </c>
      <c r="EV46" s="1130">
        <f>EQ46-DN46</f>
        <v/>
      </c>
      <c r="EW46" s="1000">
        <f>EQ46-DL46</f>
        <v/>
      </c>
      <c r="EX46" s="1130">
        <f>EV46/14</f>
        <v/>
      </c>
      <c r="EY46" s="1130">
        <f>EW46/14</f>
        <v/>
      </c>
      <c r="EZ46" s="1130">
        <f>EY46*2</f>
        <v/>
      </c>
    </row>
    <row r="47" customFormat="1" s="251">
      <c r="A47" s="246" t="n"/>
      <c r="B47" s="247" t="inlineStr">
        <is>
          <t>Formula</t>
        </is>
      </c>
      <c r="C47" s="247" t="n"/>
      <c r="D47" s="246" t="n"/>
      <c r="E47" s="246" t="n"/>
      <c r="F47" s="246" t="n"/>
      <c r="G47" s="1131" t="n"/>
      <c r="H47" s="1132" t="n"/>
      <c r="I47" s="1131" t="n"/>
      <c r="J47" s="1132" t="n"/>
      <c r="K47" s="1131" t="n"/>
      <c r="L47" s="1132" t="n"/>
      <c r="M47" s="1131" t="n"/>
      <c r="N47" s="1132" t="n"/>
      <c r="O47" s="1131" t="n"/>
      <c r="P47" s="1132" t="n"/>
      <c r="Q47" s="1131" t="n"/>
      <c r="R47" s="1132" t="n"/>
      <c r="S47" s="1131" t="n"/>
      <c r="T47" s="1132" t="n"/>
      <c r="U47" s="1131" t="n"/>
      <c r="V47" s="1132" t="n"/>
      <c r="W47" s="1131" t="n"/>
      <c r="X47" s="1132" t="n"/>
      <c r="Y47" s="1131" t="n"/>
      <c r="Z47" s="1132" t="n"/>
      <c r="AA47" s="1131" t="n"/>
      <c r="AB47" s="1132" t="n"/>
      <c r="AC47" s="1131" t="n"/>
      <c r="AD47" s="1132" t="n"/>
      <c r="AE47" s="1131" t="n"/>
      <c r="AF47" s="1132" t="n"/>
      <c r="AG47" s="1131" t="n"/>
      <c r="AH47" s="1132" t="n"/>
      <c r="AI47" s="1131" t="n"/>
      <c r="AJ47" s="1132" t="n"/>
      <c r="AK47" s="1131" t="n"/>
      <c r="AL47" s="1132" t="n"/>
      <c r="AM47" s="1131" t="n"/>
      <c r="AN47" s="1132" t="n"/>
      <c r="AO47" s="1131" t="n"/>
      <c r="AP47" s="1132" t="n"/>
      <c r="AQ47" s="1131" t="n"/>
      <c r="AR47" s="1132" t="n"/>
      <c r="AS47" s="1131" t="n"/>
      <c r="AT47" s="1132" t="n"/>
      <c r="AU47" s="1131" t="n"/>
      <c r="AV47" s="1132" t="n"/>
      <c r="AW47" s="1131" t="n"/>
      <c r="AX47" s="1132" t="n"/>
      <c r="AY47" s="1131" t="n"/>
      <c r="AZ47" s="1132" t="n"/>
      <c r="BA47" s="1131" t="n"/>
      <c r="BB47" s="1132" t="n"/>
      <c r="BC47" s="1131" t="n"/>
      <c r="BD47" s="1132" t="n"/>
      <c r="BE47" s="1131" t="n"/>
      <c r="BF47" s="1132" t="n"/>
      <c r="BG47" s="1131" t="n"/>
      <c r="BH47" s="1132" t="n"/>
      <c r="BI47" s="1131" t="n"/>
      <c r="BJ47" s="1132" t="n"/>
      <c r="BK47" s="1131" t="n"/>
      <c r="BL47" s="1132" t="n"/>
      <c r="BM47" s="1131" t="n"/>
      <c r="BN47" s="1132" t="n"/>
      <c r="BO47" s="1131" t="n"/>
      <c r="BP47" s="1132" t="n"/>
      <c r="BQ47" s="1131" t="n"/>
      <c r="BR47" s="1132" t="n"/>
      <c r="BS47" s="1131" t="n"/>
      <c r="BT47" s="1132" t="n"/>
      <c r="BU47" s="1131" t="n"/>
      <c r="BV47" s="1132" t="n"/>
      <c r="BW47" s="1131" t="n"/>
      <c r="BX47" s="1132" t="n"/>
      <c r="BY47" s="1131" t="n"/>
      <c r="BZ47" s="1132" t="n"/>
      <c r="CA47" s="1131" t="n"/>
      <c r="CB47" s="1132" t="n"/>
      <c r="CC47" s="1131" t="n"/>
      <c r="CD47" s="1132" t="n"/>
      <c r="CE47" s="1133">
        <f>(BG47+BI47+BK47+BM47+BO47+BQ47+BS47+BU47+BW47+BY47+CA47)/11</f>
        <v/>
      </c>
      <c r="CF47" s="1132">
        <f>(BH47+BJ47+BL47+BN47+BP47+BR47+BT47+BV47+BX47+BZ47+CB47)/11</f>
        <v/>
      </c>
      <c r="CG47" s="1133">
        <f>SUM(CG45:CG46)</f>
        <v/>
      </c>
      <c r="CH47" s="1133">
        <f>SUM(CH45:CH46)</f>
        <v/>
      </c>
      <c r="CI47" s="1133">
        <f>SUM(CI45:CI46)</f>
        <v/>
      </c>
      <c r="CJ47" s="1133">
        <f>SUM(CJ45:CJ46)</f>
        <v/>
      </c>
      <c r="CK47" s="1133">
        <f>SUM(CK45:CK46)</f>
        <v/>
      </c>
      <c r="CL47" s="1133">
        <f>SUM(CL45:CL46)</f>
        <v/>
      </c>
      <c r="CM47" s="1133">
        <f>SUM(CM45:CM46)</f>
        <v/>
      </c>
      <c r="CN47" s="1133">
        <f>SUM(CN45:CN46)</f>
        <v/>
      </c>
      <c r="CO47" s="1133">
        <f>SUM(CO45:CO46)</f>
        <v/>
      </c>
      <c r="CP47" s="1133">
        <f>SUM(CP45:CP46)</f>
        <v/>
      </c>
      <c r="CQ47" s="1133">
        <f>SUM(CQ45:CQ46)</f>
        <v/>
      </c>
      <c r="CR47" s="1133">
        <f>SUM(CR45:CR46)</f>
        <v/>
      </c>
      <c r="CS47" s="1133">
        <f>SUM(CS45:CS46)</f>
        <v/>
      </c>
      <c r="CT47" s="1133">
        <f>SUM(CT45:CT46)</f>
        <v/>
      </c>
      <c r="CU47" s="1133">
        <f>SUM(CU45:CU46)</f>
        <v/>
      </c>
      <c r="CV47" s="1133">
        <f>SUM(CV45:CV46)</f>
        <v/>
      </c>
      <c r="CW47" s="1133">
        <f>SUM(CW45:CW46)</f>
        <v/>
      </c>
      <c r="CX47" s="1133">
        <f>SUM(CX45:CX46)</f>
        <v/>
      </c>
      <c r="CY47" s="1133">
        <f>SUM(CY45:CY46)</f>
        <v/>
      </c>
      <c r="CZ47" s="1133">
        <f>SUM(CZ45:CZ46)</f>
        <v/>
      </c>
      <c r="DA47" s="1133">
        <f>SUM(DA45:DA46)</f>
        <v/>
      </c>
      <c r="DB47" s="1133">
        <f>SUM(DB45:DB46)</f>
        <v/>
      </c>
      <c r="DC47" s="1133">
        <f>SUM(DC45:DC46)</f>
        <v/>
      </c>
      <c r="DD47" s="1133">
        <f>SUM(DD45:DD46)</f>
        <v/>
      </c>
      <c r="DE47" s="1133">
        <f>SUM(DE45:DE46)</f>
        <v/>
      </c>
      <c r="DF47" s="1133">
        <f>SUM(DF45:DF46)</f>
        <v/>
      </c>
      <c r="DG47" s="1133">
        <f>SUM(DG45:DG46)</f>
        <v/>
      </c>
      <c r="DH47" s="1133">
        <f>SUM(DH45:DH46)</f>
        <v/>
      </c>
      <c r="DI47" s="1133">
        <f>SUM(DI45:DI46)</f>
        <v/>
      </c>
      <c r="DJ47" s="1133">
        <f>SUM(DJ45:DJ46)</f>
        <v/>
      </c>
      <c r="DK47" s="1134">
        <f>(CK47+CM47)/2</f>
        <v/>
      </c>
      <c r="DL47" s="1135">
        <f>(CL47+CN47)/2</f>
        <v/>
      </c>
      <c r="DM47" s="1136">
        <f>DI47/12</f>
        <v/>
      </c>
      <c r="DN47" s="1137">
        <f>DJ47/12</f>
        <v/>
      </c>
      <c r="DO47" s="1133">
        <f>SUM(DO45:DO46)</f>
        <v/>
      </c>
      <c r="DP47" s="1133">
        <f>SUM(DP45:DP46)</f>
        <v/>
      </c>
      <c r="DQ47" s="1133">
        <f>SUM(DQ45:DQ46)</f>
        <v/>
      </c>
      <c r="DR47" s="1133">
        <f>SUM(DR45:DR46)</f>
        <v/>
      </c>
      <c r="DS47" s="1132">
        <f>SUM(DS45:DS46)</f>
        <v/>
      </c>
      <c r="DT47" s="1133">
        <f>SUM(DT45:DT46)</f>
        <v/>
      </c>
      <c r="DU47" s="1133">
        <f>SUM(DU45:DU46)</f>
        <v/>
      </c>
      <c r="DV47" s="1133">
        <f>SUM(DV45:DV46)</f>
        <v/>
      </c>
      <c r="DW47" s="1133">
        <f>SUM(DW45:DW46)</f>
        <v/>
      </c>
      <c r="DX47" s="1133">
        <f>SUM(DX45:DX46)</f>
        <v/>
      </c>
      <c r="DY47" s="1133">
        <f>SUM(DY45:DY46)</f>
        <v/>
      </c>
      <c r="DZ47" s="1133">
        <f>SUM(DZ45:DZ46)</f>
        <v/>
      </c>
      <c r="EA47" s="1133">
        <f>SUM(EA45:EA46)</f>
        <v/>
      </c>
      <c r="EB47" s="1133">
        <f>SUM(EB45:EB46)</f>
        <v/>
      </c>
      <c r="EC47" s="1133">
        <f>SUM(EC45:EC46)</f>
        <v/>
      </c>
      <c r="ED47" s="1133">
        <f>SUM(ED45:ED46)</f>
        <v/>
      </c>
      <c r="EE47" s="1133">
        <f>SUM(EE45:EE46)</f>
        <v/>
      </c>
      <c r="EF47" s="1133">
        <f>SUM(EF45:EF46)</f>
        <v/>
      </c>
      <c r="EG47" s="1133">
        <f>SUM(EG45:EG46)</f>
        <v/>
      </c>
      <c r="EH47" s="1133">
        <f>SUM(EH45:EH46)</f>
        <v/>
      </c>
      <c r="EI47" s="1133">
        <f>SUM(EI45:EI46)</f>
        <v/>
      </c>
      <c r="EJ47" s="1133">
        <f>SUM(EJ45:EJ46)</f>
        <v/>
      </c>
      <c r="EK47" s="1133">
        <f>SUM(EK45:EK46)</f>
        <v/>
      </c>
      <c r="EL47" s="1133">
        <f>SUM(EL45:EL46)</f>
        <v/>
      </c>
      <c r="EM47" s="1133">
        <f>SUM(EM45:EM46)</f>
        <v/>
      </c>
      <c r="EN47" s="1133">
        <f>SUM(EN45:EN46)</f>
        <v/>
      </c>
      <c r="EO47" s="1133">
        <f>SUM(EO45:EO46)</f>
        <v/>
      </c>
      <c r="EP47" s="1136">
        <f>EN47/2</f>
        <v/>
      </c>
      <c r="EQ47" s="1137">
        <f>EO47/2</f>
        <v/>
      </c>
      <c r="ER47" s="536">
        <f>EQ47/$EQ$57%</f>
        <v/>
      </c>
      <c r="ES47" s="1138">
        <f>ER47-DO47</f>
        <v/>
      </c>
      <c r="ET47" s="1138">
        <f>EQ47/DL47*100-100</f>
        <v/>
      </c>
      <c r="EU47" s="1138">
        <f>EQ47/DN47*100-100</f>
        <v/>
      </c>
      <c r="EV47" s="1138">
        <f>EQ47-DN47</f>
        <v/>
      </c>
      <c r="EW47" s="1139">
        <f>EQ47-DL47</f>
        <v/>
      </c>
      <c r="EX47" s="1138">
        <f>EV47/14</f>
        <v/>
      </c>
      <c r="EY47" s="1138">
        <f>EW47/14</f>
        <v/>
      </c>
      <c r="EZ47" s="1138">
        <f>EY47*2</f>
        <v/>
      </c>
    </row>
    <row r="48">
      <c r="A48" s="7" t="n">
        <v>30</v>
      </c>
      <c r="B48" s="8" t="inlineStr">
        <is>
          <t>ရွှေမန်း -Rum</t>
        </is>
      </c>
      <c r="C48" s="8" t="inlineStr">
        <is>
          <t>ကော်ဘူး</t>
        </is>
      </c>
      <c r="D48" s="7" t="n">
        <v>1</v>
      </c>
      <c r="E48" s="7" t="inlineStr">
        <is>
          <t>1*12</t>
        </is>
      </c>
      <c r="F48" s="7" t="n"/>
      <c r="G48" s="975" t="n"/>
      <c r="H48" s="976" t="n"/>
      <c r="I48" s="975" t="n"/>
      <c r="J48" s="976" t="n"/>
      <c r="K48" s="975" t="n"/>
      <c r="L48" s="976" t="n"/>
      <c r="M48" s="975" t="n"/>
      <c r="N48" s="976" t="n"/>
      <c r="O48" s="975" t="n"/>
      <c r="P48" s="976" t="n"/>
      <c r="Q48" s="975" t="n"/>
      <c r="R48" s="976" t="n"/>
      <c r="S48" s="975" t="n"/>
      <c r="T48" s="976" t="n"/>
      <c r="U48" s="975" t="n"/>
      <c r="V48" s="976" t="n"/>
      <c r="W48" s="975" t="n"/>
      <c r="X48" s="976" t="n"/>
      <c r="Y48" s="975" t="n"/>
      <c r="Z48" s="976" t="n"/>
      <c r="AA48" s="975" t="n"/>
      <c r="AB48" s="976" t="n"/>
      <c r="AC48" s="975" t="n"/>
      <c r="AD48" s="976" t="n"/>
      <c r="AE48" s="975" t="n"/>
      <c r="AF48" s="976" t="n"/>
      <c r="AG48" s="975" t="n"/>
      <c r="AH48" s="976" t="n"/>
      <c r="AI48" s="975" t="n"/>
      <c r="AJ48" s="976" t="n"/>
      <c r="AK48" s="975" t="n"/>
      <c r="AL48" s="976" t="n"/>
      <c r="AM48" s="975" t="n"/>
      <c r="AN48" s="976" t="n"/>
      <c r="AO48" s="975" t="n"/>
      <c r="AP48" s="976" t="n"/>
      <c r="AQ48" s="975" t="n"/>
      <c r="AR48" s="976" t="n"/>
      <c r="AS48" s="975" t="n"/>
      <c r="AT48" s="976" t="n"/>
      <c r="AU48" s="975" t="n"/>
      <c r="AV48" s="976" t="n"/>
      <c r="AW48" s="975" t="n"/>
      <c r="AX48" s="976" t="n"/>
      <c r="AY48" s="975" t="n"/>
      <c r="AZ48" s="976" t="n"/>
      <c r="BA48" s="975" t="n"/>
      <c r="BB48" s="976" t="n"/>
      <c r="BC48" s="975" t="n"/>
      <c r="BD48" s="976" t="n"/>
      <c r="BE48" s="975" t="n"/>
      <c r="BF48" s="976" t="n"/>
      <c r="BG48" s="975" t="n"/>
      <c r="BH48" s="976" t="n"/>
      <c r="BI48" s="975" t="n"/>
      <c r="BJ48" s="976" t="n"/>
      <c r="BK48" s="975" t="n"/>
      <c r="BL48" s="976" t="n"/>
      <c r="BM48" s="975" t="n"/>
      <c r="BN48" s="976" t="n"/>
      <c r="BO48" s="975" t="n"/>
      <c r="BP48" s="976" t="n"/>
      <c r="BQ48" s="975" t="n"/>
      <c r="BR48" s="976" t="n"/>
      <c r="BS48" s="975" t="n"/>
      <c r="BT48" s="976" t="n"/>
      <c r="BU48" s="975" t="n"/>
      <c r="BV48" s="976" t="n"/>
      <c r="BW48" s="975" t="n"/>
      <c r="BX48" s="976" t="n"/>
      <c r="BY48" s="975" t="n"/>
      <c r="BZ48" s="976" t="n"/>
      <c r="CA48" s="975" t="n"/>
      <c r="CB48" s="976" t="n"/>
      <c r="CC48" s="975" t="n"/>
      <c r="CD48" s="976" t="n"/>
      <c r="CE48" s="979">
        <f>(BG48+BI48+BK48+BM48+BO48+BQ48+BS48+BU48+BW48+BY48+CA48)/11</f>
        <v/>
      </c>
      <c r="CF48" s="976">
        <f>(BH48+BJ48+BL48+BN48+BP48+BR48+BT48+BV48+BX48+BZ48+CB48)/11</f>
        <v/>
      </c>
      <c r="CG48" s="979" t="n"/>
      <c r="CH48" s="979" t="n"/>
      <c r="CI48" s="979" t="n"/>
      <c r="CJ48" s="979" t="n"/>
      <c r="CK48" s="979" t="n"/>
      <c r="CL48" s="979" t="n"/>
      <c r="CM48" s="979" t="n"/>
      <c r="CN48" s="979" t="n"/>
      <c r="CO48" s="979" t="n"/>
      <c r="CP48" s="979" t="n"/>
      <c r="CQ48" s="979" t="n"/>
      <c r="CR48" s="979" t="n"/>
      <c r="CS48" s="979" t="n"/>
      <c r="CT48" s="979" t="n"/>
      <c r="CU48" s="979" t="n"/>
      <c r="CV48" s="979" t="n"/>
      <c r="CW48" s="979" t="n"/>
      <c r="CX48" s="979" t="n"/>
      <c r="CY48" s="979" t="n"/>
      <c r="CZ48" s="979" t="n"/>
      <c r="DA48" s="979" t="n"/>
      <c r="DB48" s="979" t="n"/>
      <c r="DC48" s="979" t="n">
        <v>447</v>
      </c>
      <c r="DD48" s="979" t="n">
        <v>447</v>
      </c>
      <c r="DE48" s="979" t="n">
        <v>1195</v>
      </c>
      <c r="DF48" s="979" t="n">
        <v>1195</v>
      </c>
      <c r="DG48" s="979" t="n">
        <v>396</v>
      </c>
      <c r="DH48" s="979" t="n">
        <v>396</v>
      </c>
      <c r="DI48" s="983">
        <f>CK48+CM48+CO48+CQ48+CS48+CU48+CW48+CY48+DA48+DC48+DE48+DG48</f>
        <v/>
      </c>
      <c r="DJ48" s="983">
        <f>CL48+CN48+CP48+CR48+CT48+CV48+CX48+CZ48+DB48+DD48+DF48+DH48</f>
        <v/>
      </c>
      <c r="DK48" s="983">
        <f>(CK48+CM48)/2</f>
        <v/>
      </c>
      <c r="DL48" s="984">
        <f>(CL48+CN48)/2</f>
        <v/>
      </c>
      <c r="DM48" s="985">
        <f>DI48/12</f>
        <v/>
      </c>
      <c r="DN48" s="1129">
        <f>DJ48/12</f>
        <v/>
      </c>
      <c r="DO48" s="69">
        <f>DN48/$DN$57%</f>
        <v/>
      </c>
      <c r="DP48" s="979" t="n">
        <v>1044</v>
      </c>
      <c r="DQ48" s="979" t="n">
        <v>1044</v>
      </c>
      <c r="DR48" s="979" t="n">
        <v>48</v>
      </c>
      <c r="DS48" s="976" t="n">
        <v>48</v>
      </c>
      <c r="DT48" s="979" t="n"/>
      <c r="DU48" s="979" t="n"/>
      <c r="DV48" s="979" t="n"/>
      <c r="DW48" s="979" t="n"/>
      <c r="DX48" s="979" t="n"/>
      <c r="DY48" s="979" t="n"/>
      <c r="DZ48" s="979" t="n"/>
      <c r="EA48" s="979" t="n"/>
      <c r="EB48" s="979" t="n"/>
      <c r="EC48" s="979" t="n"/>
      <c r="ED48" s="979" t="n"/>
      <c r="EE48" s="979" t="n"/>
      <c r="EF48" s="979" t="n"/>
      <c r="EG48" s="979" t="n"/>
      <c r="EH48" s="979" t="n"/>
      <c r="EI48" s="979" t="n"/>
      <c r="EJ48" s="979" t="n"/>
      <c r="EK48" s="979" t="n"/>
      <c r="EL48" s="979" t="n"/>
      <c r="EM48" s="979" t="n"/>
      <c r="EN48" s="983">
        <f>DP48+DR48+DT48+DV48+DX48+DZ48+EB48+ED48+EF48+EH48+EJ48+EL48</f>
        <v/>
      </c>
      <c r="EO48" s="983">
        <f>DQ48+DS48+DU48+DW48+DY48+EA48+EC48+EE48+EG48+EI48+EK48+EM48</f>
        <v/>
      </c>
      <c r="EP48" s="985">
        <f>EN48/2</f>
        <v/>
      </c>
      <c r="EQ48" s="1129">
        <f>EO48/2</f>
        <v/>
      </c>
      <c r="ER48" s="535">
        <f>EQ48/$EQ$57%</f>
        <v/>
      </c>
      <c r="ES48" s="1130">
        <f>ER48-DO48</f>
        <v/>
      </c>
      <c r="ET48" s="1130" t="n"/>
      <c r="EU48" s="1130">
        <f>EQ48/DN48*100-100</f>
        <v/>
      </c>
      <c r="EV48" s="1130">
        <f>EQ48-DN48</f>
        <v/>
      </c>
      <c r="EW48" s="1000">
        <f>EQ48-DL48</f>
        <v/>
      </c>
      <c r="EX48" s="1130">
        <f>EV48/14</f>
        <v/>
      </c>
      <c r="EY48" s="1130">
        <f>EW48/14</f>
        <v/>
      </c>
      <c r="EZ48" s="1130">
        <f>EY48*2</f>
        <v/>
      </c>
    </row>
    <row r="49">
      <c r="A49" s="7" t="n">
        <v>31</v>
      </c>
      <c r="B49" s="8" t="inlineStr">
        <is>
          <t>ရွှေမန်း -Rum</t>
        </is>
      </c>
      <c r="C49" s="8" t="inlineStr">
        <is>
          <t>ပုလင်း</t>
        </is>
      </c>
      <c r="D49" s="7" t="n">
        <v>0.64</v>
      </c>
      <c r="E49" s="7" t="inlineStr">
        <is>
          <t>1*14</t>
        </is>
      </c>
      <c r="F49" s="7" t="n"/>
      <c r="G49" s="975" t="n"/>
      <c r="H49" s="976" t="n"/>
      <c r="I49" s="975" t="n"/>
      <c r="J49" s="976" t="n"/>
      <c r="K49" s="975" t="n"/>
      <c r="L49" s="976" t="n"/>
      <c r="M49" s="975" t="n"/>
      <c r="N49" s="976" t="n"/>
      <c r="O49" s="975" t="n"/>
      <c r="P49" s="976" t="n"/>
      <c r="Q49" s="975" t="n"/>
      <c r="R49" s="976" t="n"/>
      <c r="S49" s="975" t="n"/>
      <c r="T49" s="976" t="n"/>
      <c r="U49" s="975" t="n"/>
      <c r="V49" s="976" t="n"/>
      <c r="W49" s="975" t="n"/>
      <c r="X49" s="976" t="n"/>
      <c r="Y49" s="975" t="n"/>
      <c r="Z49" s="976" t="n"/>
      <c r="AA49" s="975" t="n"/>
      <c r="AB49" s="976" t="n"/>
      <c r="AC49" s="975" t="n"/>
      <c r="AD49" s="976" t="n"/>
      <c r="AE49" s="975" t="n"/>
      <c r="AF49" s="976" t="n"/>
      <c r="AG49" s="975" t="n"/>
      <c r="AH49" s="976" t="n"/>
      <c r="AI49" s="975" t="n"/>
      <c r="AJ49" s="976" t="n"/>
      <c r="AK49" s="975" t="n"/>
      <c r="AL49" s="976" t="n"/>
      <c r="AM49" s="975" t="n"/>
      <c r="AN49" s="976" t="n"/>
      <c r="AO49" s="975" t="n"/>
      <c r="AP49" s="976" t="n"/>
      <c r="AQ49" s="975" t="n"/>
      <c r="AR49" s="976" t="n"/>
      <c r="AS49" s="975" t="n"/>
      <c r="AT49" s="976" t="n"/>
      <c r="AU49" s="975" t="n"/>
      <c r="AV49" s="976" t="n"/>
      <c r="AW49" s="975" t="n"/>
      <c r="AX49" s="976" t="n"/>
      <c r="AY49" s="975" t="n"/>
      <c r="AZ49" s="976" t="n"/>
      <c r="BA49" s="975" t="n"/>
      <c r="BB49" s="976" t="n"/>
      <c r="BC49" s="975" t="n"/>
      <c r="BD49" s="976" t="n"/>
      <c r="BE49" s="975" t="n"/>
      <c r="BF49" s="976" t="n"/>
      <c r="BG49" s="975" t="n"/>
      <c r="BH49" s="976" t="n"/>
      <c r="BI49" s="975" t="n"/>
      <c r="BJ49" s="976" t="n"/>
      <c r="BK49" s="975" t="n"/>
      <c r="BL49" s="976" t="n"/>
      <c r="BM49" s="975" t="n"/>
      <c r="BN49" s="976" t="n"/>
      <c r="BO49" s="975" t="n"/>
      <c r="BP49" s="976" t="n"/>
      <c r="BQ49" s="975" t="n"/>
      <c r="BR49" s="976" t="n"/>
      <c r="BS49" s="975" t="n"/>
      <c r="BT49" s="976" t="n"/>
      <c r="BU49" s="975" t="n"/>
      <c r="BV49" s="976" t="n"/>
      <c r="BW49" s="975" t="n"/>
      <c r="BX49" s="976" t="n"/>
      <c r="BY49" s="975" t="n"/>
      <c r="BZ49" s="976" t="n"/>
      <c r="CA49" s="975" t="n"/>
      <c r="CB49" s="976" t="n"/>
      <c r="CC49" s="975" t="n"/>
      <c r="CD49" s="976" t="n"/>
      <c r="CE49" s="979">
        <f>(BG49+BI49+BK49+BM49+BO49+BQ49+BS49+BU49+BW49+BY49+CA49)/11</f>
        <v/>
      </c>
      <c r="CF49" s="976">
        <f>(BH49+BJ49+BL49+BN49+BP49+BR49+BT49+BV49+BX49+BZ49+CB49)/11</f>
        <v/>
      </c>
      <c r="CG49" s="979" t="n"/>
      <c r="CH49" s="979" t="n"/>
      <c r="CI49" s="979" t="n"/>
      <c r="CJ49" s="979" t="n"/>
      <c r="CK49" s="979" t="n"/>
      <c r="CL49" s="979" t="n"/>
      <c r="CM49" s="979" t="n"/>
      <c r="CN49" s="979" t="n"/>
      <c r="CO49" s="979" t="n"/>
      <c r="CP49" s="979" t="n"/>
      <c r="CQ49" s="979" t="n"/>
      <c r="CR49" s="979" t="n"/>
      <c r="CS49" s="979" t="n"/>
      <c r="CT49" s="979" t="n"/>
      <c r="CU49" s="979" t="n"/>
      <c r="CV49" s="979" t="n"/>
      <c r="CW49" s="979" t="n"/>
      <c r="CX49" s="979" t="n"/>
      <c r="CY49" s="979" t="n"/>
      <c r="CZ49" s="979" t="n"/>
      <c r="DA49" s="979" t="n"/>
      <c r="DB49" s="979" t="n"/>
      <c r="DC49" s="979" t="n">
        <v>97</v>
      </c>
      <c r="DD49" s="979" t="n">
        <v>62.08</v>
      </c>
      <c r="DE49" s="979" t="n">
        <v>28</v>
      </c>
      <c r="DF49" s="979" t="n">
        <v>17.92</v>
      </c>
      <c r="DG49" s="979" t="n"/>
      <c r="DH49" s="979" t="n"/>
      <c r="DI49" s="983">
        <f>CK49+CM49+CO49+CQ49+CS49+CU49+CW49+CY49+DA49+DC49+DE49+DG49</f>
        <v/>
      </c>
      <c r="DJ49" s="983">
        <f>CL49+CN49+CP49+CR49+CT49+CV49+CX49+CZ49+DB49+DD49+DF49+DH49</f>
        <v/>
      </c>
      <c r="DK49" s="983">
        <f>(CK49+CM49)/2</f>
        <v/>
      </c>
      <c r="DL49" s="984">
        <f>(CL49+CN49)/2</f>
        <v/>
      </c>
      <c r="DM49" s="985">
        <f>DI49/12</f>
        <v/>
      </c>
      <c r="DN49" s="1129">
        <f>DJ49/12</f>
        <v/>
      </c>
      <c r="DO49" s="69">
        <f>DN49/$DN$57%</f>
        <v/>
      </c>
      <c r="DP49" s="979" t="n"/>
      <c r="DQ49" s="979" t="n"/>
      <c r="DR49" s="979" t="n"/>
      <c r="DS49" s="976" t="n"/>
      <c r="DT49" s="979" t="n"/>
      <c r="DU49" s="979" t="n"/>
      <c r="DV49" s="979" t="n"/>
      <c r="DW49" s="979" t="n"/>
      <c r="DX49" s="979" t="n"/>
      <c r="DY49" s="979" t="n"/>
      <c r="DZ49" s="979" t="n"/>
      <c r="EA49" s="979" t="n"/>
      <c r="EB49" s="979" t="n"/>
      <c r="EC49" s="979" t="n"/>
      <c r="ED49" s="979" t="n"/>
      <c r="EE49" s="979" t="n"/>
      <c r="EF49" s="979" t="n"/>
      <c r="EG49" s="979" t="n"/>
      <c r="EH49" s="979" t="n"/>
      <c r="EI49" s="979" t="n"/>
      <c r="EJ49" s="979" t="n"/>
      <c r="EK49" s="979" t="n"/>
      <c r="EL49" s="979" t="n"/>
      <c r="EM49" s="979" t="n"/>
      <c r="EN49" s="983">
        <f>DP49+DR49+DT49+DV49+DX49+DZ49+EB49+ED49+EF49+EH49+EJ49+EL49</f>
        <v/>
      </c>
      <c r="EO49" s="983">
        <f>DQ49+DS49+DU49+DW49+DY49+EA49+EC49+EE49+EG49+EI49+EK49+EM49</f>
        <v/>
      </c>
      <c r="EP49" s="985">
        <f>EN49/2</f>
        <v/>
      </c>
      <c r="EQ49" s="1129">
        <f>EO49/2</f>
        <v/>
      </c>
      <c r="ER49" s="535">
        <f>EQ49/$EQ$57%</f>
        <v/>
      </c>
      <c r="ES49" s="1130">
        <f>ER49-DO49</f>
        <v/>
      </c>
      <c r="ET49" s="1130" t="n"/>
      <c r="EU49" s="1130">
        <f>EQ49/DN49*100-100</f>
        <v/>
      </c>
      <c r="EV49" s="1130">
        <f>EQ49-DN49</f>
        <v/>
      </c>
      <c r="EW49" s="1000">
        <f>EQ49-DL49</f>
        <v/>
      </c>
      <c r="EX49" s="1130">
        <f>EV49/14</f>
        <v/>
      </c>
      <c r="EY49" s="1130">
        <f>EW49/14</f>
        <v/>
      </c>
      <c r="EZ49" s="1130">
        <f>EY49*2</f>
        <v/>
      </c>
    </row>
    <row r="50" customFormat="1" s="251">
      <c r="A50" s="246" t="n"/>
      <c r="B50" s="247" t="inlineStr">
        <is>
          <t>Shwe Man</t>
        </is>
      </c>
      <c r="C50" s="247" t="n"/>
      <c r="D50" s="246" t="n"/>
      <c r="E50" s="246" t="n"/>
      <c r="F50" s="246" t="n"/>
      <c r="G50" s="1131" t="n"/>
      <c r="H50" s="1132" t="n"/>
      <c r="I50" s="1131" t="n"/>
      <c r="J50" s="1132" t="n"/>
      <c r="K50" s="1131" t="n"/>
      <c r="L50" s="1132" t="n"/>
      <c r="M50" s="1131" t="n"/>
      <c r="N50" s="1132" t="n"/>
      <c r="O50" s="1131" t="n"/>
      <c r="P50" s="1132" t="n"/>
      <c r="Q50" s="1131" t="n"/>
      <c r="R50" s="1132" t="n"/>
      <c r="S50" s="1131" t="n"/>
      <c r="T50" s="1132" t="n"/>
      <c r="U50" s="1131" t="n"/>
      <c r="V50" s="1132" t="n"/>
      <c r="W50" s="1131" t="n"/>
      <c r="X50" s="1132" t="n"/>
      <c r="Y50" s="1131" t="n"/>
      <c r="Z50" s="1132" t="n"/>
      <c r="AA50" s="1131" t="n"/>
      <c r="AB50" s="1132" t="n"/>
      <c r="AC50" s="1131" t="n"/>
      <c r="AD50" s="1132" t="n"/>
      <c r="AE50" s="1131" t="n"/>
      <c r="AF50" s="1132" t="n"/>
      <c r="AG50" s="1131" t="n"/>
      <c r="AH50" s="1132" t="n"/>
      <c r="AI50" s="1131" t="n"/>
      <c r="AJ50" s="1132" t="n"/>
      <c r="AK50" s="1131" t="n"/>
      <c r="AL50" s="1132" t="n"/>
      <c r="AM50" s="1131" t="n"/>
      <c r="AN50" s="1132" t="n"/>
      <c r="AO50" s="1131" t="n"/>
      <c r="AP50" s="1132" t="n"/>
      <c r="AQ50" s="1131" t="n"/>
      <c r="AR50" s="1132" t="n"/>
      <c r="AS50" s="1131" t="n"/>
      <c r="AT50" s="1132" t="n"/>
      <c r="AU50" s="1131" t="n"/>
      <c r="AV50" s="1132" t="n"/>
      <c r="AW50" s="1131" t="n"/>
      <c r="AX50" s="1132" t="n"/>
      <c r="AY50" s="1131" t="n"/>
      <c r="AZ50" s="1132" t="n"/>
      <c r="BA50" s="1131" t="n"/>
      <c r="BB50" s="1132" t="n"/>
      <c r="BC50" s="1131" t="n"/>
      <c r="BD50" s="1132" t="n"/>
      <c r="BE50" s="1131" t="n"/>
      <c r="BF50" s="1132" t="n"/>
      <c r="BG50" s="1131" t="n"/>
      <c r="BH50" s="1132" t="n"/>
      <c r="BI50" s="1131" t="n"/>
      <c r="BJ50" s="1132" t="n"/>
      <c r="BK50" s="1131" t="n"/>
      <c r="BL50" s="1132" t="n"/>
      <c r="BM50" s="1131" t="n"/>
      <c r="BN50" s="1132" t="n"/>
      <c r="BO50" s="1131" t="n"/>
      <c r="BP50" s="1132" t="n"/>
      <c r="BQ50" s="1131" t="n"/>
      <c r="BR50" s="1132" t="n"/>
      <c r="BS50" s="1131" t="n"/>
      <c r="BT50" s="1132" t="n"/>
      <c r="BU50" s="1131" t="n"/>
      <c r="BV50" s="1132" t="n"/>
      <c r="BW50" s="1131" t="n"/>
      <c r="BX50" s="1132" t="n"/>
      <c r="BY50" s="1131" t="n"/>
      <c r="BZ50" s="1132" t="n"/>
      <c r="CA50" s="1131" t="n"/>
      <c r="CB50" s="1132" t="n"/>
      <c r="CC50" s="1131" t="n"/>
      <c r="CD50" s="1132" t="n"/>
      <c r="CE50" s="1133">
        <f>(BG50+BI50+BK50+BM50+BO50+BQ50+BS50+BU50+BW50+BY50+CA50)/11</f>
        <v/>
      </c>
      <c r="CF50" s="1132">
        <f>(BH50+BJ50+BL50+BN50+BP50+BR50+BT50+BV50+BX50+BZ50+CB50)/11</f>
        <v/>
      </c>
      <c r="CG50" s="1133" t="n"/>
      <c r="CH50" s="1133" t="n"/>
      <c r="CI50" s="1133" t="n"/>
      <c r="CJ50" s="1133" t="n"/>
      <c r="CK50" s="1133" t="n"/>
      <c r="CL50" s="1133" t="n"/>
      <c r="CM50" s="1133" t="n"/>
      <c r="CN50" s="1133" t="n"/>
      <c r="CO50" s="1133" t="n"/>
      <c r="CP50" s="1133" t="n"/>
      <c r="CQ50" s="1133" t="n"/>
      <c r="CR50" s="1133" t="n"/>
      <c r="CS50" s="1133" t="n"/>
      <c r="CT50" s="1133" t="n"/>
      <c r="CU50" s="1133" t="n"/>
      <c r="CV50" s="1133" t="n"/>
      <c r="CW50" s="1133" t="n"/>
      <c r="CX50" s="1133" t="n"/>
      <c r="CY50" s="1133" t="n"/>
      <c r="CZ50" s="1133" t="n"/>
      <c r="DA50" s="1133" t="n"/>
      <c r="DB50" s="1133" t="n"/>
      <c r="DC50" s="1133">
        <f>SUM(DC48:DC49)</f>
        <v/>
      </c>
      <c r="DD50" s="1133">
        <f>SUM(DD48:DD49)</f>
        <v/>
      </c>
      <c r="DE50" s="1133">
        <f>SUM(DE48:DE49)</f>
        <v/>
      </c>
      <c r="DF50" s="1133">
        <f>SUM(DF48:DF49)</f>
        <v/>
      </c>
      <c r="DG50" s="1133">
        <f>SUM(DG48:DG49)</f>
        <v/>
      </c>
      <c r="DH50" s="1133">
        <f>SUM(DH48:DH49)</f>
        <v/>
      </c>
      <c r="DI50" s="1133">
        <f>SUM(DI48:DI49)</f>
        <v/>
      </c>
      <c r="DJ50" s="1133">
        <f>SUM(DJ48:DJ49)</f>
        <v/>
      </c>
      <c r="DK50" s="1134">
        <f>(CK50+CM50)/2</f>
        <v/>
      </c>
      <c r="DL50" s="1135">
        <f>(CL50+CN50)/2</f>
        <v/>
      </c>
      <c r="DM50" s="1136">
        <f>DI50/12</f>
        <v/>
      </c>
      <c r="DN50" s="1137">
        <f>DJ50/12</f>
        <v/>
      </c>
      <c r="DO50" s="1133">
        <f>SUM(DO48:DO49)</f>
        <v/>
      </c>
      <c r="DP50" s="1133">
        <f>SUM(DP48:DP49)</f>
        <v/>
      </c>
      <c r="DQ50" s="1133">
        <f>SUM(DQ48:DQ49)</f>
        <v/>
      </c>
      <c r="DR50" s="1133">
        <f>SUM(DR48:DR49)</f>
        <v/>
      </c>
      <c r="DS50" s="1132">
        <f>SUM(DS48:DS49)</f>
        <v/>
      </c>
      <c r="DT50" s="1133">
        <f>SUM(DT48:DT49)</f>
        <v/>
      </c>
      <c r="DU50" s="1133">
        <f>SUM(DU48:DU49)</f>
        <v/>
      </c>
      <c r="DV50" s="1133">
        <f>SUM(DV48:DV49)</f>
        <v/>
      </c>
      <c r="DW50" s="1133">
        <f>SUM(DW48:DW49)</f>
        <v/>
      </c>
      <c r="DX50" s="1133">
        <f>SUM(DX48:DX49)</f>
        <v/>
      </c>
      <c r="DY50" s="1133">
        <f>SUM(DY48:DY49)</f>
        <v/>
      </c>
      <c r="DZ50" s="1133">
        <f>SUM(DZ48:DZ49)</f>
        <v/>
      </c>
      <c r="EA50" s="1133">
        <f>SUM(EA48:EA49)</f>
        <v/>
      </c>
      <c r="EB50" s="1133">
        <f>SUM(EB48:EB49)</f>
        <v/>
      </c>
      <c r="EC50" s="1133">
        <f>SUM(EC48:EC49)</f>
        <v/>
      </c>
      <c r="ED50" s="1133">
        <f>SUM(ED48:ED49)</f>
        <v/>
      </c>
      <c r="EE50" s="1133">
        <f>SUM(EE48:EE49)</f>
        <v/>
      </c>
      <c r="EF50" s="1133">
        <f>SUM(EF48:EF49)</f>
        <v/>
      </c>
      <c r="EG50" s="1133">
        <f>SUM(EG48:EG49)</f>
        <v/>
      </c>
      <c r="EH50" s="1133">
        <f>SUM(EH48:EH49)</f>
        <v/>
      </c>
      <c r="EI50" s="1133">
        <f>SUM(EI48:EI49)</f>
        <v/>
      </c>
      <c r="EJ50" s="1133">
        <f>SUM(EJ48:EJ49)</f>
        <v/>
      </c>
      <c r="EK50" s="1133">
        <f>SUM(EK48:EK49)</f>
        <v/>
      </c>
      <c r="EL50" s="1133">
        <f>SUM(EL48:EL49)</f>
        <v/>
      </c>
      <c r="EM50" s="1133">
        <f>SUM(EM48:EM49)</f>
        <v/>
      </c>
      <c r="EN50" s="1133">
        <f>SUM(EN48:EN49)</f>
        <v/>
      </c>
      <c r="EO50" s="1133">
        <f>SUM(EO48:EO49)</f>
        <v/>
      </c>
      <c r="EP50" s="1136">
        <f>EN50/2</f>
        <v/>
      </c>
      <c r="EQ50" s="1137">
        <f>EO50/2</f>
        <v/>
      </c>
      <c r="ER50" s="536">
        <f>EQ50/$EQ$57%</f>
        <v/>
      </c>
      <c r="ES50" s="1138">
        <f>ER50-DO50</f>
        <v/>
      </c>
      <c r="ET50" s="1138" t="n"/>
      <c r="EU50" s="1138">
        <f>EQ50/DN50*100-100</f>
        <v/>
      </c>
      <c r="EV50" s="1138">
        <f>EQ50-DN50</f>
        <v/>
      </c>
      <c r="EW50" s="1139">
        <f>EQ50-DL50</f>
        <v/>
      </c>
      <c r="EX50" s="1138">
        <f>EV50/14</f>
        <v/>
      </c>
      <c r="EY50" s="1138">
        <f>EW50/14</f>
        <v/>
      </c>
      <c r="EZ50" s="1138">
        <f>EY50*2</f>
        <v/>
      </c>
    </row>
    <row r="51">
      <c r="A51" s="7" t="n">
        <v>32</v>
      </c>
      <c r="B51" s="8" t="inlineStr">
        <is>
          <t xml:space="preserve">White Orange </t>
        </is>
      </c>
      <c r="C51" s="8" t="inlineStr">
        <is>
          <t>ပုလင်း</t>
        </is>
      </c>
      <c r="D51" s="7" t="n">
        <v>0.64</v>
      </c>
      <c r="E51" s="7" t="inlineStr">
        <is>
          <t>1 * 24</t>
        </is>
      </c>
      <c r="F51" s="7" t="n">
        <v>1230</v>
      </c>
      <c r="G51" s="975" t="n">
        <v>201961</v>
      </c>
      <c r="H51" s="976" t="n">
        <v>129255.04</v>
      </c>
      <c r="I51" s="975" t="n">
        <v>171588</v>
      </c>
      <c r="J51" s="976" t="n">
        <v>109816.32</v>
      </c>
      <c r="K51" s="975" t="n">
        <v>193632</v>
      </c>
      <c r="L51" s="976" t="n">
        <v>123924.48</v>
      </c>
      <c r="M51" s="975" t="n">
        <v>167880</v>
      </c>
      <c r="N51" s="976" t="n">
        <v>107443.2</v>
      </c>
      <c r="O51" s="975" t="n">
        <v>178684</v>
      </c>
      <c r="P51" s="976" t="n">
        <v>114357.76</v>
      </c>
      <c r="Q51" s="975" t="n">
        <v>175704</v>
      </c>
      <c r="R51" s="976" t="n">
        <v>112450.56</v>
      </c>
      <c r="S51" s="975" t="n">
        <v>171550</v>
      </c>
      <c r="T51" s="976" t="n">
        <v>109792</v>
      </c>
      <c r="U51" s="975" t="n">
        <v>188352</v>
      </c>
      <c r="V51" s="976" t="n">
        <v>120545.28</v>
      </c>
      <c r="W51" s="975" t="n">
        <v>185043</v>
      </c>
      <c r="X51" s="976" t="n">
        <v>118427.52</v>
      </c>
      <c r="Y51" s="975" t="n">
        <v>197568</v>
      </c>
      <c r="Z51" s="976" t="n">
        <v>126443.52</v>
      </c>
      <c r="AA51" s="975" t="n">
        <v>212496</v>
      </c>
      <c r="AB51" s="976" t="n">
        <v>135997.44</v>
      </c>
      <c r="AC51" s="975" t="n">
        <v>210283</v>
      </c>
      <c r="AD51" s="976" t="n">
        <v>134581.12</v>
      </c>
      <c r="AE51" s="977" t="n">
        <v>187895.0833333333</v>
      </c>
      <c r="AF51" s="978" t="n">
        <v>120252.8533333333</v>
      </c>
      <c r="AG51" s="975" t="n">
        <v>186336</v>
      </c>
      <c r="AH51" s="976" t="n">
        <v>119255.04</v>
      </c>
      <c r="AI51" s="975" t="n">
        <v>172130</v>
      </c>
      <c r="AJ51" s="976" t="n">
        <v>110163.2</v>
      </c>
      <c r="AK51" s="975" t="n">
        <v>170904</v>
      </c>
      <c r="AL51" s="976" t="n">
        <v>109378.56</v>
      </c>
      <c r="AM51" s="975" t="n">
        <v>168240</v>
      </c>
      <c r="AN51" s="976" t="n">
        <v>107673.6</v>
      </c>
      <c r="AO51" s="975" t="n">
        <v>135120</v>
      </c>
      <c r="AP51" s="976" t="n">
        <v>86476.8</v>
      </c>
      <c r="AQ51" s="975" t="n">
        <v>178344</v>
      </c>
      <c r="AR51" s="976" t="n">
        <v>114140.16</v>
      </c>
      <c r="AS51" s="975" t="n">
        <v>180288</v>
      </c>
      <c r="AT51" s="976" t="n">
        <v>115384.32</v>
      </c>
      <c r="AU51" s="975" t="n">
        <v>190538</v>
      </c>
      <c r="AV51" s="976" t="n">
        <v>121944.32</v>
      </c>
      <c r="AW51" s="975" t="n">
        <v>179088</v>
      </c>
      <c r="AX51" s="976" t="n">
        <v>114616.32</v>
      </c>
      <c r="AY51" s="975" t="n">
        <v>213576</v>
      </c>
      <c r="AZ51" s="976" t="n">
        <v>136688.64</v>
      </c>
      <c r="BA51" s="975" t="n">
        <v>201456</v>
      </c>
      <c r="BB51" s="976" t="n">
        <v>128931.84</v>
      </c>
      <c r="BC51" s="975" t="n">
        <v>221976</v>
      </c>
      <c r="BD51" s="976" t="n">
        <v>142064.64</v>
      </c>
      <c r="BE51" s="977" t="n">
        <v>183166.3333333333</v>
      </c>
      <c r="BF51" s="978" t="n">
        <v>117226.4533333333</v>
      </c>
      <c r="BG51" s="975" t="n">
        <v>205104</v>
      </c>
      <c r="BH51" s="976" t="n">
        <v>131266.56</v>
      </c>
      <c r="BI51" s="975" t="n">
        <v>188737</v>
      </c>
      <c r="BJ51" s="976" t="n">
        <v>120791.68</v>
      </c>
      <c r="BK51" s="975" t="n">
        <v>178271</v>
      </c>
      <c r="BL51" s="976" t="n">
        <v>114093.44</v>
      </c>
      <c r="BM51" s="975" t="n">
        <v>172056</v>
      </c>
      <c r="BN51" s="976" t="n">
        <v>110115.84</v>
      </c>
      <c r="BO51" s="975" t="n">
        <v>191772</v>
      </c>
      <c r="BP51" s="976" t="n">
        <v>122734.08</v>
      </c>
      <c r="BQ51" s="975" t="n">
        <v>175896</v>
      </c>
      <c r="BR51" s="976" t="n">
        <v>112573.44</v>
      </c>
      <c r="BS51" s="975" t="n">
        <v>189492</v>
      </c>
      <c r="BT51" s="976" t="n">
        <v>121274.88</v>
      </c>
      <c r="BU51" s="975" t="n">
        <v>192528</v>
      </c>
      <c r="BV51" s="976" t="n">
        <v>123217.92</v>
      </c>
      <c r="BW51" s="975" t="n">
        <v>203688</v>
      </c>
      <c r="BX51" s="976" t="n">
        <v>130360.32</v>
      </c>
      <c r="BY51" s="975" t="n">
        <v>209141</v>
      </c>
      <c r="BZ51" s="976" t="n">
        <v>133850.24</v>
      </c>
      <c r="CA51" s="975" t="n">
        <v>227352</v>
      </c>
      <c r="CB51" s="976" t="n">
        <v>145505.28</v>
      </c>
      <c r="CC51" s="975" t="n">
        <v>225907</v>
      </c>
      <c r="CD51" s="976" t="n">
        <v>144580.48</v>
      </c>
      <c r="CE51" s="979">
        <f>(BG51+BI51+BK51+BM51+BO51+BQ51+BS51+BU51+BW51+BY51+CA51)/11</f>
        <v/>
      </c>
      <c r="CF51" s="976">
        <f>(BH51+BJ51+BL51+BN51+BP51+BR51+BT51+BV51+BX51+BZ51+CB51)/11</f>
        <v/>
      </c>
      <c r="CG51" s="977" t="n">
        <v>196662</v>
      </c>
      <c r="CH51" s="978" t="n">
        <v>125863.68</v>
      </c>
      <c r="CI51" s="15" t="n">
        <v>22.3279117559174</v>
      </c>
      <c r="CJ51" s="15" t="n">
        <v>22.33</v>
      </c>
      <c r="CK51" s="982" t="n">
        <v>209448</v>
      </c>
      <c r="CL51" s="976" t="n">
        <v>134046.72</v>
      </c>
      <c r="CM51" s="982" t="n">
        <v>178916</v>
      </c>
      <c r="CN51" s="15" t="n">
        <v>114506.24</v>
      </c>
      <c r="CO51" s="982" t="n">
        <v>223786</v>
      </c>
      <c r="CP51" s="15" t="n">
        <v>143223.04</v>
      </c>
      <c r="CQ51" s="982" t="n">
        <v>178440</v>
      </c>
      <c r="CR51" s="15" t="n">
        <v>114201.6</v>
      </c>
      <c r="CS51" s="982" t="n">
        <v>177984</v>
      </c>
      <c r="CT51" s="15" t="n">
        <v>113909.76</v>
      </c>
      <c r="CU51" s="982" t="n">
        <v>190848</v>
      </c>
      <c r="CV51" s="15" t="n">
        <v>122142.72</v>
      </c>
      <c r="CW51" s="982" t="n">
        <v>194876</v>
      </c>
      <c r="CX51" s="15" t="n">
        <v>124720.64</v>
      </c>
      <c r="CY51" s="982" t="n">
        <v>182424</v>
      </c>
      <c r="CZ51" s="15" t="n">
        <v>116751.36</v>
      </c>
      <c r="DA51" s="982" t="n">
        <v>185736</v>
      </c>
      <c r="DB51" s="15" t="n">
        <v>118871.04</v>
      </c>
      <c r="DC51" s="982" t="n">
        <v>201648</v>
      </c>
      <c r="DD51" s="15" t="n">
        <v>129054.72</v>
      </c>
      <c r="DE51" s="982" t="n">
        <v>191328</v>
      </c>
      <c r="DF51" s="15" t="n">
        <v>122449.92</v>
      </c>
      <c r="DG51" s="982" t="n">
        <v>201648</v>
      </c>
      <c r="DH51" s="15" t="n">
        <v>129054.72</v>
      </c>
      <c r="DI51" s="983">
        <f>CK51+CM51+CO51+CQ51+CS51+CU51+CW51+CY51+DA51+DC51+DE51+DG51</f>
        <v/>
      </c>
      <c r="DJ51" s="983">
        <f>CL51+CN51+CP51+CR51+CT51+CV51+CX51+CZ51+DB51+DD51+DF51+DH51</f>
        <v/>
      </c>
      <c r="DK51" s="983">
        <f>(CK51+CM51)/2</f>
        <v/>
      </c>
      <c r="DL51" s="984">
        <f>(CL51+CN51)/2</f>
        <v/>
      </c>
      <c r="DM51" s="985">
        <f>DI51/12</f>
        <v/>
      </c>
      <c r="DN51" s="1129">
        <f>DJ51/12</f>
        <v/>
      </c>
      <c r="DO51" s="69">
        <f>DN51/$DN$57%</f>
        <v/>
      </c>
      <c r="DP51" s="982" t="n">
        <v>185568</v>
      </c>
      <c r="DQ51" s="976" t="n">
        <v>118763.52</v>
      </c>
      <c r="DR51" s="975" t="n">
        <v>169680</v>
      </c>
      <c r="DS51" s="976" t="n">
        <v>108595.2</v>
      </c>
      <c r="DT51" s="982" t="n"/>
      <c r="DU51" s="15" t="n"/>
      <c r="DV51" s="982" t="n"/>
      <c r="DW51" s="15" t="n"/>
      <c r="DX51" s="982" t="n"/>
      <c r="DY51" s="15" t="n"/>
      <c r="DZ51" s="982" t="n"/>
      <c r="EA51" s="15" t="n"/>
      <c r="EB51" s="982" t="n"/>
      <c r="EC51" s="15" t="n"/>
      <c r="ED51" s="982" t="n"/>
      <c r="EE51" s="15" t="n"/>
      <c r="EF51" s="982" t="n"/>
      <c r="EG51" s="15" t="n"/>
      <c r="EH51" s="982" t="n"/>
      <c r="EI51" s="15" t="n"/>
      <c r="EJ51" s="982" t="n"/>
      <c r="EK51" s="15" t="n"/>
      <c r="EL51" s="982" t="n"/>
      <c r="EM51" s="15" t="n"/>
      <c r="EN51" s="983">
        <f>DP51+DR51+DT51+DV51+DX51+DZ51+EB51+ED51+EF51+EH51+EJ51+EL51</f>
        <v/>
      </c>
      <c r="EO51" s="983">
        <f>DQ51+DS51+DU51+DW51+DY51+EA51+EC51+EE51+EG51+EI51+EK51+EM51</f>
        <v/>
      </c>
      <c r="EP51" s="985">
        <f>EN51/2</f>
        <v/>
      </c>
      <c r="EQ51" s="1129">
        <f>EO51/2</f>
        <v/>
      </c>
      <c r="ER51" s="535">
        <f>EQ51/$EQ$57%</f>
        <v/>
      </c>
      <c r="ES51" s="1130">
        <f>ER51-DO51</f>
        <v/>
      </c>
      <c r="ET51" s="1130">
        <f>EQ51/DL51*100-100</f>
        <v/>
      </c>
      <c r="EU51" s="1130">
        <f>EQ51/DN51*100-100</f>
        <v/>
      </c>
      <c r="EV51" s="1130">
        <f>EQ51-DN51</f>
        <v/>
      </c>
      <c r="EW51" s="1000">
        <f>EQ51-DL51</f>
        <v/>
      </c>
      <c r="EX51" s="1130">
        <f>EV51/14</f>
        <v/>
      </c>
      <c r="EY51" s="1130">
        <f>EW51/14</f>
        <v/>
      </c>
      <c r="EZ51" s="1130">
        <f>EY51*2</f>
        <v/>
      </c>
    </row>
    <row r="52" customFormat="1" s="251">
      <c r="A52" s="246" t="n"/>
      <c r="B52" s="247" t="inlineStr">
        <is>
          <t xml:space="preserve">White Orange </t>
        </is>
      </c>
      <c r="C52" s="247" t="n"/>
      <c r="D52" s="246" t="n"/>
      <c r="E52" s="246" t="n"/>
      <c r="F52" s="246" t="n"/>
      <c r="G52" s="1131" t="n"/>
      <c r="H52" s="1132" t="n"/>
      <c r="I52" s="1131" t="n"/>
      <c r="J52" s="1132" t="n"/>
      <c r="K52" s="1131" t="n"/>
      <c r="L52" s="1132" t="n"/>
      <c r="M52" s="1131" t="n"/>
      <c r="N52" s="1132" t="n"/>
      <c r="O52" s="1131" t="n"/>
      <c r="P52" s="1132" t="n"/>
      <c r="Q52" s="1131" t="n"/>
      <c r="R52" s="1132" t="n"/>
      <c r="S52" s="1131" t="n"/>
      <c r="T52" s="1132" t="n"/>
      <c r="U52" s="1131" t="n"/>
      <c r="V52" s="1132" t="n"/>
      <c r="W52" s="1131" t="n"/>
      <c r="X52" s="1132" t="n"/>
      <c r="Y52" s="1131" t="n"/>
      <c r="Z52" s="1132" t="n"/>
      <c r="AA52" s="1131" t="n"/>
      <c r="AB52" s="1132" t="n"/>
      <c r="AC52" s="1131" t="n"/>
      <c r="AD52" s="1132" t="n"/>
      <c r="AE52" s="1131" t="n"/>
      <c r="AF52" s="1132" t="n"/>
      <c r="AG52" s="1131" t="n"/>
      <c r="AH52" s="1132" t="n"/>
      <c r="AI52" s="1131" t="n"/>
      <c r="AJ52" s="1132" t="n"/>
      <c r="AK52" s="1131" t="n"/>
      <c r="AL52" s="1132" t="n"/>
      <c r="AM52" s="1131" t="n"/>
      <c r="AN52" s="1132" t="n"/>
      <c r="AO52" s="1131" t="n"/>
      <c r="AP52" s="1132" t="n"/>
      <c r="AQ52" s="1131" t="n"/>
      <c r="AR52" s="1132" t="n"/>
      <c r="AS52" s="1131" t="n"/>
      <c r="AT52" s="1132" t="n"/>
      <c r="AU52" s="1131" t="n"/>
      <c r="AV52" s="1132" t="n"/>
      <c r="AW52" s="1131" t="n"/>
      <c r="AX52" s="1132" t="n"/>
      <c r="AY52" s="1131" t="n"/>
      <c r="AZ52" s="1132" t="n"/>
      <c r="BA52" s="1131" t="n"/>
      <c r="BB52" s="1132" t="n"/>
      <c r="BC52" s="1131" t="n"/>
      <c r="BD52" s="1132" t="n"/>
      <c r="BE52" s="1131" t="n"/>
      <c r="BF52" s="1132" t="n"/>
      <c r="BG52" s="1131" t="n"/>
      <c r="BH52" s="1132" t="n"/>
      <c r="BI52" s="1131" t="n"/>
      <c r="BJ52" s="1132" t="n"/>
      <c r="BK52" s="1131" t="n"/>
      <c r="BL52" s="1132" t="n"/>
      <c r="BM52" s="1131" t="n"/>
      <c r="BN52" s="1132" t="n"/>
      <c r="BO52" s="1131" t="n"/>
      <c r="BP52" s="1132" t="n"/>
      <c r="BQ52" s="1131" t="n"/>
      <c r="BR52" s="1132" t="n"/>
      <c r="BS52" s="1131" t="n"/>
      <c r="BT52" s="1132" t="n"/>
      <c r="BU52" s="1131" t="n"/>
      <c r="BV52" s="1132" t="n"/>
      <c r="BW52" s="1131" t="n"/>
      <c r="BX52" s="1132" t="n"/>
      <c r="BY52" s="1131" t="n"/>
      <c r="BZ52" s="1132" t="n"/>
      <c r="CA52" s="1131" t="n"/>
      <c r="CB52" s="1132" t="n"/>
      <c r="CC52" s="1131" t="n"/>
      <c r="CD52" s="1132" t="n"/>
      <c r="CE52" s="1133">
        <f>(BG52+BI52+BK52+BM52+BO52+BQ52+BS52+BU52+BW52+BY52+CA52)/11</f>
        <v/>
      </c>
      <c r="CF52" s="1132">
        <f>(BH52+BJ52+BL52+BN52+BP52+BR52+BT52+BV52+BX52+BZ52+CB52)/11</f>
        <v/>
      </c>
      <c r="CG52" s="1133">
        <f>SUM(CG51)</f>
        <v/>
      </c>
      <c r="CH52" s="1133">
        <f>SUM(CH51)</f>
        <v/>
      </c>
      <c r="CI52" s="1133">
        <f>SUM(CI51)</f>
        <v/>
      </c>
      <c r="CJ52" s="1133">
        <f>SUM(CJ51)</f>
        <v/>
      </c>
      <c r="CK52" s="1133">
        <f>SUM(CK51)</f>
        <v/>
      </c>
      <c r="CL52" s="1133">
        <f>SUM(CL51)</f>
        <v/>
      </c>
      <c r="CM52" s="1133">
        <f>SUM(CM51)</f>
        <v/>
      </c>
      <c r="CN52" s="1133">
        <f>SUM(CN51)</f>
        <v/>
      </c>
      <c r="CO52" s="1133">
        <f>SUM(CO51)</f>
        <v/>
      </c>
      <c r="CP52" s="1133">
        <f>SUM(CP51)</f>
        <v/>
      </c>
      <c r="CQ52" s="1133">
        <f>SUM(CQ51)</f>
        <v/>
      </c>
      <c r="CR52" s="1133">
        <f>SUM(CR51)</f>
        <v/>
      </c>
      <c r="CS52" s="1133">
        <f>SUM(CS51)</f>
        <v/>
      </c>
      <c r="CT52" s="1133">
        <f>SUM(CT51)</f>
        <v/>
      </c>
      <c r="CU52" s="1133">
        <f>SUM(CU51)</f>
        <v/>
      </c>
      <c r="CV52" s="1133">
        <f>SUM(CV51)</f>
        <v/>
      </c>
      <c r="CW52" s="1133">
        <f>SUM(CW51)</f>
        <v/>
      </c>
      <c r="CX52" s="1133">
        <f>SUM(CX51)</f>
        <v/>
      </c>
      <c r="CY52" s="1133">
        <f>SUM(CY51)</f>
        <v/>
      </c>
      <c r="CZ52" s="1133">
        <f>SUM(CZ51)</f>
        <v/>
      </c>
      <c r="DA52" s="1133">
        <f>SUM(DA51)</f>
        <v/>
      </c>
      <c r="DB52" s="1133">
        <f>SUM(DB51)</f>
        <v/>
      </c>
      <c r="DC52" s="1133">
        <f>SUM(DC51)</f>
        <v/>
      </c>
      <c r="DD52" s="1133">
        <f>SUM(DD51)</f>
        <v/>
      </c>
      <c r="DE52" s="1133">
        <f>SUM(DE51)</f>
        <v/>
      </c>
      <c r="DF52" s="1133">
        <f>SUM(DF51)</f>
        <v/>
      </c>
      <c r="DG52" s="1133">
        <f>SUM(DG51)</f>
        <v/>
      </c>
      <c r="DH52" s="1133">
        <f>SUM(DH51)</f>
        <v/>
      </c>
      <c r="DI52" s="1133">
        <f>SUM(DI51)</f>
        <v/>
      </c>
      <c r="DJ52" s="1133">
        <f>SUM(DJ51)</f>
        <v/>
      </c>
      <c r="DK52" s="1134">
        <f>(CK52+CM52)/2</f>
        <v/>
      </c>
      <c r="DL52" s="1135">
        <f>(CL52+CN52)/2</f>
        <v/>
      </c>
      <c r="DM52" s="1136">
        <f>DI52/12</f>
        <v/>
      </c>
      <c r="DN52" s="1137">
        <f>DJ52/12</f>
        <v/>
      </c>
      <c r="DO52" s="1133">
        <f>SUM(DO51)</f>
        <v/>
      </c>
      <c r="DP52" s="1133">
        <f>SUM(DP51)</f>
        <v/>
      </c>
      <c r="DQ52" s="1133">
        <f>SUM(DQ51)</f>
        <v/>
      </c>
      <c r="DR52" s="1133">
        <f>SUM(DR51)</f>
        <v/>
      </c>
      <c r="DS52" s="1132">
        <f>SUM(DS51)</f>
        <v/>
      </c>
      <c r="DT52" s="1133">
        <f>SUM(DT51)</f>
        <v/>
      </c>
      <c r="DU52" s="1133">
        <f>SUM(DU51)</f>
        <v/>
      </c>
      <c r="DV52" s="1133">
        <f>SUM(DV51)</f>
        <v/>
      </c>
      <c r="DW52" s="1133">
        <f>SUM(DW51)</f>
        <v/>
      </c>
      <c r="DX52" s="1133">
        <f>SUM(DX51)</f>
        <v/>
      </c>
      <c r="DY52" s="1133">
        <f>SUM(DY51)</f>
        <v/>
      </c>
      <c r="DZ52" s="1133">
        <f>SUM(DZ51)</f>
        <v/>
      </c>
      <c r="EA52" s="1133">
        <f>SUM(EA51)</f>
        <v/>
      </c>
      <c r="EB52" s="1133">
        <f>SUM(EB51)</f>
        <v/>
      </c>
      <c r="EC52" s="1133">
        <f>SUM(EC51)</f>
        <v/>
      </c>
      <c r="ED52" s="1133">
        <f>SUM(ED51)</f>
        <v/>
      </c>
      <c r="EE52" s="1133">
        <f>SUM(EE51)</f>
        <v/>
      </c>
      <c r="EF52" s="1133">
        <f>SUM(EF51)</f>
        <v/>
      </c>
      <c r="EG52" s="1133">
        <f>SUM(EG51)</f>
        <v/>
      </c>
      <c r="EH52" s="1133">
        <f>SUM(EH51)</f>
        <v/>
      </c>
      <c r="EI52" s="1133">
        <f>SUM(EI51)</f>
        <v/>
      </c>
      <c r="EJ52" s="1133">
        <f>SUM(EJ51)</f>
        <v/>
      </c>
      <c r="EK52" s="1133">
        <f>SUM(EK51)</f>
        <v/>
      </c>
      <c r="EL52" s="1133">
        <f>SUM(EL51)</f>
        <v/>
      </c>
      <c r="EM52" s="1133">
        <f>SUM(EM51)</f>
        <v/>
      </c>
      <c r="EN52" s="1133">
        <f>SUM(EN51)</f>
        <v/>
      </c>
      <c r="EO52" s="1133">
        <f>SUM(EO51)</f>
        <v/>
      </c>
      <c r="EP52" s="1136">
        <f>EN52/2</f>
        <v/>
      </c>
      <c r="EQ52" s="1137">
        <f>EO52/2</f>
        <v/>
      </c>
      <c r="ER52" s="536">
        <f>EQ52/$EQ$57%</f>
        <v/>
      </c>
      <c r="ES52" s="1138">
        <f>ER52-DO52</f>
        <v/>
      </c>
      <c r="ET52" s="1138">
        <f>EQ52/DL52*100-100</f>
        <v/>
      </c>
      <c r="EU52" s="1138">
        <f>EQ52/DN52*100-100</f>
        <v/>
      </c>
      <c r="EV52" s="1138">
        <f>EQ52-DN52</f>
        <v/>
      </c>
      <c r="EW52" s="1139">
        <f>EQ52-DL52</f>
        <v/>
      </c>
      <c r="EX52" s="1138">
        <f>EV52/14</f>
        <v/>
      </c>
      <c r="EY52" s="1138">
        <f>EW52/14</f>
        <v/>
      </c>
      <c r="EZ52" s="1138">
        <f>EY52*2</f>
        <v/>
      </c>
    </row>
    <row r="53">
      <c r="A53" s="73" t="n">
        <v>33</v>
      </c>
      <c r="B53" s="74" t="inlineStr">
        <is>
          <t>Black - Cat</t>
        </is>
      </c>
      <c r="C53" s="74" t="inlineStr">
        <is>
          <t>ပုလင်း</t>
        </is>
      </c>
      <c r="D53" s="73" t="n">
        <v>0.64</v>
      </c>
      <c r="E53" s="73" t="inlineStr">
        <is>
          <t>1 * 24</t>
        </is>
      </c>
      <c r="F53" s="73" t="n">
        <v>1230</v>
      </c>
      <c r="G53" s="1075" t="n">
        <v>8544</v>
      </c>
      <c r="H53" s="1076" t="n">
        <v>5468.16</v>
      </c>
      <c r="I53" s="1075" t="n">
        <v>9480</v>
      </c>
      <c r="J53" s="1076" t="n">
        <v>6067.2</v>
      </c>
      <c r="K53" s="1075" t="n">
        <v>11496</v>
      </c>
      <c r="L53" s="1076" t="n">
        <v>7357.440000000001</v>
      </c>
      <c r="M53" s="1075" t="n">
        <v>7848</v>
      </c>
      <c r="N53" s="1076" t="n">
        <v>5022.72</v>
      </c>
      <c r="O53" s="1075" t="n">
        <v>7464</v>
      </c>
      <c r="P53" s="1076" t="n">
        <v>4776.96</v>
      </c>
      <c r="Q53" s="1075" t="n">
        <v>8832</v>
      </c>
      <c r="R53" s="1076" t="n">
        <v>5652.48</v>
      </c>
      <c r="S53" s="1075" t="n">
        <v>10368</v>
      </c>
      <c r="T53" s="1076" t="n">
        <v>6635.52</v>
      </c>
      <c r="U53" s="1075" t="n">
        <v>10296</v>
      </c>
      <c r="V53" s="1076" t="n">
        <v>6589.440000000001</v>
      </c>
      <c r="W53" s="1075" t="n">
        <v>8378</v>
      </c>
      <c r="X53" s="1076" t="n">
        <v>5361.92</v>
      </c>
      <c r="Y53" s="1075" t="n">
        <v>10320</v>
      </c>
      <c r="Z53" s="1076" t="n">
        <v>6604.8</v>
      </c>
      <c r="AA53" s="1075" t="n">
        <v>5712</v>
      </c>
      <c r="AB53" s="1076" t="n">
        <v>3655.68</v>
      </c>
      <c r="AC53" s="1075" t="n">
        <v>10464</v>
      </c>
      <c r="AD53" s="1076" t="n">
        <v>6696.96</v>
      </c>
      <c r="AE53" s="1077" t="n">
        <v>9100.166666666666</v>
      </c>
      <c r="AF53" s="1078" t="n">
        <v>5824.106666666667</v>
      </c>
      <c r="AG53" s="1075" t="n">
        <v>13608</v>
      </c>
      <c r="AH53" s="1076" t="n">
        <v>8709.120000000001</v>
      </c>
      <c r="AI53" s="1075" t="n">
        <v>8376</v>
      </c>
      <c r="AJ53" s="1076" t="n">
        <v>5360.64</v>
      </c>
      <c r="AK53" s="1075" t="n">
        <v>5904</v>
      </c>
      <c r="AL53" s="1076" t="n">
        <v>3778.56</v>
      </c>
      <c r="AM53" s="1075" t="n">
        <v>7968</v>
      </c>
      <c r="AN53" s="1076" t="n">
        <v>5099.52</v>
      </c>
      <c r="AO53" s="1075" t="n">
        <v>6480</v>
      </c>
      <c r="AP53" s="1076" t="n">
        <v>4147.2</v>
      </c>
      <c r="AQ53" s="1075" t="n">
        <v>8280</v>
      </c>
      <c r="AR53" s="1076" t="n">
        <v>5299.2</v>
      </c>
      <c r="AS53" s="1075" t="n">
        <v>9480</v>
      </c>
      <c r="AT53" s="1076" t="n">
        <v>6067.2</v>
      </c>
      <c r="AU53" s="1075" t="n">
        <v>7728</v>
      </c>
      <c r="AV53" s="1076" t="n">
        <v>4945.92</v>
      </c>
      <c r="AW53" s="1075" t="n">
        <v>9840</v>
      </c>
      <c r="AX53" s="1076" t="n">
        <v>6297.6</v>
      </c>
      <c r="AY53" s="1075" t="n">
        <v>5688</v>
      </c>
      <c r="AZ53" s="1076" t="n">
        <v>3640.32</v>
      </c>
      <c r="BA53" s="1075" t="n">
        <v>3552</v>
      </c>
      <c r="BB53" s="1076" t="n">
        <v>2273.28</v>
      </c>
      <c r="BC53" s="1075" t="n">
        <v>6360</v>
      </c>
      <c r="BD53" s="1076" t="n">
        <v>4070.4</v>
      </c>
      <c r="BE53" s="1077" t="n">
        <v>7772</v>
      </c>
      <c r="BF53" s="1078" t="n">
        <v>4974.08</v>
      </c>
      <c r="BG53" s="1075" t="n">
        <v>8088</v>
      </c>
      <c r="BH53" s="1076" t="n">
        <v>5176.32</v>
      </c>
      <c r="BI53" s="1075" t="n">
        <v>4320</v>
      </c>
      <c r="BJ53" s="1076" t="n">
        <v>2764.8</v>
      </c>
      <c r="BK53" s="1075" t="n">
        <v>7296</v>
      </c>
      <c r="BL53" s="1076" t="n">
        <v>4669.440000000001</v>
      </c>
      <c r="BM53" s="1075" t="n">
        <v>5184</v>
      </c>
      <c r="BN53" s="1076" t="n">
        <v>3317.76</v>
      </c>
      <c r="BO53" s="1075" t="n">
        <v>6432</v>
      </c>
      <c r="BP53" s="1076" t="n">
        <v>4116.48</v>
      </c>
      <c r="BQ53" s="1075" t="n">
        <v>6576</v>
      </c>
      <c r="BR53" s="1076" t="n">
        <v>4208.64</v>
      </c>
      <c r="BS53" s="1075" t="n">
        <v>7464</v>
      </c>
      <c r="BT53" s="1076" t="n">
        <v>4776.96</v>
      </c>
      <c r="BU53" s="1075" t="n">
        <v>5064</v>
      </c>
      <c r="BV53" s="1076" t="n">
        <v>3240.96</v>
      </c>
      <c r="BW53" s="1075" t="n">
        <v>5832</v>
      </c>
      <c r="BX53" s="1076" t="n">
        <v>3732.48</v>
      </c>
      <c r="BY53" s="1075" t="n">
        <v>5952</v>
      </c>
      <c r="BZ53" s="1076" t="n">
        <v>3809.28</v>
      </c>
      <c r="CA53" s="1075" t="n">
        <v>6744</v>
      </c>
      <c r="CB53" s="1076" t="n">
        <v>4316.16</v>
      </c>
      <c r="CC53" s="1075" t="n">
        <v>7800</v>
      </c>
      <c r="CD53" s="1076" t="n">
        <v>4992</v>
      </c>
      <c r="CE53" s="979">
        <f>(BG53+BI53+BK53+BM53+BO53+BQ53+BS53+BU53+BW53+BY53+CA53)/11</f>
        <v/>
      </c>
      <c r="CF53" s="976">
        <f>(BH53+BJ53+BL53+BN53+BP53+BR53+BT53+BV53+BX53+BZ53+CB53)/11</f>
        <v/>
      </c>
      <c r="CG53" s="1077" t="n">
        <v>6396</v>
      </c>
      <c r="CH53" s="1078" t="n">
        <v>4093.44</v>
      </c>
      <c r="CI53" s="83" t="n">
        <v>0.7261663340698644</v>
      </c>
      <c r="CJ53" s="83" t="n">
        <v>0.73</v>
      </c>
      <c r="CK53" s="1082" t="n">
        <v>6552</v>
      </c>
      <c r="CL53" s="1076" t="n">
        <v>4193.28</v>
      </c>
      <c r="CM53" s="1082" t="n">
        <v>6624</v>
      </c>
      <c r="CN53" s="83" t="n">
        <v>4239.36</v>
      </c>
      <c r="CO53" s="1082" t="n">
        <v>9072</v>
      </c>
      <c r="CP53" s="83" t="n">
        <v>5806.08</v>
      </c>
      <c r="CQ53" s="1082" t="n">
        <v>4824</v>
      </c>
      <c r="CR53" s="83" t="n">
        <v>3087.36</v>
      </c>
      <c r="CS53" s="1082" t="n">
        <v>7032</v>
      </c>
      <c r="CT53" s="83" t="n">
        <v>4500.48</v>
      </c>
      <c r="CU53" s="1082" t="n">
        <v>4800</v>
      </c>
      <c r="CV53" s="83" t="n">
        <v>3072</v>
      </c>
      <c r="CW53" s="1082" t="n">
        <v>6792</v>
      </c>
      <c r="CX53" s="83" t="n">
        <v>4346.88</v>
      </c>
      <c r="CY53" s="1082" t="n">
        <v>4968</v>
      </c>
      <c r="CZ53" s="83" t="n">
        <v>3179.52</v>
      </c>
      <c r="DA53" s="1082" t="n">
        <v>6984</v>
      </c>
      <c r="DB53" s="83" t="n">
        <v>4469.76</v>
      </c>
      <c r="DC53" s="1082" t="n">
        <v>3744</v>
      </c>
      <c r="DD53" s="83" t="n">
        <v>2396.16</v>
      </c>
      <c r="DE53" s="1082" t="n">
        <v>6432</v>
      </c>
      <c r="DF53" s="83" t="n">
        <v>4116.48</v>
      </c>
      <c r="DG53" s="1082" t="n">
        <v>4632</v>
      </c>
      <c r="DH53" s="83" t="n">
        <v>2964.48</v>
      </c>
      <c r="DI53" s="983">
        <f>CK53+CM53+CO53+CQ53+CS53+CU53+CW53+CY53+DA53+DC53+DE53+DG53</f>
        <v/>
      </c>
      <c r="DJ53" s="983">
        <f>CL53+CN53+CP53+CR53+CT53+CV53+CX53+CZ53+DB53+DD53+DF53+DH53</f>
        <v/>
      </c>
      <c r="DK53" s="983">
        <f>(CK53+CM53)/2</f>
        <v/>
      </c>
      <c r="DL53" s="984">
        <f>(CL53+CN53)/2</f>
        <v/>
      </c>
      <c r="DM53" s="985">
        <f>DI53/12</f>
        <v/>
      </c>
      <c r="DN53" s="1129">
        <f>DJ53/12</f>
        <v/>
      </c>
      <c r="DO53" s="69">
        <f>DN53/$DN$57%</f>
        <v/>
      </c>
      <c r="DP53" s="1082" t="n">
        <v>7032</v>
      </c>
      <c r="DQ53" s="1076" t="n">
        <v>4500.48</v>
      </c>
      <c r="DR53" s="1075" t="n">
        <v>3600</v>
      </c>
      <c r="DS53" s="1076" t="n">
        <v>2304</v>
      </c>
      <c r="DT53" s="1082" t="n"/>
      <c r="DU53" s="83" t="n"/>
      <c r="DV53" s="1082" t="n"/>
      <c r="DW53" s="83" t="n"/>
      <c r="DX53" s="1082" t="n"/>
      <c r="DY53" s="83" t="n"/>
      <c r="DZ53" s="1082" t="n"/>
      <c r="EA53" s="83" t="n"/>
      <c r="EB53" s="1082" t="n"/>
      <c r="EC53" s="83" t="n"/>
      <c r="ED53" s="1082" t="n"/>
      <c r="EE53" s="83" t="n"/>
      <c r="EF53" s="1082" t="n"/>
      <c r="EG53" s="83" t="n"/>
      <c r="EH53" s="1082" t="n"/>
      <c r="EI53" s="83" t="n"/>
      <c r="EJ53" s="1082" t="n"/>
      <c r="EK53" s="83" t="n"/>
      <c r="EL53" s="1082" t="n"/>
      <c r="EM53" s="83" t="n"/>
      <c r="EN53" s="983">
        <f>DP53+DR53+DT53+DV53+DX53+DZ53+EB53+ED53+EF53+EH53+EJ53+EL53</f>
        <v/>
      </c>
      <c r="EO53" s="983">
        <f>DQ53+DS53+DU53+DW53+DY53+EA53+EC53+EE53+EG53+EI53+EK53+EM53</f>
        <v/>
      </c>
      <c r="EP53" s="985">
        <f>EN53/2</f>
        <v/>
      </c>
      <c r="EQ53" s="1129">
        <f>EO53/2</f>
        <v/>
      </c>
      <c r="ER53" s="535">
        <f>EQ53/$EQ$57%</f>
        <v/>
      </c>
      <c r="ES53" s="1130">
        <f>ER53-DO53</f>
        <v/>
      </c>
      <c r="ET53" s="1130">
        <f>EQ53/DL53*100-100</f>
        <v/>
      </c>
      <c r="EU53" s="1130">
        <f>EQ53/DN53*100-100</f>
        <v/>
      </c>
      <c r="EV53" s="1130">
        <f>EQ53-DN53</f>
        <v/>
      </c>
      <c r="EW53" s="1000">
        <f>EQ53-DL53</f>
        <v/>
      </c>
      <c r="EX53" s="1130">
        <f>EV53/14</f>
        <v/>
      </c>
      <c r="EY53" s="1130">
        <f>EW53/14</f>
        <v/>
      </c>
      <c r="EZ53" s="1130">
        <f>EY53*2</f>
        <v/>
      </c>
    </row>
    <row r="54" customFormat="1" s="251">
      <c r="A54" s="246" t="n"/>
      <c r="B54" s="247" t="inlineStr">
        <is>
          <t>Black - Cat</t>
        </is>
      </c>
      <c r="C54" s="247" t="n"/>
      <c r="D54" s="246" t="n"/>
      <c r="E54" s="246" t="n"/>
      <c r="F54" s="1133">
        <f>SUM(F53)</f>
        <v/>
      </c>
      <c r="G54" s="1133">
        <f>SUM(G53)</f>
        <v/>
      </c>
      <c r="H54" s="1133">
        <f>SUM(H53)</f>
        <v/>
      </c>
      <c r="I54" s="1133">
        <f>SUM(I53)</f>
        <v/>
      </c>
      <c r="J54" s="1133">
        <f>SUM(J53)</f>
        <v/>
      </c>
      <c r="K54" s="1133">
        <f>SUM(K53)</f>
        <v/>
      </c>
      <c r="L54" s="1133">
        <f>SUM(L53)</f>
        <v/>
      </c>
      <c r="M54" s="1133">
        <f>SUM(M53)</f>
        <v/>
      </c>
      <c r="N54" s="1133">
        <f>SUM(N53)</f>
        <v/>
      </c>
      <c r="O54" s="1133">
        <f>SUM(O53)</f>
        <v/>
      </c>
      <c r="P54" s="1133">
        <f>SUM(P53)</f>
        <v/>
      </c>
      <c r="Q54" s="1133">
        <f>SUM(Q53)</f>
        <v/>
      </c>
      <c r="R54" s="1133">
        <f>SUM(R53)</f>
        <v/>
      </c>
      <c r="S54" s="1133">
        <f>SUM(S53)</f>
        <v/>
      </c>
      <c r="T54" s="1133">
        <f>SUM(T53)</f>
        <v/>
      </c>
      <c r="U54" s="1133">
        <f>SUM(U53)</f>
        <v/>
      </c>
      <c r="V54" s="1133">
        <f>SUM(V53)</f>
        <v/>
      </c>
      <c r="W54" s="1133">
        <f>SUM(W53)</f>
        <v/>
      </c>
      <c r="X54" s="1133">
        <f>SUM(X53)</f>
        <v/>
      </c>
      <c r="Y54" s="1133">
        <f>SUM(Y53)</f>
        <v/>
      </c>
      <c r="Z54" s="1133">
        <f>SUM(Z53)</f>
        <v/>
      </c>
      <c r="AA54" s="1133">
        <f>SUM(AA53)</f>
        <v/>
      </c>
      <c r="AB54" s="1133">
        <f>SUM(AB53)</f>
        <v/>
      </c>
      <c r="AC54" s="1133">
        <f>SUM(AC53)</f>
        <v/>
      </c>
      <c r="AD54" s="1133">
        <f>SUM(AD53)</f>
        <v/>
      </c>
      <c r="AE54" s="1133">
        <f>SUM(AE53)</f>
        <v/>
      </c>
      <c r="AF54" s="1133">
        <f>SUM(AF53)</f>
        <v/>
      </c>
      <c r="AG54" s="1133">
        <f>SUM(AG53)</f>
        <v/>
      </c>
      <c r="AH54" s="1133">
        <f>SUM(AH53)</f>
        <v/>
      </c>
      <c r="AI54" s="1133">
        <f>SUM(AI53)</f>
        <v/>
      </c>
      <c r="AJ54" s="1133">
        <f>SUM(AJ53)</f>
        <v/>
      </c>
      <c r="AK54" s="1133">
        <f>SUM(AK53)</f>
        <v/>
      </c>
      <c r="AL54" s="1133">
        <f>SUM(AL53)</f>
        <v/>
      </c>
      <c r="AM54" s="1133">
        <f>SUM(AM53)</f>
        <v/>
      </c>
      <c r="AN54" s="1133">
        <f>SUM(AN53)</f>
        <v/>
      </c>
      <c r="AO54" s="1133">
        <f>SUM(AO53)</f>
        <v/>
      </c>
      <c r="AP54" s="1133">
        <f>SUM(AP53)</f>
        <v/>
      </c>
      <c r="AQ54" s="1133">
        <f>SUM(AQ53)</f>
        <v/>
      </c>
      <c r="AR54" s="1133">
        <f>SUM(AR53)</f>
        <v/>
      </c>
      <c r="AS54" s="1133">
        <f>SUM(AS53)</f>
        <v/>
      </c>
      <c r="AT54" s="1133">
        <f>SUM(AT53)</f>
        <v/>
      </c>
      <c r="AU54" s="1133">
        <f>SUM(AU53)</f>
        <v/>
      </c>
      <c r="AV54" s="1133">
        <f>SUM(AV53)</f>
        <v/>
      </c>
      <c r="AW54" s="1133">
        <f>SUM(AW53)</f>
        <v/>
      </c>
      <c r="AX54" s="1133">
        <f>SUM(AX53)</f>
        <v/>
      </c>
      <c r="AY54" s="1133">
        <f>SUM(AY53)</f>
        <v/>
      </c>
      <c r="AZ54" s="1133">
        <f>SUM(AZ53)</f>
        <v/>
      </c>
      <c r="BA54" s="1133">
        <f>SUM(BA53)</f>
        <v/>
      </c>
      <c r="BB54" s="1133">
        <f>SUM(BB53)</f>
        <v/>
      </c>
      <c r="BC54" s="1133">
        <f>SUM(BC53)</f>
        <v/>
      </c>
      <c r="BD54" s="1133">
        <f>SUM(BD53)</f>
        <v/>
      </c>
      <c r="BE54" s="1133">
        <f>SUM(BE53)</f>
        <v/>
      </c>
      <c r="BF54" s="1133">
        <f>SUM(BF53)</f>
        <v/>
      </c>
      <c r="BG54" s="1133">
        <f>SUM(BG53)</f>
        <v/>
      </c>
      <c r="BH54" s="1133">
        <f>SUM(BH53)</f>
        <v/>
      </c>
      <c r="BI54" s="1133">
        <f>SUM(BI53)</f>
        <v/>
      </c>
      <c r="BJ54" s="1133">
        <f>SUM(BJ53)</f>
        <v/>
      </c>
      <c r="BK54" s="1133">
        <f>SUM(BK53)</f>
        <v/>
      </c>
      <c r="BL54" s="1133">
        <f>SUM(BL53)</f>
        <v/>
      </c>
      <c r="BM54" s="1133">
        <f>SUM(BM53)</f>
        <v/>
      </c>
      <c r="BN54" s="1133">
        <f>SUM(BN53)</f>
        <v/>
      </c>
      <c r="BO54" s="1133">
        <f>SUM(BO53)</f>
        <v/>
      </c>
      <c r="BP54" s="1133">
        <f>SUM(BP53)</f>
        <v/>
      </c>
      <c r="BQ54" s="1133">
        <f>SUM(BQ53)</f>
        <v/>
      </c>
      <c r="BR54" s="1133">
        <f>SUM(BR53)</f>
        <v/>
      </c>
      <c r="BS54" s="1133">
        <f>SUM(BS53)</f>
        <v/>
      </c>
      <c r="BT54" s="1133">
        <f>SUM(BT53)</f>
        <v/>
      </c>
      <c r="BU54" s="1133">
        <f>SUM(BU53)</f>
        <v/>
      </c>
      <c r="BV54" s="1133">
        <f>SUM(BV53)</f>
        <v/>
      </c>
      <c r="BW54" s="1133">
        <f>SUM(BW53)</f>
        <v/>
      </c>
      <c r="BX54" s="1133">
        <f>SUM(BX53)</f>
        <v/>
      </c>
      <c r="BY54" s="1133">
        <f>SUM(BY53)</f>
        <v/>
      </c>
      <c r="BZ54" s="1133">
        <f>SUM(BZ53)</f>
        <v/>
      </c>
      <c r="CA54" s="1133">
        <f>SUM(CA53)</f>
        <v/>
      </c>
      <c r="CB54" s="1133">
        <f>SUM(CB53)</f>
        <v/>
      </c>
      <c r="CC54" s="1133">
        <f>SUM(CC53)</f>
        <v/>
      </c>
      <c r="CD54" s="1133">
        <f>SUM(CD53)</f>
        <v/>
      </c>
      <c r="CE54" s="1133">
        <f>(BG54+BI54+BK54+BM54+BO54+BQ54+BS54+BU54+BW54+BY54+CA54)/11</f>
        <v/>
      </c>
      <c r="CF54" s="1132">
        <f>(BH54+BJ54+BL54+BN54+BP54+BR54+BT54+BV54+BX54+BZ54+CB54)/11</f>
        <v/>
      </c>
      <c r="CG54" s="1133">
        <f>SUM(CG53)</f>
        <v/>
      </c>
      <c r="CH54" s="1133">
        <f>SUM(CH53)</f>
        <v/>
      </c>
      <c r="CI54" s="1133">
        <f>SUM(CI53)</f>
        <v/>
      </c>
      <c r="CJ54" s="1133">
        <f>SUM(CJ53)</f>
        <v/>
      </c>
      <c r="CK54" s="1133">
        <f>SUM(CK53)</f>
        <v/>
      </c>
      <c r="CL54" s="1133">
        <f>SUM(CL53)</f>
        <v/>
      </c>
      <c r="CM54" s="1133">
        <f>SUM(CM53)</f>
        <v/>
      </c>
      <c r="CN54" s="1133">
        <f>SUM(CN53)</f>
        <v/>
      </c>
      <c r="CO54" s="1133">
        <f>SUM(CO53)</f>
        <v/>
      </c>
      <c r="CP54" s="1133">
        <f>SUM(CP53)</f>
        <v/>
      </c>
      <c r="CQ54" s="1133">
        <f>SUM(CQ53)</f>
        <v/>
      </c>
      <c r="CR54" s="1133">
        <f>SUM(CR53)</f>
        <v/>
      </c>
      <c r="CS54" s="1133">
        <f>SUM(CS53)</f>
        <v/>
      </c>
      <c r="CT54" s="1133">
        <f>SUM(CT53)</f>
        <v/>
      </c>
      <c r="CU54" s="1133">
        <f>SUM(CU53)</f>
        <v/>
      </c>
      <c r="CV54" s="1133">
        <f>SUM(CV53)</f>
        <v/>
      </c>
      <c r="CW54" s="1133">
        <f>SUM(CW53)</f>
        <v/>
      </c>
      <c r="CX54" s="1133">
        <f>SUM(CX53)</f>
        <v/>
      </c>
      <c r="CY54" s="1133">
        <f>SUM(CY53)</f>
        <v/>
      </c>
      <c r="CZ54" s="1133">
        <f>SUM(CZ53)</f>
        <v/>
      </c>
      <c r="DA54" s="1133">
        <f>SUM(DA53)</f>
        <v/>
      </c>
      <c r="DB54" s="1133">
        <f>SUM(DB53)</f>
        <v/>
      </c>
      <c r="DC54" s="1133">
        <f>SUM(DC53)</f>
        <v/>
      </c>
      <c r="DD54" s="1133">
        <f>SUM(DD53)</f>
        <v/>
      </c>
      <c r="DE54" s="1133">
        <f>SUM(DE53)</f>
        <v/>
      </c>
      <c r="DF54" s="1133">
        <f>SUM(DF53)</f>
        <v/>
      </c>
      <c r="DG54" s="1133">
        <f>SUM(DG53)</f>
        <v/>
      </c>
      <c r="DH54" s="1133">
        <f>SUM(DH53)</f>
        <v/>
      </c>
      <c r="DI54" s="1133">
        <f>SUM(DI53)</f>
        <v/>
      </c>
      <c r="DJ54" s="1133">
        <f>SUM(DJ53)</f>
        <v/>
      </c>
      <c r="DK54" s="1134">
        <f>(CK54+CM54)/2</f>
        <v/>
      </c>
      <c r="DL54" s="1135">
        <f>(CL54+CN54)/2</f>
        <v/>
      </c>
      <c r="DM54" s="1136">
        <f>DI54/12</f>
        <v/>
      </c>
      <c r="DN54" s="1137">
        <f>DJ54/12</f>
        <v/>
      </c>
      <c r="DO54" s="1133">
        <f>SUM(DO53)</f>
        <v/>
      </c>
      <c r="DP54" s="1133">
        <f>SUM(DP53)</f>
        <v/>
      </c>
      <c r="DQ54" s="1133">
        <f>SUM(DQ53)</f>
        <v/>
      </c>
      <c r="DR54" s="1133">
        <f>SUM(DR53)</f>
        <v/>
      </c>
      <c r="DS54" s="1132">
        <f>SUM(DS53)</f>
        <v/>
      </c>
      <c r="DT54" s="1133">
        <f>SUM(DT53)</f>
        <v/>
      </c>
      <c r="DU54" s="1133">
        <f>SUM(DU53)</f>
        <v/>
      </c>
      <c r="DV54" s="1133">
        <f>SUM(DV53)</f>
        <v/>
      </c>
      <c r="DW54" s="1133">
        <f>SUM(DW53)</f>
        <v/>
      </c>
      <c r="DX54" s="1133">
        <f>SUM(DX53)</f>
        <v/>
      </c>
      <c r="DY54" s="1133">
        <f>SUM(DY53)</f>
        <v/>
      </c>
      <c r="DZ54" s="1133">
        <f>SUM(DZ53)</f>
        <v/>
      </c>
      <c r="EA54" s="1133">
        <f>SUM(EA53)</f>
        <v/>
      </c>
      <c r="EB54" s="1133">
        <f>SUM(EB53)</f>
        <v/>
      </c>
      <c r="EC54" s="1133">
        <f>SUM(EC53)</f>
        <v/>
      </c>
      <c r="ED54" s="1133">
        <f>SUM(ED53)</f>
        <v/>
      </c>
      <c r="EE54" s="1133">
        <f>SUM(EE53)</f>
        <v/>
      </c>
      <c r="EF54" s="1133">
        <f>SUM(EF53)</f>
        <v/>
      </c>
      <c r="EG54" s="1133">
        <f>SUM(EG53)</f>
        <v/>
      </c>
      <c r="EH54" s="1133">
        <f>SUM(EH53)</f>
        <v/>
      </c>
      <c r="EI54" s="1133">
        <f>SUM(EI53)</f>
        <v/>
      </c>
      <c r="EJ54" s="1133">
        <f>SUM(EJ53)</f>
        <v/>
      </c>
      <c r="EK54" s="1133">
        <f>SUM(EK53)</f>
        <v/>
      </c>
      <c r="EL54" s="1133">
        <f>SUM(EL53)</f>
        <v/>
      </c>
      <c r="EM54" s="1133">
        <f>SUM(EM53)</f>
        <v/>
      </c>
      <c r="EN54" s="1133">
        <f>SUM(EN53)</f>
        <v/>
      </c>
      <c r="EO54" s="1133">
        <f>SUM(EO53)</f>
        <v/>
      </c>
      <c r="EP54" s="1136">
        <f>EN54/2</f>
        <v/>
      </c>
      <c r="EQ54" s="1137">
        <f>EO54/2</f>
        <v/>
      </c>
      <c r="ER54" s="536">
        <f>EQ54/$EQ$57%</f>
        <v/>
      </c>
      <c r="ES54" s="1138">
        <f>ER54-DO54</f>
        <v/>
      </c>
      <c r="ET54" s="1138">
        <f>EQ54/DL54*100-100</f>
        <v/>
      </c>
      <c r="EU54" s="1138">
        <f>EQ54/DN54*100-100</f>
        <v/>
      </c>
      <c r="EV54" s="1138">
        <f>EQ54-DN54</f>
        <v/>
      </c>
      <c r="EW54" s="1139">
        <f>EQ54-DL54</f>
        <v/>
      </c>
      <c r="EX54" s="1138">
        <f>EV54/14</f>
        <v/>
      </c>
      <c r="EY54" s="1138">
        <f>EW54/14</f>
        <v/>
      </c>
      <c r="EZ54" s="1138">
        <f>EY54*2</f>
        <v/>
      </c>
    </row>
    <row r="55">
      <c r="A55" s="7" t="n">
        <v>34</v>
      </c>
      <c r="B55" s="8" t="inlineStr">
        <is>
          <t>ကင်းမြီးကောက်</t>
        </is>
      </c>
      <c r="C55" s="8" t="inlineStr">
        <is>
          <t>ပုလင်း</t>
        </is>
      </c>
      <c r="D55" s="7" t="n">
        <v>0.64</v>
      </c>
      <c r="E55" s="7" t="inlineStr">
        <is>
          <t>1 * 14</t>
        </is>
      </c>
      <c r="F55" s="7" t="n">
        <v>1230</v>
      </c>
      <c r="G55" s="975" t="n">
        <v>6050</v>
      </c>
      <c r="H55" s="976" t="n">
        <v>3872</v>
      </c>
      <c r="I55" s="975" t="n">
        <v>4746</v>
      </c>
      <c r="J55" s="976" t="n">
        <v>3037.44</v>
      </c>
      <c r="K55" s="975" t="n">
        <v>5572</v>
      </c>
      <c r="L55" s="976" t="n">
        <v>3566.08</v>
      </c>
      <c r="M55" s="975" t="n">
        <v>5418</v>
      </c>
      <c r="N55" s="976" t="n">
        <v>3467.52</v>
      </c>
      <c r="O55" s="975" t="n">
        <v>4564</v>
      </c>
      <c r="P55" s="976" t="n">
        <v>2920.96</v>
      </c>
      <c r="Q55" s="975" t="n">
        <v>5320</v>
      </c>
      <c r="R55" s="976" t="n">
        <v>3404.8</v>
      </c>
      <c r="S55" s="975" t="n">
        <v>5754</v>
      </c>
      <c r="T55" s="976" t="n">
        <v>3682.56</v>
      </c>
      <c r="U55" s="975" t="n">
        <v>6328</v>
      </c>
      <c r="V55" s="976" t="n">
        <v>4049.92</v>
      </c>
      <c r="W55" s="975" t="n">
        <v>3976</v>
      </c>
      <c r="X55" s="976" t="n">
        <v>2544.64</v>
      </c>
      <c r="Y55" s="975" t="n">
        <v>5222</v>
      </c>
      <c r="Z55" s="976" t="n">
        <v>3342.08</v>
      </c>
      <c r="AA55" s="975" t="n">
        <v>5026</v>
      </c>
      <c r="AB55" s="976" t="n">
        <v>3216.64</v>
      </c>
      <c r="AC55" s="975" t="n">
        <v>5992</v>
      </c>
      <c r="AD55" s="976" t="n">
        <v>3834.88</v>
      </c>
      <c r="AE55" s="977" t="n">
        <v>5330.666666666667</v>
      </c>
      <c r="AF55" s="978" t="n">
        <v>3411.626666666667</v>
      </c>
      <c r="AG55" s="975" t="n">
        <v>5348</v>
      </c>
      <c r="AH55" s="976" t="n">
        <v>3422.72</v>
      </c>
      <c r="AI55" s="975" t="n">
        <v>4774</v>
      </c>
      <c r="AJ55" s="976" t="n">
        <v>3055.36</v>
      </c>
      <c r="AK55" s="975" t="n">
        <v>4704</v>
      </c>
      <c r="AL55" s="976" t="n">
        <v>3010.56</v>
      </c>
      <c r="AM55" s="975" t="n">
        <v>3710</v>
      </c>
      <c r="AN55" s="976" t="n">
        <v>2374.4</v>
      </c>
      <c r="AO55" s="975" t="n">
        <v>3836</v>
      </c>
      <c r="AP55" s="976" t="n">
        <v>2455.04</v>
      </c>
      <c r="AQ55" s="975" t="n">
        <v>3766</v>
      </c>
      <c r="AR55" s="976" t="n">
        <v>2410.24</v>
      </c>
      <c r="AS55" s="975" t="n">
        <v>3766</v>
      </c>
      <c r="AT55" s="976" t="n">
        <v>2410.24</v>
      </c>
      <c r="AU55" s="975" t="n">
        <v>4438</v>
      </c>
      <c r="AV55" s="976" t="n">
        <v>2840.32</v>
      </c>
      <c r="AW55" s="975" t="n">
        <v>4200</v>
      </c>
      <c r="AX55" s="976" t="n">
        <v>2688</v>
      </c>
      <c r="AY55" s="975" t="n">
        <v>4291</v>
      </c>
      <c r="AZ55" s="976" t="n">
        <v>2746.24</v>
      </c>
      <c r="BA55" s="975" t="n">
        <v>2030</v>
      </c>
      <c r="BB55" s="976" t="n">
        <v>1299.2</v>
      </c>
      <c r="BC55" s="975" t="n">
        <v>5082</v>
      </c>
      <c r="BD55" s="976" t="n">
        <v>3252.48</v>
      </c>
      <c r="BE55" s="977" t="n">
        <v>4162.083333333333</v>
      </c>
      <c r="BF55" s="978" t="n">
        <v>2663.733333333333</v>
      </c>
      <c r="BG55" s="975" t="n">
        <v>5096</v>
      </c>
      <c r="BH55" s="976" t="n">
        <v>3261.44</v>
      </c>
      <c r="BI55" s="975" t="n">
        <v>3948</v>
      </c>
      <c r="BJ55" s="976" t="n">
        <v>2526.72</v>
      </c>
      <c r="BK55" s="975" t="n">
        <v>4368</v>
      </c>
      <c r="BL55" s="976" t="n">
        <v>2795.52</v>
      </c>
      <c r="BM55" s="975" t="n">
        <v>3262</v>
      </c>
      <c r="BN55" s="976" t="n">
        <v>2087.68</v>
      </c>
      <c r="BO55" s="975" t="n">
        <v>5068</v>
      </c>
      <c r="BP55" s="976" t="n">
        <v>3243.52</v>
      </c>
      <c r="BQ55" s="975" t="n">
        <v>3430</v>
      </c>
      <c r="BR55" s="976" t="n">
        <v>2195.2</v>
      </c>
      <c r="BS55" s="975" t="n">
        <v>4102</v>
      </c>
      <c r="BT55" s="976" t="n">
        <v>2625.28</v>
      </c>
      <c r="BU55" s="975" t="n">
        <v>2912</v>
      </c>
      <c r="BV55" s="976" t="n">
        <v>1863.68</v>
      </c>
      <c r="BW55" s="975" t="n">
        <v>3024</v>
      </c>
      <c r="BX55" s="976" t="n">
        <v>1935.36</v>
      </c>
      <c r="BY55" s="975" t="n">
        <v>3850</v>
      </c>
      <c r="BZ55" s="976" t="n">
        <v>2464</v>
      </c>
      <c r="CA55" s="975" t="n">
        <v>3150</v>
      </c>
      <c r="CB55" s="976" t="n">
        <v>2016</v>
      </c>
      <c r="CC55" s="975" t="n">
        <v>5110</v>
      </c>
      <c r="CD55" s="976" t="n">
        <v>3270.4</v>
      </c>
      <c r="CE55" s="979">
        <f>(BG55+BI55+BK55+BM55+BO55+BQ55+BS55+BU55+BW55+BY55+CA55)/11</f>
        <v/>
      </c>
      <c r="CF55" s="976">
        <f>(BH55+BJ55+BL55+BN55+BP55+BR55+BT55+BV55+BX55+BZ55+CB55)/11</f>
        <v/>
      </c>
      <c r="CG55" s="977" t="n">
        <v>3943.333333333333</v>
      </c>
      <c r="CH55" s="978" t="n">
        <v>2523.733333333334</v>
      </c>
      <c r="CI55" s="15" t="n">
        <v>0.4477041761541848</v>
      </c>
      <c r="CJ55" s="15" t="n">
        <v>0.45</v>
      </c>
      <c r="CK55" s="982" t="n">
        <v>4690</v>
      </c>
      <c r="CL55" s="976" t="n">
        <v>3001.6</v>
      </c>
      <c r="CM55" s="982" t="n">
        <v>5292</v>
      </c>
      <c r="CN55" s="15" t="n">
        <v>3386.88</v>
      </c>
      <c r="CO55" s="982" t="n">
        <v>2982</v>
      </c>
      <c r="CP55" s="15" t="n">
        <v>1908.48</v>
      </c>
      <c r="CQ55" s="982" t="n">
        <v>4060</v>
      </c>
      <c r="CR55" s="15" t="n">
        <v>2598.4</v>
      </c>
      <c r="CS55" s="982" t="n">
        <v>2884</v>
      </c>
      <c r="CT55" s="15" t="n">
        <v>1845.76</v>
      </c>
      <c r="CU55" s="982" t="n">
        <v>3486</v>
      </c>
      <c r="CV55" s="15" t="n">
        <v>2231.04</v>
      </c>
      <c r="CW55" s="982" t="n">
        <v>3444</v>
      </c>
      <c r="CX55" s="15" t="n">
        <v>2204.16</v>
      </c>
      <c r="CY55" s="982" t="n">
        <v>3668</v>
      </c>
      <c r="CZ55" s="15" t="n">
        <v>2347.52</v>
      </c>
      <c r="DA55" s="982" t="n">
        <v>3710</v>
      </c>
      <c r="DB55" s="15" t="n">
        <v>2374.4</v>
      </c>
      <c r="DC55" s="982" t="n">
        <v>2940</v>
      </c>
      <c r="DD55" s="15" t="n">
        <v>1881.6</v>
      </c>
      <c r="DE55" s="982" t="n">
        <v>4466</v>
      </c>
      <c r="DF55" s="15" t="n">
        <v>2858.24</v>
      </c>
      <c r="DG55" s="982" t="n">
        <v>3514</v>
      </c>
      <c r="DH55" s="15" t="n">
        <v>2248.96</v>
      </c>
      <c r="DI55" s="983">
        <f>CK55+CM55+CO55+CQ55+CS55+CU55+CW55+CY55+DA55+DC55+DE55+DG55</f>
        <v/>
      </c>
      <c r="DJ55" s="983">
        <f>CL55+CN55+CP55+CR55+CT55+CV55+CX55+CZ55+DB55+DD55+DF55+DH55</f>
        <v/>
      </c>
      <c r="DK55" s="983">
        <f>(CK55+CM55)/2</f>
        <v/>
      </c>
      <c r="DL55" s="984">
        <f>(CL55+CN55)/2</f>
        <v/>
      </c>
      <c r="DM55" s="985">
        <f>DI55/12</f>
        <v/>
      </c>
      <c r="DN55" s="1129">
        <f>DJ55/12</f>
        <v/>
      </c>
      <c r="DO55" s="69">
        <f>DN55/$DN$57%</f>
        <v/>
      </c>
      <c r="DP55" s="982" t="n">
        <v>3626</v>
      </c>
      <c r="DQ55" s="976" t="n">
        <v>2320.64</v>
      </c>
      <c r="DR55" s="975" t="n">
        <v>7392</v>
      </c>
      <c r="DS55" s="976" t="n">
        <v>4730.88</v>
      </c>
      <c r="DT55" s="982" t="n"/>
      <c r="DU55" s="15" t="n"/>
      <c r="DV55" s="982" t="n"/>
      <c r="DW55" s="15" t="n"/>
      <c r="DX55" s="982" t="n"/>
      <c r="DY55" s="15" t="n"/>
      <c r="DZ55" s="982" t="n"/>
      <c r="EA55" s="15" t="n"/>
      <c r="EB55" s="982" t="n"/>
      <c r="EC55" s="15" t="n"/>
      <c r="ED55" s="982" t="n"/>
      <c r="EE55" s="15" t="n"/>
      <c r="EF55" s="982" t="n"/>
      <c r="EG55" s="15" t="n"/>
      <c r="EH55" s="982" t="n"/>
      <c r="EI55" s="15" t="n"/>
      <c r="EJ55" s="982" t="n"/>
      <c r="EK55" s="15" t="n"/>
      <c r="EL55" s="982" t="n"/>
      <c r="EM55" s="15" t="n"/>
      <c r="EN55" s="983">
        <f>DP55+DR55+DT55+DV55+DX55+DZ55+EB55+ED55+EF55+EH55+EJ55+EL55</f>
        <v/>
      </c>
      <c r="EO55" s="983">
        <f>DQ55+DS55+DU55+DW55+DY55+EA55+EC55+EE55+EG55+EI55+EK55+EM55</f>
        <v/>
      </c>
      <c r="EP55" s="985">
        <f>EN55/2</f>
        <v/>
      </c>
      <c r="EQ55" s="1129">
        <f>EO55/2</f>
        <v/>
      </c>
      <c r="ER55" s="535">
        <f>EQ55/$EQ$57%</f>
        <v/>
      </c>
      <c r="ES55" s="1130">
        <f>ER55-DO55</f>
        <v/>
      </c>
      <c r="ET55" s="1130">
        <f>EQ55/DL55*100-100</f>
        <v/>
      </c>
      <c r="EU55" s="1130">
        <f>EQ55/DN55*100-100</f>
        <v/>
      </c>
      <c r="EV55" s="1130">
        <f>EQ55-DN55</f>
        <v/>
      </c>
      <c r="EW55" s="1000">
        <f>EQ55-DL55</f>
        <v/>
      </c>
      <c r="EX55" s="1130">
        <f>EV55/14</f>
        <v/>
      </c>
      <c r="EY55" s="1130">
        <f>EW55/14</f>
        <v/>
      </c>
      <c r="EZ55" s="1130">
        <f>EY55*2</f>
        <v/>
      </c>
    </row>
    <row r="56" ht="20.4" customFormat="1" customHeight="1" s="251" thickBot="1">
      <c r="A56" s="252" t="n"/>
      <c r="B56" s="253" t="inlineStr">
        <is>
          <t>Scropian</t>
        </is>
      </c>
      <c r="C56" s="253" t="n"/>
      <c r="D56" s="252" t="n"/>
      <c r="E56" s="252" t="n"/>
      <c r="F56" s="252" t="n"/>
      <c r="G56" s="1141" t="n"/>
      <c r="H56" s="1142" t="n"/>
      <c r="I56" s="1141" t="n"/>
      <c r="J56" s="1142" t="n"/>
      <c r="K56" s="1141" t="n"/>
      <c r="L56" s="1142" t="n"/>
      <c r="M56" s="1141" t="n"/>
      <c r="N56" s="1142" t="n"/>
      <c r="O56" s="1141" t="n"/>
      <c r="P56" s="1142" t="n"/>
      <c r="Q56" s="1141" t="n"/>
      <c r="R56" s="1142" t="n"/>
      <c r="S56" s="1141" t="n"/>
      <c r="T56" s="1142" t="n"/>
      <c r="U56" s="1141" t="n"/>
      <c r="V56" s="1142" t="n"/>
      <c r="W56" s="1141" t="n"/>
      <c r="X56" s="1142" t="n"/>
      <c r="Y56" s="1141" t="n"/>
      <c r="Z56" s="1142" t="n"/>
      <c r="AA56" s="1141" t="n"/>
      <c r="AB56" s="1142" t="n"/>
      <c r="AC56" s="1141" t="n"/>
      <c r="AD56" s="1142" t="n"/>
      <c r="AE56" s="1141" t="n"/>
      <c r="AF56" s="1142" t="n"/>
      <c r="AG56" s="1141" t="n"/>
      <c r="AH56" s="1142" t="n"/>
      <c r="AI56" s="1141" t="n"/>
      <c r="AJ56" s="1142" t="n"/>
      <c r="AK56" s="1141" t="n"/>
      <c r="AL56" s="1142" t="n"/>
      <c r="AM56" s="1141" t="n"/>
      <c r="AN56" s="1142" t="n"/>
      <c r="AO56" s="1141" t="n"/>
      <c r="AP56" s="1142" t="n"/>
      <c r="AQ56" s="1141" t="n"/>
      <c r="AR56" s="1142" t="n"/>
      <c r="AS56" s="1141" t="n"/>
      <c r="AT56" s="1142" t="n"/>
      <c r="AU56" s="1141" t="n"/>
      <c r="AV56" s="1142" t="n"/>
      <c r="AW56" s="1141" t="n"/>
      <c r="AX56" s="1142" t="n"/>
      <c r="AY56" s="1141" t="n"/>
      <c r="AZ56" s="1142" t="n"/>
      <c r="BA56" s="1141" t="n"/>
      <c r="BB56" s="1142" t="n"/>
      <c r="BC56" s="1141" t="n"/>
      <c r="BD56" s="1142" t="n"/>
      <c r="BE56" s="1141" t="n"/>
      <c r="BF56" s="1142" t="n"/>
      <c r="BG56" s="1141" t="n"/>
      <c r="BH56" s="1142" t="n"/>
      <c r="BI56" s="1141" t="n"/>
      <c r="BJ56" s="1142" t="n"/>
      <c r="BK56" s="1141" t="n"/>
      <c r="BL56" s="1142" t="n"/>
      <c r="BM56" s="1141" t="n"/>
      <c r="BN56" s="1142" t="n"/>
      <c r="BO56" s="1141" t="n"/>
      <c r="BP56" s="1142" t="n"/>
      <c r="BQ56" s="1141" t="n"/>
      <c r="BR56" s="1142" t="n"/>
      <c r="BS56" s="1141" t="n"/>
      <c r="BT56" s="1142" t="n"/>
      <c r="BU56" s="1141" t="n"/>
      <c r="BV56" s="1142" t="n"/>
      <c r="BW56" s="1141" t="n"/>
      <c r="BX56" s="1142" t="n"/>
      <c r="BY56" s="1141" t="n"/>
      <c r="BZ56" s="1142" t="n"/>
      <c r="CA56" s="1141" t="n"/>
      <c r="CB56" s="1142" t="n"/>
      <c r="CC56" s="1141" t="n"/>
      <c r="CD56" s="1142" t="n"/>
      <c r="CE56" s="1143">
        <f>(BG56+BI56+BK56+BM56+BO56+BQ56+BS56+BU56+BW56+BY56+CA56)/11</f>
        <v/>
      </c>
      <c r="CF56" s="1142">
        <f>(BH56+BJ56+BL56+BN56+BP56+BR56+BT56+BV56+BX56+BZ56+CB56)/11</f>
        <v/>
      </c>
      <c r="CG56" s="1143">
        <f>SUM(CG55)</f>
        <v/>
      </c>
      <c r="CH56" s="1143">
        <f>SUM(CH55)</f>
        <v/>
      </c>
      <c r="CI56" s="1143">
        <f>SUM(CI55)</f>
        <v/>
      </c>
      <c r="CJ56" s="1143">
        <f>SUM(CJ55)</f>
        <v/>
      </c>
      <c r="CK56" s="1143">
        <f>SUM(CK55)</f>
        <v/>
      </c>
      <c r="CL56" s="1143">
        <f>SUM(CL55)</f>
        <v/>
      </c>
      <c r="CM56" s="1143">
        <f>SUM(CM55)</f>
        <v/>
      </c>
      <c r="CN56" s="1143">
        <f>SUM(CN55)</f>
        <v/>
      </c>
      <c r="CO56" s="1143">
        <f>SUM(CO55)</f>
        <v/>
      </c>
      <c r="CP56" s="1143">
        <f>SUM(CP55)</f>
        <v/>
      </c>
      <c r="CQ56" s="1143">
        <f>SUM(CQ55)</f>
        <v/>
      </c>
      <c r="CR56" s="1143">
        <f>SUM(CR55)</f>
        <v/>
      </c>
      <c r="CS56" s="1143">
        <f>SUM(CS55)</f>
        <v/>
      </c>
      <c r="CT56" s="1143">
        <f>SUM(CT55)</f>
        <v/>
      </c>
      <c r="CU56" s="1143">
        <f>SUM(CU55)</f>
        <v/>
      </c>
      <c r="CV56" s="1143">
        <f>SUM(CV55)</f>
        <v/>
      </c>
      <c r="CW56" s="1143">
        <f>SUM(CW55)</f>
        <v/>
      </c>
      <c r="CX56" s="1143">
        <f>SUM(CX55)</f>
        <v/>
      </c>
      <c r="CY56" s="1143">
        <f>SUM(CY55)</f>
        <v/>
      </c>
      <c r="CZ56" s="1143">
        <f>SUM(CZ55)</f>
        <v/>
      </c>
      <c r="DA56" s="1143">
        <f>SUM(DA55)</f>
        <v/>
      </c>
      <c r="DB56" s="1143">
        <f>SUM(DB55)</f>
        <v/>
      </c>
      <c r="DC56" s="1143">
        <f>SUM(DC55)</f>
        <v/>
      </c>
      <c r="DD56" s="1143">
        <f>SUM(DD55)</f>
        <v/>
      </c>
      <c r="DE56" s="1143">
        <f>SUM(DE55)</f>
        <v/>
      </c>
      <c r="DF56" s="1143">
        <f>SUM(DF55)</f>
        <v/>
      </c>
      <c r="DG56" s="1143">
        <f>SUM(DG55)</f>
        <v/>
      </c>
      <c r="DH56" s="1143">
        <f>SUM(DH55)</f>
        <v/>
      </c>
      <c r="DI56" s="1143">
        <f>SUM(DI55)</f>
        <v/>
      </c>
      <c r="DJ56" s="1143">
        <f>SUM(DJ55)</f>
        <v/>
      </c>
      <c r="DK56" s="1144">
        <f>(CK56+CM56)/2</f>
        <v/>
      </c>
      <c r="DL56" s="1145">
        <f>(CL56+CN56)/2</f>
        <v/>
      </c>
      <c r="DM56" s="1146">
        <f>DI56/12</f>
        <v/>
      </c>
      <c r="DN56" s="1147">
        <f>DJ56/12</f>
        <v/>
      </c>
      <c r="DO56" s="1143">
        <f>SUM(DO55)</f>
        <v/>
      </c>
      <c r="DP56" s="1143">
        <f>SUM(DP55)</f>
        <v/>
      </c>
      <c r="DQ56" s="1143">
        <f>SUM(DQ55)</f>
        <v/>
      </c>
      <c r="DR56" s="1143">
        <f>SUM(DR55)</f>
        <v/>
      </c>
      <c r="DS56" s="1142">
        <f>SUM(DS55)</f>
        <v/>
      </c>
      <c r="DT56" s="1143">
        <f>SUM(DT55)</f>
        <v/>
      </c>
      <c r="DU56" s="1143">
        <f>SUM(DU55)</f>
        <v/>
      </c>
      <c r="DV56" s="1143">
        <f>SUM(DV55)</f>
        <v/>
      </c>
      <c r="DW56" s="1143">
        <f>SUM(DW55)</f>
        <v/>
      </c>
      <c r="DX56" s="1143">
        <f>SUM(DX55)</f>
        <v/>
      </c>
      <c r="DY56" s="1143">
        <f>SUM(DY55)</f>
        <v/>
      </c>
      <c r="DZ56" s="1143">
        <f>SUM(DZ55)</f>
        <v/>
      </c>
      <c r="EA56" s="1143">
        <f>SUM(EA55)</f>
        <v/>
      </c>
      <c r="EB56" s="1143">
        <f>SUM(EB55)</f>
        <v/>
      </c>
      <c r="EC56" s="1143">
        <f>SUM(EC55)</f>
        <v/>
      </c>
      <c r="ED56" s="1143">
        <f>SUM(ED55)</f>
        <v/>
      </c>
      <c r="EE56" s="1143">
        <f>SUM(EE55)</f>
        <v/>
      </c>
      <c r="EF56" s="1143">
        <f>SUM(EF55)</f>
        <v/>
      </c>
      <c r="EG56" s="1143">
        <f>SUM(EG55)</f>
        <v/>
      </c>
      <c r="EH56" s="1143">
        <f>SUM(EH55)</f>
        <v/>
      </c>
      <c r="EI56" s="1143">
        <f>SUM(EI55)</f>
        <v/>
      </c>
      <c r="EJ56" s="1143">
        <f>SUM(EJ55)</f>
        <v/>
      </c>
      <c r="EK56" s="1143">
        <f>SUM(EK55)</f>
        <v/>
      </c>
      <c r="EL56" s="1143">
        <f>SUM(EL55)</f>
        <v/>
      </c>
      <c r="EM56" s="1143">
        <f>SUM(EM55)</f>
        <v/>
      </c>
      <c r="EN56" s="1143">
        <f>SUM(EN55)</f>
        <v/>
      </c>
      <c r="EO56" s="1143">
        <f>SUM(EO55)</f>
        <v/>
      </c>
      <c r="EP56" s="1146">
        <f>EN56/2</f>
        <v/>
      </c>
      <c r="EQ56" s="1147">
        <f>EO56/2</f>
        <v/>
      </c>
      <c r="ER56" s="539">
        <f>EQ56/$EQ$57%</f>
        <v/>
      </c>
      <c r="ES56" s="1148">
        <f>ER56-DO56</f>
        <v/>
      </c>
      <c r="ET56" s="1148">
        <f>EQ56/DL56*100-100</f>
        <v/>
      </c>
      <c r="EU56" s="1148">
        <f>EQ56/DN56*100-100</f>
        <v/>
      </c>
      <c r="EV56" s="1148">
        <f>EQ56-DN56</f>
        <v/>
      </c>
      <c r="EW56" s="1149">
        <f>EQ56-DL56</f>
        <v/>
      </c>
      <c r="EX56" s="1148">
        <f>EV56/14</f>
        <v/>
      </c>
      <c r="EY56" s="1148">
        <f>EW56/14</f>
        <v/>
      </c>
      <c r="EZ56" s="1148">
        <f>EY56*2</f>
        <v/>
      </c>
    </row>
    <row r="57" ht="22.2" customFormat="1" customHeight="1" s="543" thickBot="1">
      <c r="A57" s="1150" t="n"/>
      <c r="B57" s="525" t="inlineStr">
        <is>
          <t>BE စုစုပေါင်း</t>
        </is>
      </c>
      <c r="C57" s="526" t="n"/>
      <c r="D57" s="527" t="n"/>
      <c r="E57" s="528" t="n"/>
      <c r="F57" s="528" t="n"/>
      <c r="G57" s="1151" t="n">
        <v>654091</v>
      </c>
      <c r="H57" s="1152" t="n">
        <v>425017.06</v>
      </c>
      <c r="I57" s="1151" t="n">
        <v>628544</v>
      </c>
      <c r="J57" s="1152" t="n">
        <v>407037.6800000001</v>
      </c>
      <c r="K57" s="1151" t="n">
        <v>715306</v>
      </c>
      <c r="L57" s="1152" t="n">
        <v>466108.84</v>
      </c>
      <c r="M57" s="1151" t="n">
        <v>532583</v>
      </c>
      <c r="N57" s="1152" t="n">
        <v>346599.38</v>
      </c>
      <c r="O57" s="1151" t="n">
        <v>559169</v>
      </c>
      <c r="P57" s="1152" t="n">
        <v>361819.5800000001</v>
      </c>
      <c r="Q57" s="1151" t="n">
        <v>646860</v>
      </c>
      <c r="R57" s="1152" t="n">
        <v>417841.6799999999</v>
      </c>
      <c r="S57" s="1151" t="n">
        <v>641078</v>
      </c>
      <c r="T57" s="1152" t="n">
        <v>415252.0400000001</v>
      </c>
      <c r="U57" s="1151" t="n">
        <v>715219</v>
      </c>
      <c r="V57" s="1152" t="n">
        <v>464703.5800000001</v>
      </c>
      <c r="W57" s="1151" t="n">
        <v>631014</v>
      </c>
      <c r="X57" s="1152" t="n">
        <v>407854.0800000001</v>
      </c>
      <c r="Y57" s="1151" t="n">
        <v>596554</v>
      </c>
      <c r="Z57" s="1152" t="n">
        <v>385517.91</v>
      </c>
      <c r="AA57" s="1151" t="n">
        <v>664614</v>
      </c>
      <c r="AB57" s="1152" t="n">
        <v>431000.24</v>
      </c>
      <c r="AC57" s="1151" t="n">
        <v>722091</v>
      </c>
      <c r="AD57" s="1152" t="n">
        <v>466735.39</v>
      </c>
      <c r="AE57" s="1151" t="n">
        <v>642260.25</v>
      </c>
      <c r="AF57" s="1152" t="n">
        <v>416290.6216666666</v>
      </c>
      <c r="AG57" s="1151" t="n">
        <v>696158</v>
      </c>
      <c r="AH57" s="1152" t="n">
        <v>450975.41</v>
      </c>
      <c r="AI57" s="1151" t="n">
        <v>582989</v>
      </c>
      <c r="AJ57" s="1152" t="n">
        <v>376228.6</v>
      </c>
      <c r="AK57" s="1151" t="n">
        <v>561925</v>
      </c>
      <c r="AL57" s="1152" t="n">
        <v>364919.43</v>
      </c>
      <c r="AM57" s="1151" t="n">
        <v>564875</v>
      </c>
      <c r="AN57" s="1152" t="n">
        <v>366415.5700000001</v>
      </c>
      <c r="AO57" s="1151" t="n">
        <v>476057</v>
      </c>
      <c r="AP57" s="1152" t="n">
        <v>309869.97</v>
      </c>
      <c r="AQ57" s="1151" t="n">
        <v>600345</v>
      </c>
      <c r="AR57" s="1152" t="n">
        <v>389566.54</v>
      </c>
      <c r="AS57" s="1151" t="n">
        <v>654612</v>
      </c>
      <c r="AT57" s="1152" t="n">
        <v>424884.15</v>
      </c>
      <c r="AU57" s="1151" t="n">
        <v>627336</v>
      </c>
      <c r="AV57" s="1152" t="n">
        <v>405648.1200000001</v>
      </c>
      <c r="AW57" s="1151" t="n">
        <v>614399</v>
      </c>
      <c r="AX57" s="1152" t="n">
        <v>398322.05</v>
      </c>
      <c r="AY57" s="1151" t="n">
        <v>662882</v>
      </c>
      <c r="AZ57" s="1152" t="n">
        <v>428693.14</v>
      </c>
      <c r="BA57" s="1151" t="n">
        <v>678253</v>
      </c>
      <c r="BB57" s="1152" t="n">
        <v>440888.1400000001</v>
      </c>
      <c r="BC57" s="1151" t="n">
        <v>846698</v>
      </c>
      <c r="BD57" s="1152" t="n">
        <v>548664.9800000001</v>
      </c>
      <c r="BE57" s="1151" t="n">
        <v>630544.0833333335</v>
      </c>
      <c r="BF57" s="1152" t="n">
        <v>408756.3416666666</v>
      </c>
      <c r="BG57" s="1151" t="n">
        <v>949178</v>
      </c>
      <c r="BH57" s="1152" t="n">
        <v>613512.2</v>
      </c>
      <c r="BI57" s="1151" t="n">
        <v>773779</v>
      </c>
      <c r="BJ57" s="1152" t="n">
        <v>500548.6799999999</v>
      </c>
      <c r="BK57" s="1151" t="n">
        <v>794108</v>
      </c>
      <c r="BL57" s="1152" t="n">
        <v>512919.14</v>
      </c>
      <c r="BM57" s="1151" t="n">
        <v>749078</v>
      </c>
      <c r="BN57" s="1152" t="n">
        <v>486537</v>
      </c>
      <c r="BO57" s="1151" t="n">
        <v>840592</v>
      </c>
      <c r="BP57" s="1152" t="n">
        <v>541215.0600000001</v>
      </c>
      <c r="BQ57" s="1151" t="n">
        <v>820396</v>
      </c>
      <c r="BR57" s="1152" t="n">
        <v>529836.9700000001</v>
      </c>
      <c r="BS57" s="1151" t="n">
        <v>868137</v>
      </c>
      <c r="BT57" s="1152" t="n">
        <v>561678.62</v>
      </c>
      <c r="BU57" s="1151" t="n">
        <v>864657</v>
      </c>
      <c r="BV57" s="1152" t="n">
        <v>560913.6800000001</v>
      </c>
      <c r="BW57" s="1151" t="n">
        <v>901641</v>
      </c>
      <c r="BX57" s="1152" t="n">
        <v>583965.26</v>
      </c>
      <c r="BY57" s="1151" t="n">
        <v>946416</v>
      </c>
      <c r="BZ57" s="1152" t="n">
        <v>615351.65</v>
      </c>
      <c r="CA57" s="1151" t="n">
        <v>917030</v>
      </c>
      <c r="CB57" s="1152" t="n">
        <v>595835.02</v>
      </c>
      <c r="CC57" s="1151" t="n">
        <v>1013431</v>
      </c>
      <c r="CD57" s="1152" t="n">
        <v>662153.4400000001</v>
      </c>
      <c r="CE57" s="1151">
        <f>(BG57+BI57+BK57+BM57+BO57+BQ57+BS57+BU57+BW57+BY57+CA57)/11</f>
        <v/>
      </c>
      <c r="CF57" s="1152">
        <f>(BH57+BJ57+BL57+BN57+BP57+BR57+BT57+BV57+BX57+BZ57+CB57)/11</f>
        <v/>
      </c>
      <c r="CG57" s="1151" t="n">
        <v>869870.25</v>
      </c>
      <c r="CH57" s="1152" t="n">
        <v>563705.5599999999</v>
      </c>
      <c r="CI57" s="531" t="n">
        <v>100</v>
      </c>
      <c r="CJ57" s="1152" t="n"/>
      <c r="CK57" s="1151" t="n">
        <v>965752</v>
      </c>
      <c r="CL57" s="1152" t="n">
        <v>631832.88</v>
      </c>
      <c r="CM57" s="1151" t="n">
        <v>818851</v>
      </c>
      <c r="CN57" s="1152" t="n">
        <v>532828.48</v>
      </c>
      <c r="CO57" s="1151" t="n">
        <v>1020554</v>
      </c>
      <c r="CP57" s="1152" t="n">
        <v>677348.72</v>
      </c>
      <c r="CQ57" s="1151" t="n">
        <v>803099</v>
      </c>
      <c r="CR57" s="1152" t="n">
        <v>524612.25</v>
      </c>
      <c r="CS57" s="1151" t="n">
        <v>888740</v>
      </c>
      <c r="CT57" s="1152" t="n">
        <v>583181.4900000001</v>
      </c>
      <c r="CU57" s="1151" t="n">
        <v>884247</v>
      </c>
      <c r="CV57" s="1152" t="n">
        <v>578612.4000000001</v>
      </c>
      <c r="CW57" s="1151">
        <f>CW56+CW54+CW52+CW47+CW44+CW39+CW34+CW26+CW24+CW21+CW15+CW12+CW8+CW5</f>
        <v/>
      </c>
      <c r="CX57" s="1151">
        <f>CX56+CX54+CX52+CX47+CX44+CX39+CX34+CX26+CX24+CX21+CX15+CX12+CX8+CX5</f>
        <v/>
      </c>
      <c r="CY57" s="1151">
        <f>CY4+CY6+CY7+CY9+CY10+CY11+CY13+CY14+CY16+CY17+CY18+CY19+CY20+CY23+CY25+CY27+CY29+CY31+CY33+CY35+CY36+CY37+CY38+CY40+CY41+CY42+CY43+CY45+CY46+CY51+CY53+CY55</f>
        <v/>
      </c>
      <c r="CZ57" s="1151">
        <f>CZ4+CZ6+CZ7+CZ9+CZ10+CZ11+CZ13+CZ14+CZ16+CZ17+CZ18+CZ19+CZ20+CZ23+CZ25+CZ27+CZ29+CZ31+CZ33+CZ35+CZ36+CZ37+CZ38+CZ40+CZ41+CZ42+CZ43+CZ45+CZ46+CZ51+CZ53+CZ55</f>
        <v/>
      </c>
      <c r="DA57" s="1151">
        <f>DA4+DA6+DA7+DA9+DA10+DA11+DA13+DA14+DA16+DA17+DA18+DA19+DA20+DA23+DA25+DA27+DA29+DA31+DA33+DA35+DA36+DA37+DA38+DA40+DA41+DA42+DA43+DA45+DA46+DA51+DA53+DA55</f>
        <v/>
      </c>
      <c r="DB57" s="1151">
        <f>DB4+DB6+DB7+DB9+DB10+DB11+DB13+DB14+DB16+DB17+DB18+DB19+DB20+DB23+DB25+DB27+DB29+DB31+DB33+DB35+DB36+DB37+DB38+DB40+DB41+DB42+DB43+DB45+DB46+DB51+DB53+DB55</f>
        <v/>
      </c>
      <c r="DC57" s="1151">
        <f>DC4+DC6+DC7+DC9+DC10+DC11+DC13+DC14+DC16+DC17+DC18+DC19+DC20+DC23+DC25+DC27+DC29+DC31+DC33+DC35+DC36+DC37+DC38+DC40+DC41+DC42+DC43+DC45+DC46+DC51+DC53+DC55+DC48+DC49</f>
        <v/>
      </c>
      <c r="DD57" s="1151">
        <f>DD4+DD6+DD7+DD9+DD10+DD11+DD13+DD14+DD16+DD17+DD18+DD19+DD20+DD23+DD25+DD27+DD29+DD31+DD33+DD35+DD36+DD37+DD38+DD40+DD41+DD42+DD43+DD45+DD46+DD51+DD53+DD55+DD48+DD49</f>
        <v/>
      </c>
      <c r="DE57" s="1151">
        <f>DE4+DE6+DE7+DE9+DE10+DE11+DE13+DE14+DE16+DE17+DE18+DE19+DE20+DE23+DE25+DE27+DE29+DE31+DE33+DE35+DE36+DE37+DE38+DE40+DE41+DE42+DE43+DE45+DE46+DE51+DE53+DE55+DE48+DE49</f>
        <v/>
      </c>
      <c r="DF57" s="1151">
        <f>DF4+DF6+DF7+DF9+DF10+DF11+DF13+DF14+DF16+DF17+DF18+DF19+DF20+DF23+DF25+DF27+DF29+DF31+DF33+DF35+DF36+DF37+DF38+DF40+DF41+DF42+DF43+DF45+DF46+DF51+DF53+DF55+DF48+DF49</f>
        <v/>
      </c>
      <c r="DG57" s="1151">
        <f>DG4+DG6+DG7+DG9+DG10+DG11+DG13+DG14+DG16+DG17+DG18+DG19+DG20+DG23+DG25+DG27+DG29+DG31+DG33+DG35+DG36+DG37+DG38+DG40+DG41+DG42+DG43+DG45+DG46+DG51+DG53+DG55+DG48+DG49</f>
        <v/>
      </c>
      <c r="DH57" s="1151">
        <f>DH4+DH6+DH7+DH9+DH10+DH11+DH13+DH14+DH16+DH17+DH18+DH19+DH20+DH23+DH25+DH27+DH29+DH31+DH33+DH35+DH36+DH37+DH38+DH40+DH41+DH42+DH43+DH45+DH46+DH51+DH53+DH55+DH48+DH49</f>
        <v/>
      </c>
      <c r="DI57" s="1153">
        <f>CK57+CM57+CO57+CQ57+CS57+CU57+CW57+CY57+DA57+DC57+DE57+DG57</f>
        <v/>
      </c>
      <c r="DJ57" s="1153">
        <f>CL57+CN57+CP57+CR57+CT57+CV57+CX57+CZ57+DB57+DD57+DF57+DH57</f>
        <v/>
      </c>
      <c r="DK57" s="1153">
        <f>DK56+DK54+DK52+DK50+DK47+DK44+DK39+DK34+DK32+DK30+DK28+DK26+DK24+DK21+DK15+DK12+DK8+DK5</f>
        <v/>
      </c>
      <c r="DL57" s="1154">
        <f>DL56+DL54+DL52+DL50+DL47+DL44+DL39+DL34+DL32+DL30+DL28+DL26+DL24+DL21+DL15+DL12+DL8+DL5</f>
        <v/>
      </c>
      <c r="DM57" s="1153">
        <f>DM56+DM54+DM52+DM50+DM47+DM44+DM39+DM34+DM32+DM30+DM28+DM26+DM24+DM21+DM15+DM12+DM8+DM5</f>
        <v/>
      </c>
      <c r="DN57" s="1154">
        <f>DN56+DN54+DN52+DN50+DN47+DN44+DN39+DN34+DN32+DN30+DN28+DN26+DN24+DN21+DN15+DN12+DN8+DN5</f>
        <v/>
      </c>
      <c r="DO57" s="534">
        <f>DN57/$DN$57%</f>
        <v/>
      </c>
      <c r="DP57" s="1153">
        <f>DP56+DP54+DP52+DP50+DP47+DP44+DP39+DP34+DP32+DP30+DP28+DP26+DP24+DP21+DP15+DP12+DP8+DP5</f>
        <v/>
      </c>
      <c r="DQ57" s="1154">
        <f>DQ56+DQ54+DQ52+DQ50+DQ47+DQ44+DQ39+DQ34+DQ32+DQ30+DQ28+DQ26+DQ24+DQ21+DQ15+DQ12+DQ8+DQ5</f>
        <v/>
      </c>
      <c r="DR57" s="1153">
        <f>DR56+DR54+DR52+DR50+DR47+DR44+DR39+DR34+DR32+DR30+DR28+DR26+DR24+DR21+DR15+DR12+DR8+DR5</f>
        <v/>
      </c>
      <c r="DS57" s="1154">
        <f>DS56+DS54+DS52+DS50+DS47+DS44+DS39+DS34+DS32+DS30+DS28+DS26+DS24+DS21+DS15+DS12+DS8+DS5</f>
        <v/>
      </c>
      <c r="DT57" s="1153">
        <f>DT56+DT54+DT52+DT50+DT47+DT44+DT39+DT34+DT32+DT30+DT28+DT26+DT24+DT21+DT15+DT12+DT8+DT5</f>
        <v/>
      </c>
      <c r="DU57" s="1154">
        <f>DU56+DU54+DU52+DU50+DU47+DU44+DU39+DU34+DU32+DU30+DU28+DU26+DU24+DU21+DU15+DU12+DU8+DU5</f>
        <v/>
      </c>
      <c r="DV57" s="1153">
        <f>DV56+DV54+DV52+DV50+DV47+DV44+DV39+DV34+DV32+DV30+DV28+DV26+DV24+DV21+DV15+DV12+DV8+DV5</f>
        <v/>
      </c>
      <c r="DW57" s="1154">
        <f>DW56+DW54+DW52+DW50+DW47+DW44+DW39+DW34+DW32+DW30+DW28+DW26+DW24+DW21+DW15+DW12+DW8+DW5</f>
        <v/>
      </c>
      <c r="DX57" s="1153">
        <f>DX56+DX54+DX52+DX50+DX47+DX44+DX39+DX34+DX32+DX30+DX28+DX26+DX24+DX21+DX15+DX12+DX8+DX5</f>
        <v/>
      </c>
      <c r="DY57" s="1154">
        <f>DY56+DY54+DY52+DY50+DY47+DY44+DY39+DY34+DY32+DY30+DY28+DY26+DY24+DY21+DY15+DY12+DY8+DY5</f>
        <v/>
      </c>
      <c r="DZ57" s="1153">
        <f>DZ56+DZ54+DZ52+DZ50+DZ47+DZ44+DZ39+DZ34+DZ32+DZ30+DZ28+DZ26+DZ24+DZ21+DZ15+DZ12+DZ8+DZ5</f>
        <v/>
      </c>
      <c r="EA57" s="1154">
        <f>EA56+EA54+EA52+EA50+EA47+EA44+EA39+EA34+EA32+EA30+EA28+EA26+EA24+EA21+EA15+EA12+EA8+EA5</f>
        <v/>
      </c>
      <c r="EB57" s="1153">
        <f>EB56+EB54+EB52+EB50+EB47+EB44+EB39+EB34+EB32+EB30+EB28+EB26+EB24+EB21+EB15+EB12+EB8+EB5</f>
        <v/>
      </c>
      <c r="EC57" s="1154">
        <f>EC56+EC54+EC52+EC50+EC47+EC44+EC39+EC34+EC32+EC30+EC28+EC26+EC24+EC21+EC15+EC12+EC8+EC5</f>
        <v/>
      </c>
      <c r="ED57" s="1153">
        <f>ED56+ED54+ED52+ED50+ED47+ED44+ED39+ED34+ED32+ED30+ED28+ED26+ED24+ED21+ED15+ED12+ED8+ED5</f>
        <v/>
      </c>
      <c r="EE57" s="1154">
        <f>EE56+EE54+EE52+EE50+EE47+EE44+EE39+EE34+EE32+EE30+EE28+EE26+EE24+EE21+EE15+EE12+EE8+EE5</f>
        <v/>
      </c>
      <c r="EF57" s="1153">
        <f>EF56+EF54+EF52+EF50+EF47+EF44+EF39+EF34+EF32+EF30+EF28+EF26+EF24+EF21+EF15+EF12+EF8+EF5</f>
        <v/>
      </c>
      <c r="EG57" s="1154">
        <f>EG56+EG54+EG52+EG50+EG47+EG44+EG39+EG34+EG32+EG30+EG28+EG26+EG24+EG21+EG15+EG12+EG8+EG5</f>
        <v/>
      </c>
      <c r="EH57" s="1153">
        <f>EH56+EH54+EH52+EH50+EH47+EH44+EH39+EH34+EH32+EH30+EH28+EH26+EH24+EH21+EH15+EH12+EH8+EH5</f>
        <v/>
      </c>
      <c r="EI57" s="1154">
        <f>EI56+EI54+EI52+EI50+EI47+EI44+EI39+EI34+EI32+EI30+EI28+EI26+EI24+EI21+EI15+EI12+EI8+EI5</f>
        <v/>
      </c>
      <c r="EJ57" s="1153">
        <f>EJ56+EJ54+EJ52+EJ50+EJ47+EJ44+EJ39+EJ34+EJ32+EJ30+EJ28+EJ26+EJ24+EJ21+EJ15+EJ12+EJ8+EJ5</f>
        <v/>
      </c>
      <c r="EK57" s="1154">
        <f>EK56+EK54+EK52+EK50+EK47+EK44+EK39+EK34+EK32+EK30+EK28+EK26+EK24+EK21+EK15+EK12+EK8+EK5</f>
        <v/>
      </c>
      <c r="EL57" s="1153">
        <f>EL56+EL54+EL52+EL50+EL47+EL44+EL39+EL34+EL32+EL30+EL28+EL26+EL24+EL21+EL15+EL12+EL8+EL5</f>
        <v/>
      </c>
      <c r="EM57" s="1154">
        <f>EM56+EM54+EM52+EM50+EM47+EM44+EM39+EM34+EM32+EM30+EM28+EM26+EM24+EM21+EM15+EM12+EM8+EM5</f>
        <v/>
      </c>
      <c r="EN57" s="1153">
        <f>EN56+EN54+EN52+EN50+EN47+EN44+EN39+EN34+EN32+EN30+EN28+EN26+EN24+EN21+EN15+EN12+EN8+EN5</f>
        <v/>
      </c>
      <c r="EO57" s="1154">
        <f>EO56+EO54+EO52+EO50+EO47+EO44+EO39+EO34+EO32+EO30+EO28+EO26+EO24+EO21+EO15+EO12+EO8+EO5</f>
        <v/>
      </c>
      <c r="EP57" s="1153">
        <f>EP56+EP54+EP52+EP50+EP47+EP44+EP39+EP34+EP32+EP30+EP28+EP26+EP24+EP21+EP15+EP12+EP8+EP5</f>
        <v/>
      </c>
      <c r="EQ57" s="1154">
        <f>EQ56+EQ54+EQ52+EQ50+EQ47+EQ44+EQ39+EQ34+EQ32+EQ30+EQ28+EQ26+EQ24+EQ21+EQ15+EQ12+EQ8+EQ5</f>
        <v/>
      </c>
      <c r="ER57" s="1155">
        <f>EQ57/$EQ$57%</f>
        <v/>
      </c>
      <c r="ES57" s="1156">
        <f>ER57-DO57</f>
        <v/>
      </c>
      <c r="ET57" s="1157">
        <f>EQ57/DL57*100-100</f>
        <v/>
      </c>
      <c r="EU57" s="1157">
        <f>EQ57/DN57*100-100</f>
        <v/>
      </c>
      <c r="EV57" s="1156">
        <f>EQ57-DN57</f>
        <v/>
      </c>
      <c r="EW57" s="1151">
        <f>EQ57-DL57</f>
        <v/>
      </c>
      <c r="EX57" s="1156">
        <f>EV57/14</f>
        <v/>
      </c>
      <c r="EY57" s="1156">
        <f>EW57/14</f>
        <v/>
      </c>
      <c r="EZ57" s="1156">
        <f>EY57*2</f>
        <v/>
      </c>
    </row>
    <row r="58" hidden="1">
      <c r="A58" s="995" t="n"/>
      <c r="B58" s="54" t="n"/>
      <c r="C58" s="54" t="n"/>
      <c r="D58" s="54" t="n"/>
      <c r="E58" s="55" t="n"/>
      <c r="F58" s="55" t="n"/>
      <c r="G58" s="996" t="n"/>
      <c r="H58" s="997" t="n"/>
      <c r="I58" s="996" t="n"/>
      <c r="J58" s="997" t="n"/>
      <c r="K58" s="996" t="n"/>
      <c r="L58" s="997" t="n"/>
      <c r="M58" s="996" t="n"/>
      <c r="N58" s="997" t="n"/>
      <c r="O58" s="996" t="n"/>
      <c r="P58" s="997" t="n"/>
      <c r="Q58" s="996" t="n"/>
      <c r="R58" s="997" t="n"/>
      <c r="S58" s="996" t="n"/>
      <c r="T58" s="997" t="n"/>
      <c r="U58" s="996" t="n"/>
      <c r="V58" s="997" t="n"/>
      <c r="W58" s="996" t="n"/>
      <c r="X58" s="997" t="n"/>
      <c r="Y58" s="996" t="n"/>
      <c r="Z58" s="997" t="n"/>
      <c r="AA58" s="996" t="n"/>
      <c r="AB58" s="997" t="n"/>
      <c r="AC58" s="996" t="n"/>
      <c r="AD58" s="997" t="n"/>
      <c r="AE58" s="998" t="n"/>
      <c r="AF58" s="999" t="n"/>
      <c r="AG58" s="996" t="n"/>
      <c r="AH58" s="997" t="n"/>
      <c r="AI58" s="996" t="n"/>
      <c r="AJ58" s="997" t="n"/>
      <c r="AK58" s="996" t="n"/>
      <c r="AL58" s="997" t="n"/>
      <c r="AM58" s="996" t="n"/>
      <c r="AN58" s="997" t="n"/>
      <c r="AO58" s="996" t="n"/>
      <c r="AP58" s="997" t="n"/>
      <c r="AQ58" s="996" t="n"/>
      <c r="AR58" s="997" t="n"/>
      <c r="AS58" s="996" t="n"/>
      <c r="AT58" s="997" t="n"/>
      <c r="AU58" s="996" t="n"/>
      <c r="AV58" s="997" t="n"/>
      <c r="AW58" s="996" t="n"/>
      <c r="AX58" s="997" t="n"/>
      <c r="AY58" s="996" t="n"/>
      <c r="AZ58" s="997" t="n"/>
      <c r="BA58" s="996" t="n"/>
      <c r="BB58" s="997" t="n"/>
      <c r="BC58" s="996" t="n"/>
      <c r="BD58" s="997" t="n"/>
      <c r="BE58" s="998" t="n"/>
      <c r="BF58" s="999" t="n"/>
      <c r="BG58" s="996" t="n"/>
      <c r="BH58" s="997" t="n"/>
      <c r="BI58" s="996" t="n"/>
      <c r="BJ58" s="997" t="n"/>
      <c r="BK58" s="996" t="n"/>
      <c r="BL58" s="997" t="n"/>
      <c r="BM58" s="996" t="n"/>
      <c r="BN58" s="997" t="n"/>
      <c r="BO58" s="996" t="n"/>
      <c r="BP58" s="997" t="n"/>
      <c r="BQ58" s="996" t="n"/>
      <c r="BR58" s="997" t="n"/>
      <c r="BS58" s="996" t="n"/>
      <c r="BT58" s="997" t="n"/>
      <c r="BU58" s="996" t="n"/>
      <c r="BV58" s="997" t="n"/>
      <c r="BW58" s="996" t="n"/>
      <c r="BX58" s="997" t="n"/>
      <c r="BY58" s="996" t="n"/>
      <c r="BZ58" s="997" t="n"/>
      <c r="CA58" s="996" t="n"/>
      <c r="CB58" s="997" t="n"/>
      <c r="CC58" s="996" t="n"/>
      <c r="CD58" s="997" t="n"/>
      <c r="CE58" s="1000">
        <f>(BG58+BI58+BK58+BM58+BO58+BQ58+BS58+BU58+BW58+BY58+CA58)/11</f>
        <v/>
      </c>
      <c r="CF58" s="997">
        <f>(BH58+BJ58+BL58+BN58+BP58+BR58+BT58+BV58+BX58+BZ58+CB58)/11</f>
        <v/>
      </c>
      <c r="CG58" s="998" t="n"/>
      <c r="CH58" s="999" t="n"/>
      <c r="CI58" s="1001" t="n"/>
      <c r="CJ58" s="1001" t="n"/>
      <c r="CK58" s="1002" t="n"/>
      <c r="CL58" s="997" t="n"/>
      <c r="CM58" s="1002" t="n"/>
      <c r="CN58" s="1001" t="n"/>
      <c r="CO58" s="1002" t="n"/>
      <c r="CP58" s="1001" t="n"/>
      <c r="CQ58" s="1002" t="n"/>
      <c r="CR58" s="1001" t="n"/>
      <c r="CS58" s="1002" t="n"/>
      <c r="CT58" s="1001" t="n"/>
      <c r="CU58" s="1002" t="n"/>
      <c r="CV58" s="1001" t="n"/>
      <c r="CW58" s="1002" t="n"/>
      <c r="CX58" s="1001" t="n"/>
      <c r="CY58" s="1002" t="n"/>
      <c r="CZ58" s="1001" t="n"/>
      <c r="DA58" s="1002" t="n"/>
      <c r="DB58" s="1001" t="n"/>
      <c r="DC58" s="1002" t="n"/>
      <c r="DD58" s="1001" t="n"/>
      <c r="DE58" s="1002" t="n"/>
      <c r="DF58" s="1001" t="n"/>
      <c r="DG58" s="1002" t="n"/>
      <c r="DH58" s="1001" t="n"/>
      <c r="DI58" s="1003">
        <f>CK58+CM58+CO58+CQ58+CS58+CU58+CW58+CY58+DA58+DC58+DE58+DG58</f>
        <v/>
      </c>
      <c r="DJ58" s="1003">
        <f>CL58+CN58+CP58+CR58+CT58+CV58+CX58+CZ58+DB58+DD58+DF58+DH58</f>
        <v/>
      </c>
      <c r="DK58" s="1003" t="n"/>
      <c r="DL58" s="1003" t="n"/>
      <c r="DM58" s="1090">
        <f>DI58/11</f>
        <v/>
      </c>
      <c r="DN58" s="1158">
        <f>DJ58/11</f>
        <v/>
      </c>
      <c r="DO58" s="97">
        <f>DN58/$DN$57%</f>
        <v/>
      </c>
      <c r="DP58" s="1002" t="n"/>
      <c r="DQ58" s="997" t="n"/>
      <c r="DR58" s="1002" t="n"/>
      <c r="DS58" s="1001" t="n"/>
      <c r="DT58" s="1002" t="n"/>
      <c r="DU58" s="1001" t="n"/>
      <c r="DV58" s="1002" t="n"/>
      <c r="DW58" s="1001" t="n"/>
      <c r="DX58" s="1002" t="n"/>
      <c r="DY58" s="1001" t="n"/>
      <c r="DZ58" s="1002" t="n"/>
      <c r="EA58" s="1001" t="n"/>
      <c r="EB58" s="1002" t="n"/>
      <c r="EC58" s="1001" t="n"/>
      <c r="ED58" s="1002" t="n"/>
      <c r="EE58" s="1001" t="n"/>
      <c r="EF58" s="1002" t="n"/>
      <c r="EG58" s="1001" t="n"/>
      <c r="EH58" s="1002" t="n"/>
      <c r="EI58" s="1001" t="n"/>
      <c r="EJ58" s="1002" t="n"/>
      <c r="EK58" s="1001" t="n"/>
      <c r="EL58" s="1002" t="n"/>
      <c r="EM58" s="1001" t="n"/>
      <c r="EN58" s="1003">
        <f>DP58+DR58+DT58+DV58+DX58+DZ58+EB58+ED58+EF58+EH58+EJ58+EL58</f>
        <v/>
      </c>
      <c r="EO58" s="1003">
        <f>DQ58+DS58+DU58+DW58+DY58+EA58+EC58+EE58+EG58+EI58+EK58+EM58</f>
        <v/>
      </c>
      <c r="EP58" s="1090">
        <f>EN58/11</f>
        <v/>
      </c>
      <c r="EQ58" s="1158">
        <f>EO58/11</f>
        <v/>
      </c>
      <c r="ER58" s="1159" t="n"/>
      <c r="ES58" s="115" t="n">
        <v>0</v>
      </c>
      <c r="ET58" s="1004" t="e">
        <v>#DIV/0!</v>
      </c>
      <c r="EU58" s="1004" t="e">
        <v>#DIV/0!</v>
      </c>
      <c r="EZ58" s="1091">
        <f>EY58*11</f>
        <v/>
      </c>
    </row>
    <row r="59" hidden="1">
      <c r="A59" s="7" t="n">
        <v>109</v>
      </c>
      <c r="B59" s="8" t="inlineStr">
        <is>
          <t>Columbus 700ml</t>
        </is>
      </c>
      <c r="C59" s="8" t="inlineStr">
        <is>
          <t>ပုလင်း</t>
        </is>
      </c>
      <c r="D59" s="7" t="n">
        <v>0.7</v>
      </c>
      <c r="E59" s="7" t="inlineStr">
        <is>
          <t>1 * 12</t>
        </is>
      </c>
      <c r="F59" s="7" t="n">
        <v>4500</v>
      </c>
      <c r="G59" s="975" t="n">
        <v>360</v>
      </c>
      <c r="H59" s="976" t="n">
        <v>252</v>
      </c>
      <c r="I59" s="975" t="n">
        <v>221</v>
      </c>
      <c r="J59" s="976" t="n">
        <v>154.7</v>
      </c>
      <c r="K59" s="975" t="n">
        <v>718</v>
      </c>
      <c r="L59" s="976" t="n">
        <v>502.6</v>
      </c>
      <c r="M59" s="975" t="n">
        <v>566</v>
      </c>
      <c r="N59" s="976" t="n">
        <v>396.2</v>
      </c>
      <c r="O59" s="975" t="n">
        <v>240</v>
      </c>
      <c r="P59" s="976" t="n">
        <v>168</v>
      </c>
      <c r="Q59" s="975" t="n">
        <v>69</v>
      </c>
      <c r="R59" s="976" t="n">
        <v>48.3</v>
      </c>
      <c r="S59" s="975" t="n">
        <v>195</v>
      </c>
      <c r="T59" s="976" t="n">
        <v>136.5</v>
      </c>
      <c r="U59" s="975" t="n">
        <v>131</v>
      </c>
      <c r="V59" s="976" t="n">
        <v>91.69999999999999</v>
      </c>
      <c r="W59" s="975" t="n">
        <v>84</v>
      </c>
      <c r="X59" s="976" t="n">
        <v>58.8</v>
      </c>
      <c r="Y59" s="975" t="n">
        <v>81</v>
      </c>
      <c r="Z59" s="976" t="n">
        <v>56.7</v>
      </c>
      <c r="AA59" s="975" t="n">
        <v>95</v>
      </c>
      <c r="AB59" s="976" t="n">
        <v>66.5</v>
      </c>
      <c r="AC59" s="975" t="n">
        <v>432</v>
      </c>
      <c r="AD59" s="976" t="n">
        <v>302.4</v>
      </c>
      <c r="AE59" s="977" t="n">
        <v>266</v>
      </c>
      <c r="AF59" s="978" t="n">
        <v>186.2</v>
      </c>
      <c r="AG59" s="975" t="n">
        <v>209</v>
      </c>
      <c r="AH59" s="976" t="n">
        <v>146.3</v>
      </c>
      <c r="AI59" s="975" t="n">
        <v>392</v>
      </c>
      <c r="AJ59" s="976" t="n">
        <v>274.4</v>
      </c>
      <c r="AK59" s="975" t="n">
        <v>72</v>
      </c>
      <c r="AL59" s="976" t="n">
        <v>50.4</v>
      </c>
      <c r="AM59" s="975" t="n">
        <v>128</v>
      </c>
      <c r="AN59" s="976" t="n">
        <v>89.59999999999999</v>
      </c>
      <c r="AO59" s="975" t="n">
        <v>49</v>
      </c>
      <c r="AP59" s="976" t="n">
        <v>34.3</v>
      </c>
      <c r="AQ59" s="975" t="n">
        <v>311</v>
      </c>
      <c r="AR59" s="976" t="n">
        <v>217.7</v>
      </c>
      <c r="AS59" s="975" t="n">
        <v>71</v>
      </c>
      <c r="AT59" s="976" t="n">
        <v>49.7</v>
      </c>
      <c r="AU59" s="975" t="n">
        <v>60</v>
      </c>
      <c r="AV59" s="976" t="n">
        <v>42</v>
      </c>
      <c r="AW59" s="975" t="n">
        <v>33</v>
      </c>
      <c r="AX59" s="976" t="n">
        <v>23.1</v>
      </c>
      <c r="AY59" s="975" t="n">
        <v>75</v>
      </c>
      <c r="AZ59" s="976" t="n">
        <v>52.5</v>
      </c>
      <c r="BA59" s="975" t="n">
        <v>18</v>
      </c>
      <c r="BB59" s="976" t="n">
        <v>12.6</v>
      </c>
      <c r="BC59" s="975" t="n">
        <v>54</v>
      </c>
      <c r="BD59" s="976" t="n">
        <v>37.8</v>
      </c>
      <c r="BE59" s="977" t="n">
        <v>122.6666666666667</v>
      </c>
      <c r="BF59" s="978" t="n">
        <v>85.86666666666666</v>
      </c>
      <c r="BG59" s="975" t="n">
        <v>36</v>
      </c>
      <c r="BH59" s="976" t="n">
        <v>25.2</v>
      </c>
      <c r="BI59" s="975" t="n">
        <v>24</v>
      </c>
      <c r="BJ59" s="976" t="n">
        <v>16.8</v>
      </c>
      <c r="BK59" s="975" t="n">
        <v>48</v>
      </c>
      <c r="BL59" s="976" t="n">
        <v>33.59999999999999</v>
      </c>
      <c r="BM59" s="975" t="n"/>
      <c r="BN59" s="976" t="n">
        <v>0</v>
      </c>
      <c r="BO59" s="975" t="n"/>
      <c r="BP59" s="976" t="n">
        <v>0</v>
      </c>
      <c r="BQ59" s="975" t="n"/>
      <c r="BR59" s="976" t="n">
        <v>0</v>
      </c>
      <c r="BS59" s="975" t="n">
        <v>1</v>
      </c>
      <c r="BT59" s="976" t="n">
        <v>0.7</v>
      </c>
      <c r="BU59" s="975" t="n">
        <v>27</v>
      </c>
      <c r="BV59" s="976" t="n">
        <v>18.9</v>
      </c>
      <c r="BW59" s="975" t="n">
        <v>1</v>
      </c>
      <c r="BX59" s="976" t="n">
        <v>0.7</v>
      </c>
      <c r="BY59" s="975" t="n">
        <v>1</v>
      </c>
      <c r="BZ59" s="976" t="n">
        <v>0.7</v>
      </c>
      <c r="CA59" s="975" t="n">
        <v>4</v>
      </c>
      <c r="CB59" s="976" t="n">
        <v>2.8</v>
      </c>
      <c r="CC59" s="975" t="n">
        <v>1</v>
      </c>
      <c r="CD59" s="976" t="n">
        <v>0.7</v>
      </c>
      <c r="CE59" s="979">
        <f>(BG59+BI59+BK59+BM59+BO59+BQ59+BS59+BU59+BW59+BY59+CA59)/11</f>
        <v/>
      </c>
      <c r="CF59" s="976">
        <f>(BH59+BJ59+BL59+BN59+BP59+BR59+BT59+BV59+BX59+BZ59+CB59)/11</f>
        <v/>
      </c>
      <c r="CG59" s="977" t="n">
        <v>11.91666666666667</v>
      </c>
      <c r="CH59" s="978" t="n">
        <v>8.341666666666665</v>
      </c>
      <c r="CI59" s="15" t="n"/>
      <c r="CJ59" s="15" t="n"/>
      <c r="CK59" s="982" t="n"/>
      <c r="CL59" s="976" t="n">
        <v>0</v>
      </c>
      <c r="CM59" s="982" t="n"/>
      <c r="CN59" s="15" t="n">
        <v>0</v>
      </c>
      <c r="CO59" s="982" t="n"/>
      <c r="CP59" s="15" t="n">
        <v>0</v>
      </c>
      <c r="CQ59" s="982" t="n"/>
      <c r="CR59" s="15" t="n">
        <v>0</v>
      </c>
      <c r="CS59" s="982" t="n"/>
      <c r="CT59" s="15" t="n">
        <v>0</v>
      </c>
      <c r="CU59" s="982" t="n"/>
      <c r="CV59" s="15" t="n">
        <v>0</v>
      </c>
      <c r="CW59" s="982" t="n"/>
      <c r="CX59" s="15" t="n">
        <v>0</v>
      </c>
      <c r="CY59" s="982" t="n"/>
      <c r="CZ59" s="15" t="n">
        <v>0</v>
      </c>
      <c r="DA59" s="982" t="n"/>
      <c r="DB59" s="15" t="n">
        <v>0</v>
      </c>
      <c r="DC59" s="982" t="n"/>
      <c r="DD59" s="15" t="n">
        <v>0</v>
      </c>
      <c r="DE59" s="982" t="n"/>
      <c r="DF59" s="15" t="n">
        <v>0</v>
      </c>
      <c r="DG59" s="982" t="n"/>
      <c r="DH59" s="15" t="n">
        <v>0</v>
      </c>
      <c r="DI59" s="983">
        <f>CK59+CM59+CO59+CQ59+CS59+CU59+CW59+CY59+DA59+DC59+DE59+DG59</f>
        <v/>
      </c>
      <c r="DJ59" s="983">
        <f>CL59+CN59+CP59+CR59+CT59+CV59+CX59+CZ59+DB59+DD59+DF59+DH59</f>
        <v/>
      </c>
      <c r="DK59" s="983" t="n"/>
      <c r="DL59" s="983" t="n"/>
      <c r="DM59" s="985">
        <f>DI59/11</f>
        <v/>
      </c>
      <c r="DN59" s="1129">
        <f>DJ59/11</f>
        <v/>
      </c>
      <c r="DO59" s="69">
        <f>DN59/$DN$57%</f>
        <v/>
      </c>
      <c r="DP59" s="982" t="n"/>
      <c r="DQ59" s="976" t="n">
        <v>0</v>
      </c>
      <c r="DR59" s="982" t="n"/>
      <c r="DS59" s="15" t="n">
        <v>0</v>
      </c>
      <c r="DT59" s="982" t="n"/>
      <c r="DU59" s="15" t="n">
        <v>0</v>
      </c>
      <c r="DV59" s="982" t="n"/>
      <c r="DW59" s="15" t="n">
        <v>0</v>
      </c>
      <c r="DX59" s="982" t="n"/>
      <c r="DY59" s="15" t="n">
        <v>0</v>
      </c>
      <c r="DZ59" s="982" t="n"/>
      <c r="EA59" s="15" t="n">
        <v>0</v>
      </c>
      <c r="EB59" s="982" t="n"/>
      <c r="EC59" s="15" t="n">
        <v>0</v>
      </c>
      <c r="ED59" s="982" t="n"/>
      <c r="EE59" s="15" t="n">
        <v>0</v>
      </c>
      <c r="EF59" s="982" t="n"/>
      <c r="EG59" s="15" t="n">
        <v>0</v>
      </c>
      <c r="EH59" s="982" t="n"/>
      <c r="EI59" s="15" t="n">
        <v>0</v>
      </c>
      <c r="EJ59" s="982" t="n"/>
      <c r="EK59" s="15" t="n">
        <v>0</v>
      </c>
      <c r="EL59" s="982" t="n"/>
      <c r="EM59" s="15" t="n">
        <v>0</v>
      </c>
      <c r="EN59" s="983">
        <f>DP59+DR59+DT59+DV59+DX59+DZ59+EB59+ED59+EF59+EH59+EJ59+EL59</f>
        <v/>
      </c>
      <c r="EO59" s="983">
        <f>DQ59+DS59+DU59+DW59+DY59+EA59+EC59+EE59+EG59+EI59+EK59+EM59</f>
        <v/>
      </c>
      <c r="EP59" s="985">
        <f>EN59/11</f>
        <v/>
      </c>
      <c r="EQ59" s="1129">
        <f>EO59/11</f>
        <v/>
      </c>
      <c r="ER59" s="1160" t="n"/>
      <c r="ES59" s="88" t="n">
        <v>0</v>
      </c>
      <c r="ET59" s="1005" t="n">
        <v>-100</v>
      </c>
      <c r="EU59" s="1005" t="n">
        <v>-100</v>
      </c>
      <c r="EZ59" s="986">
        <f>EY59*11</f>
        <v/>
      </c>
    </row>
    <row r="60" hidden="1">
      <c r="A60" s="7" t="n">
        <v>110</v>
      </c>
      <c r="B60" s="8" t="inlineStr">
        <is>
          <t>Columbus 350ml</t>
        </is>
      </c>
      <c r="C60" s="8" t="inlineStr">
        <is>
          <t>ပုလင်း</t>
        </is>
      </c>
      <c r="D60" s="7" t="n">
        <v>0.35</v>
      </c>
      <c r="E60" s="7" t="inlineStr">
        <is>
          <t>1 * 24</t>
        </is>
      </c>
      <c r="F60" s="7" t="n">
        <v>2300</v>
      </c>
      <c r="G60" s="975" t="n">
        <v>72</v>
      </c>
      <c r="H60" s="976" t="n">
        <v>25.2</v>
      </c>
      <c r="I60" s="975" t="n">
        <v>6</v>
      </c>
      <c r="J60" s="976" t="n">
        <v>2.1</v>
      </c>
      <c r="K60" s="975" t="n"/>
      <c r="L60" s="976" t="n">
        <v>0</v>
      </c>
      <c r="M60" s="975" t="n">
        <v>144</v>
      </c>
      <c r="N60" s="976" t="n">
        <v>50.4</v>
      </c>
      <c r="O60" s="975" t="n">
        <v>34</v>
      </c>
      <c r="P60" s="976" t="n">
        <v>11.9</v>
      </c>
      <c r="Q60" s="975" t="n">
        <v>6</v>
      </c>
      <c r="R60" s="976" t="n">
        <v>2.1</v>
      </c>
      <c r="S60" s="975" t="n">
        <v>24</v>
      </c>
      <c r="T60" s="976" t="n">
        <v>8.399999999999999</v>
      </c>
      <c r="U60" s="975" t="n">
        <v>48</v>
      </c>
      <c r="V60" s="976" t="n">
        <v>16.8</v>
      </c>
      <c r="W60" s="975" t="n">
        <v>24</v>
      </c>
      <c r="X60" s="976" t="n">
        <v>8.399999999999999</v>
      </c>
      <c r="Y60" s="975" t="n"/>
      <c r="Z60" s="976" t="n">
        <v>0</v>
      </c>
      <c r="AA60" s="975" t="n"/>
      <c r="AB60" s="976" t="n">
        <v>0</v>
      </c>
      <c r="AC60" s="975" t="n"/>
      <c r="AD60" s="976" t="n">
        <v>0</v>
      </c>
      <c r="AE60" s="977" t="n">
        <v>29.83333333333333</v>
      </c>
      <c r="AF60" s="978" t="n">
        <v>10.44166666666667</v>
      </c>
      <c r="AG60" s="975" t="n">
        <v>102</v>
      </c>
      <c r="AH60" s="976" t="n">
        <v>35.7</v>
      </c>
      <c r="AI60" s="975" t="n">
        <v>6</v>
      </c>
      <c r="AJ60" s="976" t="n">
        <v>2.1</v>
      </c>
      <c r="AK60" s="975" t="n"/>
      <c r="AL60" s="976" t="n">
        <v>0</v>
      </c>
      <c r="AM60" s="975" t="n">
        <v>1</v>
      </c>
      <c r="AN60" s="976" t="n">
        <v>0.35</v>
      </c>
      <c r="AO60" s="975" t="n"/>
      <c r="AP60" s="976" t="n">
        <v>0</v>
      </c>
      <c r="AQ60" s="975" t="n"/>
      <c r="AR60" s="976" t="n">
        <v>0</v>
      </c>
      <c r="AS60" s="975" t="n"/>
      <c r="AT60" s="976" t="n">
        <v>0</v>
      </c>
      <c r="AU60" s="975" t="n"/>
      <c r="AV60" s="976" t="n">
        <v>0</v>
      </c>
      <c r="AW60" s="975" t="n"/>
      <c r="AX60" s="976" t="n">
        <v>0</v>
      </c>
      <c r="AY60" s="975" t="n">
        <v>12</v>
      </c>
      <c r="AZ60" s="976" t="n">
        <v>4.199999999999999</v>
      </c>
      <c r="BA60" s="975" t="n">
        <v>12</v>
      </c>
      <c r="BB60" s="976" t="n">
        <v>4.199999999999999</v>
      </c>
      <c r="BC60" s="975" t="n">
        <v>48</v>
      </c>
      <c r="BD60" s="976" t="n">
        <v>16.8</v>
      </c>
      <c r="BE60" s="977" t="n">
        <v>15.08333333333333</v>
      </c>
      <c r="BF60" s="978" t="n">
        <v>5.279166666666667</v>
      </c>
      <c r="BG60" s="975" t="n">
        <v>48</v>
      </c>
      <c r="BH60" s="976" t="n">
        <v>16.8</v>
      </c>
      <c r="BI60" s="975" t="n">
        <v>28</v>
      </c>
      <c r="BJ60" s="976" t="n">
        <v>9.799999999999999</v>
      </c>
      <c r="BK60" s="975" t="n">
        <v>112</v>
      </c>
      <c r="BL60" s="976" t="n">
        <v>39.2</v>
      </c>
      <c r="BM60" s="975" t="n"/>
      <c r="BN60" s="976" t="n">
        <v>0</v>
      </c>
      <c r="BO60" s="975" t="n"/>
      <c r="BP60" s="976" t="n">
        <v>0</v>
      </c>
      <c r="BQ60" s="975" t="n"/>
      <c r="BR60" s="976" t="n">
        <v>0</v>
      </c>
      <c r="BS60" s="975" t="n"/>
      <c r="BT60" s="976" t="n">
        <v>0</v>
      </c>
      <c r="BU60" s="975" t="n">
        <v>48</v>
      </c>
      <c r="BV60" s="976" t="n">
        <v>16.8</v>
      </c>
      <c r="BW60" s="975" t="n"/>
      <c r="BX60" s="976" t="n">
        <v>0</v>
      </c>
      <c r="BY60" s="975" t="n"/>
      <c r="BZ60" s="976" t="n">
        <v>0</v>
      </c>
      <c r="CA60" s="975" t="n">
        <v>1</v>
      </c>
      <c r="CB60" s="976" t="n">
        <v>0.35</v>
      </c>
      <c r="CC60" s="975" t="n">
        <v>10</v>
      </c>
      <c r="CD60" s="976" t="n">
        <v>3.5</v>
      </c>
      <c r="CE60" s="979">
        <f>(BG60+BI60+BK60+BM60+BO60+BQ60+BS60+BU60+BW60+BY60+CA60)/11</f>
        <v/>
      </c>
      <c r="CF60" s="976">
        <f>(BH60+BJ60+BL60+BN60+BP60+BR60+BT60+BV60+BX60+BZ60+CB60)/11</f>
        <v/>
      </c>
      <c r="CG60" s="977" t="n">
        <v>20.58333333333333</v>
      </c>
      <c r="CH60" s="978" t="n">
        <v>7.204166666666666</v>
      </c>
      <c r="CI60" s="15" t="n"/>
      <c r="CJ60" s="15" t="n"/>
      <c r="CK60" s="982" t="n"/>
      <c r="CL60" s="976" t="n">
        <v>0</v>
      </c>
      <c r="CM60" s="982" t="n"/>
      <c r="CN60" s="15" t="n">
        <v>0</v>
      </c>
      <c r="CO60" s="982" t="n"/>
      <c r="CP60" s="15" t="n">
        <v>0</v>
      </c>
      <c r="CQ60" s="982" t="n"/>
      <c r="CR60" s="15" t="n">
        <v>0</v>
      </c>
      <c r="CS60" s="982" t="n"/>
      <c r="CT60" s="15" t="n">
        <v>0</v>
      </c>
      <c r="CU60" s="982" t="n"/>
      <c r="CV60" s="15" t="n">
        <v>0</v>
      </c>
      <c r="CW60" s="982" t="n"/>
      <c r="CX60" s="15" t="n">
        <v>0</v>
      </c>
      <c r="CY60" s="982" t="n"/>
      <c r="CZ60" s="15" t="n">
        <v>0</v>
      </c>
      <c r="DA60" s="982" t="n"/>
      <c r="DB60" s="15" t="n">
        <v>0</v>
      </c>
      <c r="DC60" s="982" t="n"/>
      <c r="DD60" s="15" t="n">
        <v>0</v>
      </c>
      <c r="DE60" s="982" t="n"/>
      <c r="DF60" s="15" t="n">
        <v>0</v>
      </c>
      <c r="DG60" s="982" t="n"/>
      <c r="DH60" s="15" t="n">
        <v>0</v>
      </c>
      <c r="DI60" s="983">
        <f>CK60+CM60+CO60+CQ60+CS60+CU60+CW60+CY60+DA60+DC60+DE60+DG60</f>
        <v/>
      </c>
      <c r="DJ60" s="983">
        <f>CL60+CN60+CP60+CR60+CT60+CV60+CX60+CZ60+DB60+DD60+DF60+DH60</f>
        <v/>
      </c>
      <c r="DK60" s="983" t="n"/>
      <c r="DL60" s="983" t="n"/>
      <c r="DM60" s="985">
        <f>DI60/11</f>
        <v/>
      </c>
      <c r="DN60" s="1129">
        <f>DJ60/11</f>
        <v/>
      </c>
      <c r="DO60" s="69">
        <f>DN60/$DN$57%</f>
        <v/>
      </c>
      <c r="DP60" s="982" t="n"/>
      <c r="DQ60" s="976" t="n">
        <v>0</v>
      </c>
      <c r="DR60" s="982" t="n"/>
      <c r="DS60" s="15" t="n">
        <v>0</v>
      </c>
      <c r="DT60" s="982" t="n"/>
      <c r="DU60" s="15" t="n">
        <v>0</v>
      </c>
      <c r="DV60" s="982" t="n"/>
      <c r="DW60" s="15" t="n">
        <v>0</v>
      </c>
      <c r="DX60" s="982" t="n"/>
      <c r="DY60" s="15" t="n">
        <v>0</v>
      </c>
      <c r="DZ60" s="982" t="n"/>
      <c r="EA60" s="15" t="n">
        <v>0</v>
      </c>
      <c r="EB60" s="982" t="n"/>
      <c r="EC60" s="15" t="n">
        <v>0</v>
      </c>
      <c r="ED60" s="982" t="n"/>
      <c r="EE60" s="15" t="n">
        <v>0</v>
      </c>
      <c r="EF60" s="982" t="n"/>
      <c r="EG60" s="15" t="n">
        <v>0</v>
      </c>
      <c r="EH60" s="982" t="n"/>
      <c r="EI60" s="15" t="n">
        <v>0</v>
      </c>
      <c r="EJ60" s="982" t="n"/>
      <c r="EK60" s="15" t="n">
        <v>0</v>
      </c>
      <c r="EL60" s="982" t="n"/>
      <c r="EM60" s="15" t="n">
        <v>0</v>
      </c>
      <c r="EN60" s="983">
        <f>DP60+DR60+DT60+DV60+DX60+DZ60+EB60+ED60+EF60+EH60+EJ60+EL60</f>
        <v/>
      </c>
      <c r="EO60" s="983">
        <f>DQ60+DS60+DU60+DW60+DY60+EA60+EC60+EE60+EG60+EI60+EK60+EM60</f>
        <v/>
      </c>
      <c r="EP60" s="985">
        <f>EN60/11</f>
        <v/>
      </c>
      <c r="EQ60" s="1129">
        <f>EO60/11</f>
        <v/>
      </c>
      <c r="ER60" s="1160" t="n"/>
      <c r="ES60" s="88" t="n">
        <v>0</v>
      </c>
      <c r="ET60" s="1005" t="n">
        <v>-100</v>
      </c>
      <c r="EU60" s="1005" t="n">
        <v>-100</v>
      </c>
      <c r="EZ60" s="986">
        <f>EY60*11</f>
        <v/>
      </c>
    </row>
    <row r="61" hidden="1">
      <c r="A61" s="7" t="n">
        <v>111</v>
      </c>
      <c r="B61" s="8" t="inlineStr">
        <is>
          <t>Columbus 175ml</t>
        </is>
      </c>
      <c r="C61" s="8" t="inlineStr">
        <is>
          <t>ပုလင်း</t>
        </is>
      </c>
      <c r="D61" s="7" t="n">
        <v>0.175</v>
      </c>
      <c r="E61" s="7" t="inlineStr">
        <is>
          <t>1 * 48</t>
        </is>
      </c>
      <c r="F61" s="7" t="n">
        <v>1300</v>
      </c>
      <c r="G61" s="975" t="n"/>
      <c r="H61" s="976" t="n">
        <v>0</v>
      </c>
      <c r="I61" s="975" t="n"/>
      <c r="J61" s="976" t="n">
        <v>0</v>
      </c>
      <c r="K61" s="975" t="n"/>
      <c r="L61" s="976" t="n">
        <v>0</v>
      </c>
      <c r="M61" s="975" t="n"/>
      <c r="N61" s="976" t="n">
        <v>0</v>
      </c>
      <c r="O61" s="975" t="n"/>
      <c r="P61" s="976" t="n">
        <v>0</v>
      </c>
      <c r="Q61" s="975" t="n"/>
      <c r="R61" s="976" t="n">
        <v>0</v>
      </c>
      <c r="S61" s="975" t="n"/>
      <c r="T61" s="976" t="n">
        <v>0</v>
      </c>
      <c r="U61" s="975" t="n"/>
      <c r="V61" s="976" t="n">
        <v>0</v>
      </c>
      <c r="W61" s="975" t="n"/>
      <c r="X61" s="976" t="n">
        <v>0</v>
      </c>
      <c r="Y61" s="975" t="n"/>
      <c r="Z61" s="976" t="n">
        <v>0</v>
      </c>
      <c r="AA61" s="975" t="n"/>
      <c r="AB61" s="976" t="n">
        <v>0</v>
      </c>
      <c r="AC61" s="975" t="n"/>
      <c r="AD61" s="976" t="n">
        <v>0</v>
      </c>
      <c r="AE61" s="977" t="n">
        <v>0</v>
      </c>
      <c r="AF61" s="978" t="n">
        <v>0</v>
      </c>
      <c r="AG61" s="975" t="n"/>
      <c r="AH61" s="976" t="n">
        <v>0</v>
      </c>
      <c r="AI61" s="975" t="n"/>
      <c r="AJ61" s="976" t="n">
        <v>0</v>
      </c>
      <c r="AK61" s="975" t="n"/>
      <c r="AL61" s="976" t="n">
        <v>0</v>
      </c>
      <c r="AM61" s="975" t="n"/>
      <c r="AN61" s="976" t="n">
        <v>0</v>
      </c>
      <c r="AO61" s="975" t="n"/>
      <c r="AP61" s="976" t="n">
        <v>0</v>
      </c>
      <c r="AQ61" s="975" t="n"/>
      <c r="AR61" s="976" t="n">
        <v>0</v>
      </c>
      <c r="AS61" s="975" t="n"/>
      <c r="AT61" s="976" t="n">
        <v>0</v>
      </c>
      <c r="AU61" s="975" t="n"/>
      <c r="AV61" s="976" t="n">
        <v>0</v>
      </c>
      <c r="AW61" s="975" t="n"/>
      <c r="AX61" s="976" t="n">
        <v>0</v>
      </c>
      <c r="AY61" s="975" t="n"/>
      <c r="AZ61" s="976" t="n">
        <v>0</v>
      </c>
      <c r="BA61" s="975" t="n"/>
      <c r="BB61" s="976" t="n">
        <v>0</v>
      </c>
      <c r="BC61" s="975" t="n"/>
      <c r="BD61" s="976" t="n">
        <v>0</v>
      </c>
      <c r="BE61" s="977" t="n">
        <v>0</v>
      </c>
      <c r="BF61" s="978" t="n">
        <v>0</v>
      </c>
      <c r="BG61" s="975" t="n"/>
      <c r="BH61" s="976" t="n">
        <v>0</v>
      </c>
      <c r="BI61" s="975" t="n">
        <v>55</v>
      </c>
      <c r="BJ61" s="976" t="n">
        <v>9.625</v>
      </c>
      <c r="BK61" s="975" t="n">
        <v>270</v>
      </c>
      <c r="BL61" s="976" t="n">
        <v>47.25</v>
      </c>
      <c r="BM61" s="975" t="n"/>
      <c r="BN61" s="976" t="n">
        <v>0</v>
      </c>
      <c r="BO61" s="975" t="n"/>
      <c r="BP61" s="976" t="n">
        <v>0</v>
      </c>
      <c r="BQ61" s="975" t="n"/>
      <c r="BR61" s="976" t="n">
        <v>0</v>
      </c>
      <c r="BS61" s="975" t="n"/>
      <c r="BT61" s="976" t="n">
        <v>0</v>
      </c>
      <c r="BU61" s="975" t="n"/>
      <c r="BV61" s="976" t="n">
        <v>0</v>
      </c>
      <c r="BW61" s="975" t="n"/>
      <c r="BX61" s="976" t="n">
        <v>0</v>
      </c>
      <c r="BY61" s="975" t="n"/>
      <c r="BZ61" s="976" t="n">
        <v>0</v>
      </c>
      <c r="CA61" s="975" t="n"/>
      <c r="CB61" s="976" t="n">
        <v>0</v>
      </c>
      <c r="CC61" s="975" t="n"/>
      <c r="CD61" s="976" t="n">
        <v>0</v>
      </c>
      <c r="CE61" s="979">
        <f>(BG61+BI61+BK61+BM61+BO61+BQ61+BS61+BU61+BW61+BY61+CA61)/11</f>
        <v/>
      </c>
      <c r="CF61" s="976">
        <f>(BH61+BJ61+BL61+BN61+BP61+BR61+BT61+BV61+BX61+BZ61+CB61)/11</f>
        <v/>
      </c>
      <c r="CG61" s="977" t="n">
        <v>27.08333333333333</v>
      </c>
      <c r="CH61" s="978" t="n">
        <v>4.739583333333333</v>
      </c>
      <c r="CI61" s="15" t="n"/>
      <c r="CJ61" s="15" t="n"/>
      <c r="CK61" s="982" t="n"/>
      <c r="CL61" s="976" t="n">
        <v>0</v>
      </c>
      <c r="CM61" s="982" t="n"/>
      <c r="CN61" s="15" t="n">
        <v>0</v>
      </c>
      <c r="CO61" s="982" t="n"/>
      <c r="CP61" s="15" t="n">
        <v>0</v>
      </c>
      <c r="CQ61" s="982" t="n"/>
      <c r="CR61" s="15" t="n">
        <v>0</v>
      </c>
      <c r="CS61" s="982" t="n"/>
      <c r="CT61" s="15" t="n">
        <v>0</v>
      </c>
      <c r="CU61" s="982" t="n"/>
      <c r="CV61" s="15" t="n">
        <v>0</v>
      </c>
      <c r="CW61" s="982" t="n"/>
      <c r="CX61" s="15" t="n">
        <v>0</v>
      </c>
      <c r="CY61" s="982" t="n"/>
      <c r="CZ61" s="15" t="n">
        <v>0</v>
      </c>
      <c r="DA61" s="982" t="n"/>
      <c r="DB61" s="15" t="n">
        <v>0</v>
      </c>
      <c r="DC61" s="982" t="n"/>
      <c r="DD61" s="15" t="n">
        <v>0</v>
      </c>
      <c r="DE61" s="982" t="n"/>
      <c r="DF61" s="15" t="n">
        <v>0</v>
      </c>
      <c r="DG61" s="982" t="n"/>
      <c r="DH61" s="15" t="n">
        <v>0</v>
      </c>
      <c r="DI61" s="983">
        <f>CK61+CM61+CO61+CQ61+CS61+CU61+CW61+CY61+DA61+DC61+DE61+DG61</f>
        <v/>
      </c>
      <c r="DJ61" s="983">
        <f>CL61+CN61+CP61+CR61+CT61+CV61+CX61+CZ61+DB61+DD61+DF61+DH61</f>
        <v/>
      </c>
      <c r="DK61" s="983" t="n"/>
      <c r="DL61" s="983" t="n"/>
      <c r="DM61" s="985">
        <f>DI61/11</f>
        <v/>
      </c>
      <c r="DN61" s="1129">
        <f>DJ61/11</f>
        <v/>
      </c>
      <c r="DO61" s="69">
        <f>DN61/$DN$57%</f>
        <v/>
      </c>
      <c r="DP61" s="982" t="n"/>
      <c r="DQ61" s="976" t="n">
        <v>0</v>
      </c>
      <c r="DR61" s="982" t="n"/>
      <c r="DS61" s="15" t="n">
        <v>0</v>
      </c>
      <c r="DT61" s="982" t="n"/>
      <c r="DU61" s="15" t="n">
        <v>0</v>
      </c>
      <c r="DV61" s="982" t="n"/>
      <c r="DW61" s="15" t="n">
        <v>0</v>
      </c>
      <c r="DX61" s="982" t="n"/>
      <c r="DY61" s="15" t="n">
        <v>0</v>
      </c>
      <c r="DZ61" s="982" t="n"/>
      <c r="EA61" s="15" t="n">
        <v>0</v>
      </c>
      <c r="EB61" s="982" t="n"/>
      <c r="EC61" s="15" t="n">
        <v>0</v>
      </c>
      <c r="ED61" s="982" t="n"/>
      <c r="EE61" s="15" t="n">
        <v>0</v>
      </c>
      <c r="EF61" s="982" t="n"/>
      <c r="EG61" s="15" t="n">
        <v>0</v>
      </c>
      <c r="EH61" s="982" t="n"/>
      <c r="EI61" s="15" t="n">
        <v>0</v>
      </c>
      <c r="EJ61" s="982" t="n"/>
      <c r="EK61" s="15" t="n">
        <v>0</v>
      </c>
      <c r="EL61" s="982" t="n"/>
      <c r="EM61" s="15" t="n">
        <v>0</v>
      </c>
      <c r="EN61" s="983">
        <f>DP61+DR61+DT61+DV61+DX61+DZ61+EB61+ED61+EF61+EH61+EJ61+EL61</f>
        <v/>
      </c>
      <c r="EO61" s="983">
        <f>DQ61+DS61+DU61+DW61+DY61+EA61+EC61+EE61+EG61+EI61+EK61+EM61</f>
        <v/>
      </c>
      <c r="EP61" s="985">
        <f>EN61/11</f>
        <v/>
      </c>
      <c r="EQ61" s="1129">
        <f>EO61/11</f>
        <v/>
      </c>
      <c r="ER61" s="1160" t="n"/>
      <c r="ES61" s="88" t="n">
        <v>0</v>
      </c>
      <c r="ET61" s="1005" t="n">
        <v>-100</v>
      </c>
      <c r="EU61" s="1005" t="n">
        <v>-100</v>
      </c>
      <c r="EZ61" s="986">
        <f>EY61*11</f>
        <v/>
      </c>
    </row>
    <row r="62" hidden="1">
      <c r="A62" s="7" t="n">
        <v>112</v>
      </c>
      <c r="B62" s="8" t="inlineStr">
        <is>
          <t xml:space="preserve">SRS - Columbus 700ml </t>
        </is>
      </c>
      <c r="C62" s="8" t="inlineStr">
        <is>
          <t>ပုလင်း</t>
        </is>
      </c>
      <c r="D62" s="7" t="n">
        <v>0.7</v>
      </c>
      <c r="E62" s="7" t="inlineStr">
        <is>
          <t>1 * 12</t>
        </is>
      </c>
      <c r="F62" s="7" t="n">
        <v>5200</v>
      </c>
      <c r="G62" s="975" t="n">
        <v>8306</v>
      </c>
      <c r="H62" s="976" t="n">
        <v>5814.2</v>
      </c>
      <c r="I62" s="975" t="n">
        <v>1847</v>
      </c>
      <c r="J62" s="976" t="n">
        <v>1292.9</v>
      </c>
      <c r="K62" s="975" t="n">
        <v>2348</v>
      </c>
      <c r="L62" s="976" t="n">
        <v>1643.6</v>
      </c>
      <c r="M62" s="975" t="n">
        <v>5341</v>
      </c>
      <c r="N62" s="976" t="n">
        <v>3738.7</v>
      </c>
      <c r="O62" s="975" t="n">
        <v>1829</v>
      </c>
      <c r="P62" s="976" t="n">
        <v>1280.3</v>
      </c>
      <c r="Q62" s="975" t="n">
        <v>1932</v>
      </c>
      <c r="R62" s="976" t="n">
        <v>1352.4</v>
      </c>
      <c r="S62" s="975" t="n">
        <v>2389</v>
      </c>
      <c r="T62" s="976" t="n">
        <v>1672.3</v>
      </c>
      <c r="U62" s="975" t="n">
        <v>1652</v>
      </c>
      <c r="V62" s="976" t="n">
        <v>1156.4</v>
      </c>
      <c r="W62" s="975" t="n">
        <v>906</v>
      </c>
      <c r="X62" s="976" t="n">
        <v>634.1999999999999</v>
      </c>
      <c r="Y62" s="975" t="n">
        <v>977</v>
      </c>
      <c r="Z62" s="976" t="n">
        <v>683.9</v>
      </c>
      <c r="AA62" s="975" t="n">
        <v>1059</v>
      </c>
      <c r="AB62" s="976" t="n">
        <v>741.3</v>
      </c>
      <c r="AC62" s="975" t="n">
        <v>1318</v>
      </c>
      <c r="AD62" s="976" t="n">
        <v>922.5999999999999</v>
      </c>
      <c r="AE62" s="977" t="n">
        <v>2492</v>
      </c>
      <c r="AF62" s="978" t="n">
        <v>1744.4</v>
      </c>
      <c r="AG62" s="975" t="n">
        <v>1243</v>
      </c>
      <c r="AH62" s="976" t="n">
        <v>870.0999999999999</v>
      </c>
      <c r="AI62" s="975" t="n">
        <v>972</v>
      </c>
      <c r="AJ62" s="976" t="n">
        <v>680.4</v>
      </c>
      <c r="AK62" s="975" t="n">
        <v>910</v>
      </c>
      <c r="AL62" s="976" t="n">
        <v>637</v>
      </c>
      <c r="AM62" s="975" t="n">
        <v>759</v>
      </c>
      <c r="AN62" s="976" t="n">
        <v>531.3</v>
      </c>
      <c r="AO62" s="975" t="n">
        <v>837</v>
      </c>
      <c r="AP62" s="976" t="n">
        <v>585.9</v>
      </c>
      <c r="AQ62" s="975" t="n">
        <v>559</v>
      </c>
      <c r="AR62" s="976" t="n">
        <v>391.3</v>
      </c>
      <c r="AS62" s="975" t="n">
        <v>616</v>
      </c>
      <c r="AT62" s="976" t="n">
        <v>431.2</v>
      </c>
      <c r="AU62" s="975" t="n">
        <v>671</v>
      </c>
      <c r="AV62" s="976" t="n">
        <v>469.7</v>
      </c>
      <c r="AW62" s="975" t="n">
        <v>625</v>
      </c>
      <c r="AX62" s="976" t="n">
        <v>437.5</v>
      </c>
      <c r="AY62" s="975" t="n">
        <v>439</v>
      </c>
      <c r="AZ62" s="976" t="n">
        <v>307.3</v>
      </c>
      <c r="BA62" s="975" t="n">
        <v>471</v>
      </c>
      <c r="BB62" s="976" t="n">
        <v>329.7</v>
      </c>
      <c r="BC62" s="975" t="n">
        <v>1158</v>
      </c>
      <c r="BD62" s="976" t="n">
        <v>810.5999999999999</v>
      </c>
      <c r="BE62" s="977" t="n">
        <v>771.6666666666666</v>
      </c>
      <c r="BF62" s="978" t="n">
        <v>540.1666666666666</v>
      </c>
      <c r="BG62" s="975" t="n">
        <v>588</v>
      </c>
      <c r="BH62" s="976" t="n">
        <v>411.6</v>
      </c>
      <c r="BI62" s="975" t="n">
        <v>956</v>
      </c>
      <c r="BJ62" s="976" t="n">
        <v>669.1999999999999</v>
      </c>
      <c r="BK62" s="975" t="n">
        <v>967</v>
      </c>
      <c r="BL62" s="976" t="n">
        <v>676.9</v>
      </c>
      <c r="BM62" s="975" t="n">
        <v>516</v>
      </c>
      <c r="BN62" s="976" t="n">
        <v>361.2</v>
      </c>
      <c r="BO62" s="975" t="n">
        <v>220</v>
      </c>
      <c r="BP62" s="976" t="n">
        <v>154</v>
      </c>
      <c r="BQ62" s="975" t="n">
        <v>623</v>
      </c>
      <c r="BR62" s="976" t="n">
        <v>436.1</v>
      </c>
      <c r="BS62" s="975" t="n">
        <v>657</v>
      </c>
      <c r="BT62" s="976" t="n">
        <v>459.9</v>
      </c>
      <c r="BU62" s="975" t="n">
        <v>291</v>
      </c>
      <c r="BV62" s="976" t="n">
        <v>203.7</v>
      </c>
      <c r="BW62" s="975" t="n">
        <v>228</v>
      </c>
      <c r="BX62" s="976" t="n">
        <v>159.6</v>
      </c>
      <c r="BY62" s="975" t="n">
        <v>450</v>
      </c>
      <c r="BZ62" s="976" t="n">
        <v>315</v>
      </c>
      <c r="CA62" s="975" t="n">
        <v>234</v>
      </c>
      <c r="CB62" s="976" t="n">
        <v>163.8</v>
      </c>
      <c r="CC62" s="975" t="n">
        <v>90</v>
      </c>
      <c r="CD62" s="976" t="n">
        <v>62.99999999999999</v>
      </c>
      <c r="CE62" s="979">
        <f>(BG62+BI62+BK62+BM62+BO62+BQ62+BS62+BU62+BW62+BY62+CA62)/11</f>
        <v/>
      </c>
      <c r="CF62" s="976">
        <f>(BH62+BJ62+BL62+BN62+BP62+BR62+BT62+BV62+BX62+BZ62+CB62)/11</f>
        <v/>
      </c>
      <c r="CG62" s="977" t="n">
        <v>485</v>
      </c>
      <c r="CH62" s="978" t="n">
        <v>339.5</v>
      </c>
      <c r="CI62" s="15" t="n"/>
      <c r="CJ62" s="15" t="n"/>
      <c r="CK62" s="982" t="n">
        <v>61</v>
      </c>
      <c r="CL62" s="976" t="n">
        <v>42.7</v>
      </c>
      <c r="CM62" s="982" t="n">
        <v>78</v>
      </c>
      <c r="CN62" s="15" t="n">
        <v>54.59999999999999</v>
      </c>
      <c r="CO62" s="982" t="n">
        <v>12</v>
      </c>
      <c r="CP62" s="15" t="n">
        <v>8.399999999999999</v>
      </c>
      <c r="CQ62" s="982" t="n">
        <v>54</v>
      </c>
      <c r="CR62" s="15" t="n">
        <v>37.8</v>
      </c>
      <c r="CS62" s="982" t="n">
        <v>42</v>
      </c>
      <c r="CT62" s="15" t="n">
        <v>29.4</v>
      </c>
      <c r="CU62" s="982" t="n"/>
      <c r="CV62" s="15" t="n">
        <v>0</v>
      </c>
      <c r="CW62" s="982" t="n"/>
      <c r="CX62" s="15" t="n">
        <v>0</v>
      </c>
      <c r="CY62" s="982" t="n"/>
      <c r="CZ62" s="15" t="n">
        <v>0</v>
      </c>
      <c r="DA62" s="982" t="n"/>
      <c r="DB62" s="15" t="n">
        <v>0</v>
      </c>
      <c r="DC62" s="982" t="n"/>
      <c r="DD62" s="15" t="n">
        <v>0</v>
      </c>
      <c r="DE62" s="982" t="n"/>
      <c r="DF62" s="15" t="n">
        <v>0</v>
      </c>
      <c r="DG62" s="982" t="n"/>
      <c r="DH62" s="15" t="n">
        <v>0</v>
      </c>
      <c r="DI62" s="983">
        <f>CK62+CM62+CO62+CQ62+CS62+CU62+CW62+CY62+DA62+DC62+DE62+DG62</f>
        <v/>
      </c>
      <c r="DJ62" s="983">
        <f>CL62+CN62+CP62+CR62+CT62+CV62+CX62+CZ62+DB62+DD62+DF62+DH62</f>
        <v/>
      </c>
      <c r="DK62" s="983" t="n"/>
      <c r="DL62" s="983" t="n"/>
      <c r="DM62" s="985">
        <f>DI62/11</f>
        <v/>
      </c>
      <c r="DN62" s="1129">
        <f>DJ62/11</f>
        <v/>
      </c>
      <c r="DO62" s="69">
        <f>DN62/$DN$57%</f>
        <v/>
      </c>
      <c r="DP62" s="982" t="n">
        <v>61</v>
      </c>
      <c r="DQ62" s="976" t="n">
        <v>42.7</v>
      </c>
      <c r="DR62" s="982" t="n">
        <v>78</v>
      </c>
      <c r="DS62" s="15" t="n">
        <v>54.59999999999999</v>
      </c>
      <c r="DT62" s="982" t="n">
        <v>12</v>
      </c>
      <c r="DU62" s="15" t="n">
        <v>8.399999999999999</v>
      </c>
      <c r="DV62" s="982" t="n">
        <v>54</v>
      </c>
      <c r="DW62" s="15" t="n">
        <v>37.8</v>
      </c>
      <c r="DX62" s="982" t="n">
        <v>42</v>
      </c>
      <c r="DY62" s="15" t="n">
        <v>29.4</v>
      </c>
      <c r="DZ62" s="982" t="n"/>
      <c r="EA62" s="15" t="n">
        <v>0</v>
      </c>
      <c r="EB62" s="982" t="n"/>
      <c r="EC62" s="15" t="n">
        <v>0</v>
      </c>
      <c r="ED62" s="982" t="n"/>
      <c r="EE62" s="15" t="n">
        <v>0</v>
      </c>
      <c r="EF62" s="982" t="n"/>
      <c r="EG62" s="15" t="n">
        <v>0</v>
      </c>
      <c r="EH62" s="982" t="n"/>
      <c r="EI62" s="15" t="n">
        <v>0</v>
      </c>
      <c r="EJ62" s="982" t="n"/>
      <c r="EK62" s="15" t="n">
        <v>0</v>
      </c>
      <c r="EL62" s="982" t="n"/>
      <c r="EM62" s="15" t="n">
        <v>0</v>
      </c>
      <c r="EN62" s="983">
        <f>DP62+DR62+DT62+DV62+DX62+DZ62+EB62+ED62+EF62+EH62+EJ62+EL62</f>
        <v/>
      </c>
      <c r="EO62" s="983">
        <f>DQ62+DS62+DU62+DW62+DY62+EA62+EC62+EE62+EG62+EI62+EK62+EM62</f>
        <v/>
      </c>
      <c r="EP62" s="985">
        <f>EN62/11</f>
        <v/>
      </c>
      <c r="EQ62" s="1129">
        <f>EO62/11</f>
        <v/>
      </c>
      <c r="ER62" s="1160" t="n"/>
      <c r="ES62" s="88" t="n">
        <v>0</v>
      </c>
      <c r="ET62" s="1005" t="n">
        <v>-100</v>
      </c>
      <c r="EU62" s="1005" t="n">
        <v>-100</v>
      </c>
      <c r="EZ62" s="986">
        <f>EY62*11</f>
        <v/>
      </c>
    </row>
    <row r="63" hidden="1">
      <c r="A63" s="7" t="n">
        <v>113</v>
      </c>
      <c r="B63" s="8" t="inlineStr">
        <is>
          <t xml:space="preserve">SRS - Columbus 350ml </t>
        </is>
      </c>
      <c r="C63" s="8" t="inlineStr">
        <is>
          <t>ပုလင်း</t>
        </is>
      </c>
      <c r="D63" s="7" t="n">
        <v>0.35</v>
      </c>
      <c r="E63" s="7" t="inlineStr">
        <is>
          <t>1 * 24</t>
        </is>
      </c>
      <c r="F63" s="7" t="n">
        <v>2600</v>
      </c>
      <c r="G63" s="975" t="n">
        <v>8074</v>
      </c>
      <c r="H63" s="976" t="n">
        <v>2825.9</v>
      </c>
      <c r="I63" s="975" t="n">
        <v>3737</v>
      </c>
      <c r="J63" s="976" t="n">
        <v>1307.95</v>
      </c>
      <c r="K63" s="975" t="n">
        <v>3229</v>
      </c>
      <c r="L63" s="976" t="n">
        <v>1130.15</v>
      </c>
      <c r="M63" s="975" t="n">
        <v>15733</v>
      </c>
      <c r="N63" s="976" t="n">
        <v>5506.549999999999</v>
      </c>
      <c r="O63" s="975" t="n">
        <v>2024</v>
      </c>
      <c r="P63" s="976" t="n">
        <v>708.4</v>
      </c>
      <c r="Q63" s="975" t="n">
        <v>2233</v>
      </c>
      <c r="R63" s="976" t="n">
        <v>781.55</v>
      </c>
      <c r="S63" s="975" t="n">
        <v>3481</v>
      </c>
      <c r="T63" s="976" t="n">
        <v>1218.35</v>
      </c>
      <c r="U63" s="975" t="n">
        <v>1781</v>
      </c>
      <c r="V63" s="976" t="n">
        <v>623.3499999999999</v>
      </c>
      <c r="W63" s="975" t="n">
        <v>1002</v>
      </c>
      <c r="X63" s="976" t="n">
        <v>350.7</v>
      </c>
      <c r="Y63" s="975" t="n">
        <v>1282</v>
      </c>
      <c r="Z63" s="976" t="n">
        <v>448.7</v>
      </c>
      <c r="AA63" s="975" t="n">
        <v>1233</v>
      </c>
      <c r="AB63" s="976" t="n">
        <v>431.55</v>
      </c>
      <c r="AC63" s="975" t="n">
        <v>2318</v>
      </c>
      <c r="AD63" s="976" t="n">
        <v>811.3</v>
      </c>
      <c r="AE63" s="977" t="n">
        <v>3843.916666666667</v>
      </c>
      <c r="AF63" s="978" t="n">
        <v>1345.370833333333</v>
      </c>
      <c r="AG63" s="975" t="n">
        <v>2052</v>
      </c>
      <c r="AH63" s="976" t="n">
        <v>718.1999999999999</v>
      </c>
      <c r="AI63" s="975" t="n">
        <v>1638</v>
      </c>
      <c r="AJ63" s="976" t="n">
        <v>573.3</v>
      </c>
      <c r="AK63" s="975" t="n">
        <v>925</v>
      </c>
      <c r="AL63" s="976" t="n">
        <v>323.75</v>
      </c>
      <c r="AM63" s="975" t="n">
        <v>1689</v>
      </c>
      <c r="AN63" s="976" t="n">
        <v>591.15</v>
      </c>
      <c r="AO63" s="975" t="n">
        <v>873</v>
      </c>
      <c r="AP63" s="976" t="n">
        <v>305.55</v>
      </c>
      <c r="AQ63" s="975" t="n">
        <v>858</v>
      </c>
      <c r="AR63" s="976" t="n">
        <v>300.3</v>
      </c>
      <c r="AS63" s="975" t="n">
        <v>644</v>
      </c>
      <c r="AT63" s="976" t="n">
        <v>225.4</v>
      </c>
      <c r="AU63" s="975" t="n">
        <v>1074</v>
      </c>
      <c r="AV63" s="976" t="n">
        <v>375.9</v>
      </c>
      <c r="AW63" s="975" t="n">
        <v>944</v>
      </c>
      <c r="AX63" s="976" t="n">
        <v>330.4</v>
      </c>
      <c r="AY63" s="975" t="n">
        <v>821</v>
      </c>
      <c r="AZ63" s="976" t="n">
        <v>287.35</v>
      </c>
      <c r="BA63" s="975" t="n">
        <v>688</v>
      </c>
      <c r="BB63" s="976" t="n">
        <v>240.8</v>
      </c>
      <c r="BC63" s="975" t="n">
        <v>1560</v>
      </c>
      <c r="BD63" s="976" t="n">
        <v>546</v>
      </c>
      <c r="BE63" s="977" t="n">
        <v>1147.166666666667</v>
      </c>
      <c r="BF63" s="978" t="n">
        <v>401.5083333333333</v>
      </c>
      <c r="BG63" s="975" t="n">
        <v>792</v>
      </c>
      <c r="BH63" s="976" t="n">
        <v>277.2</v>
      </c>
      <c r="BI63" s="975" t="n">
        <v>647</v>
      </c>
      <c r="BJ63" s="976" t="n">
        <v>226.45</v>
      </c>
      <c r="BK63" s="975" t="n">
        <v>1040</v>
      </c>
      <c r="BL63" s="976" t="n">
        <v>364</v>
      </c>
      <c r="BM63" s="975" t="n">
        <v>691</v>
      </c>
      <c r="BN63" s="976" t="n">
        <v>241.85</v>
      </c>
      <c r="BO63" s="975" t="n">
        <v>386</v>
      </c>
      <c r="BP63" s="976" t="n">
        <v>135.1</v>
      </c>
      <c r="BQ63" s="975" t="n">
        <v>428</v>
      </c>
      <c r="BR63" s="976" t="n">
        <v>149.8</v>
      </c>
      <c r="BS63" s="975" t="n">
        <v>749</v>
      </c>
      <c r="BT63" s="976" t="n">
        <v>262.15</v>
      </c>
      <c r="BU63" s="975" t="n">
        <v>888</v>
      </c>
      <c r="BV63" s="976" t="n">
        <v>310.8</v>
      </c>
      <c r="BW63" s="975" t="n">
        <v>684</v>
      </c>
      <c r="BX63" s="976" t="n">
        <v>239.4</v>
      </c>
      <c r="BY63" s="975" t="n">
        <v>1092</v>
      </c>
      <c r="BZ63" s="976" t="n">
        <v>382.2</v>
      </c>
      <c r="CA63" s="975" t="n">
        <v>936</v>
      </c>
      <c r="CB63" s="976" t="n">
        <v>327.6</v>
      </c>
      <c r="CC63" s="975" t="n">
        <v>288</v>
      </c>
      <c r="CD63" s="976" t="n">
        <v>100.8</v>
      </c>
      <c r="CE63" s="979">
        <f>(BG63+BI63+BK63+BM63+BO63+BQ63+BS63+BU63+BW63+BY63+CA63)/11</f>
        <v/>
      </c>
      <c r="CF63" s="976">
        <f>(BH63+BJ63+BL63+BN63+BP63+BR63+BT63+BV63+BX63+BZ63+CB63)/11</f>
        <v/>
      </c>
      <c r="CG63" s="977" t="n">
        <v>718.4166666666666</v>
      </c>
      <c r="CH63" s="978" t="n">
        <v>251.4458333333333</v>
      </c>
      <c r="CI63" s="15" t="n"/>
      <c r="CJ63" s="15" t="n"/>
      <c r="CK63" s="982" t="n">
        <v>96</v>
      </c>
      <c r="CL63" s="976" t="n">
        <v>33.59999999999999</v>
      </c>
      <c r="CM63" s="982" t="n">
        <v>432</v>
      </c>
      <c r="CN63" s="15" t="n">
        <v>151.2</v>
      </c>
      <c r="CO63" s="982" t="n">
        <v>168</v>
      </c>
      <c r="CP63" s="15" t="n">
        <v>58.8</v>
      </c>
      <c r="CQ63" s="982" t="n">
        <v>244</v>
      </c>
      <c r="CR63" s="15" t="n">
        <v>85.39999999999999</v>
      </c>
      <c r="CS63" s="982" t="n">
        <v>246</v>
      </c>
      <c r="CT63" s="15" t="n">
        <v>86.09999999999999</v>
      </c>
      <c r="CU63" s="982" t="n"/>
      <c r="CV63" s="15" t="n">
        <v>0</v>
      </c>
      <c r="CW63" s="982" t="n"/>
      <c r="CX63" s="15" t="n">
        <v>0</v>
      </c>
      <c r="CY63" s="982" t="n"/>
      <c r="CZ63" s="15" t="n">
        <v>0</v>
      </c>
      <c r="DA63" s="982" t="n"/>
      <c r="DB63" s="15" t="n">
        <v>0</v>
      </c>
      <c r="DC63" s="982" t="n"/>
      <c r="DD63" s="15" t="n">
        <v>0</v>
      </c>
      <c r="DE63" s="982" t="n"/>
      <c r="DF63" s="15" t="n">
        <v>0</v>
      </c>
      <c r="DG63" s="982" t="n"/>
      <c r="DH63" s="15" t="n">
        <v>0</v>
      </c>
      <c r="DI63" s="983">
        <f>CK63+CM63+CO63+CQ63+CS63+CU63+CW63+CY63+DA63+DC63+DE63+DG63</f>
        <v/>
      </c>
      <c r="DJ63" s="983">
        <f>CL63+CN63+CP63+CR63+CT63+CV63+CX63+CZ63+DB63+DD63+DF63+DH63</f>
        <v/>
      </c>
      <c r="DK63" s="983" t="n"/>
      <c r="DL63" s="983" t="n"/>
      <c r="DM63" s="985">
        <f>DI63/11</f>
        <v/>
      </c>
      <c r="DN63" s="1129">
        <f>DJ63/11</f>
        <v/>
      </c>
      <c r="DO63" s="69">
        <f>DN63/$DN$57%</f>
        <v/>
      </c>
      <c r="DP63" s="982" t="n">
        <v>96</v>
      </c>
      <c r="DQ63" s="976" t="n">
        <v>33.59999999999999</v>
      </c>
      <c r="DR63" s="982" t="n">
        <v>432</v>
      </c>
      <c r="DS63" s="15" t="n">
        <v>151.2</v>
      </c>
      <c r="DT63" s="982" t="n">
        <v>168</v>
      </c>
      <c r="DU63" s="15" t="n">
        <v>58.8</v>
      </c>
      <c r="DV63" s="982" t="n">
        <v>244</v>
      </c>
      <c r="DW63" s="15" t="n">
        <v>85.39999999999999</v>
      </c>
      <c r="DX63" s="982" t="n">
        <v>246</v>
      </c>
      <c r="DY63" s="15" t="n">
        <v>86.09999999999999</v>
      </c>
      <c r="DZ63" s="982" t="n"/>
      <c r="EA63" s="15" t="n">
        <v>0</v>
      </c>
      <c r="EB63" s="982" t="n"/>
      <c r="EC63" s="15" t="n">
        <v>0</v>
      </c>
      <c r="ED63" s="982" t="n"/>
      <c r="EE63" s="15" t="n">
        <v>0</v>
      </c>
      <c r="EF63" s="982" t="n"/>
      <c r="EG63" s="15" t="n">
        <v>0</v>
      </c>
      <c r="EH63" s="982" t="n"/>
      <c r="EI63" s="15" t="n">
        <v>0</v>
      </c>
      <c r="EJ63" s="982" t="n"/>
      <c r="EK63" s="15" t="n">
        <v>0</v>
      </c>
      <c r="EL63" s="982" t="n"/>
      <c r="EM63" s="15" t="n">
        <v>0</v>
      </c>
      <c r="EN63" s="983">
        <f>DP63+DR63+DT63+DV63+DX63+DZ63+EB63+ED63+EF63+EH63+EJ63+EL63</f>
        <v/>
      </c>
      <c r="EO63" s="983">
        <f>DQ63+DS63+DU63+DW63+DY63+EA63+EC63+EE63+EG63+EI63+EK63+EM63</f>
        <v/>
      </c>
      <c r="EP63" s="985">
        <f>EN63/11</f>
        <v/>
      </c>
      <c r="EQ63" s="1129">
        <f>EO63/11</f>
        <v/>
      </c>
      <c r="ER63" s="1160" t="n"/>
      <c r="ES63" s="88" t="n">
        <v>0</v>
      </c>
      <c r="ET63" s="1005" t="n">
        <v>-100</v>
      </c>
      <c r="EU63" s="1005" t="n">
        <v>-100</v>
      </c>
      <c r="EZ63" s="986">
        <f>EY63*11</f>
        <v/>
      </c>
    </row>
    <row r="64" hidden="1">
      <c r="A64" s="7" t="n">
        <v>114</v>
      </c>
      <c r="B64" s="8" t="inlineStr">
        <is>
          <t xml:space="preserve">SRS - Columbus 175ml </t>
        </is>
      </c>
      <c r="C64" s="8" t="inlineStr">
        <is>
          <t>ပုလင်း</t>
        </is>
      </c>
      <c r="D64" s="7" t="n">
        <v>0.175</v>
      </c>
      <c r="E64" s="7" t="inlineStr">
        <is>
          <t>1 * 48</t>
        </is>
      </c>
      <c r="F64" s="7" t="n">
        <v>1450</v>
      </c>
      <c r="G64" s="975" t="n">
        <v>2394</v>
      </c>
      <c r="H64" s="976" t="n">
        <v>418.95</v>
      </c>
      <c r="I64" s="975" t="n">
        <v>970</v>
      </c>
      <c r="J64" s="976" t="n">
        <v>169.75</v>
      </c>
      <c r="K64" s="975" t="n">
        <v>814</v>
      </c>
      <c r="L64" s="976" t="n">
        <v>142.45</v>
      </c>
      <c r="M64" s="975" t="n">
        <v>10591</v>
      </c>
      <c r="N64" s="976" t="n">
        <v>1853.425</v>
      </c>
      <c r="O64" s="975" t="n">
        <v>948</v>
      </c>
      <c r="P64" s="976" t="n">
        <v>165.9</v>
      </c>
      <c r="Q64" s="975" t="n">
        <v>1330</v>
      </c>
      <c r="R64" s="976" t="n">
        <v>232.75</v>
      </c>
      <c r="S64" s="975" t="n">
        <v>703</v>
      </c>
      <c r="T64" s="976" t="n">
        <v>123.025</v>
      </c>
      <c r="U64" s="975" t="n">
        <v>542</v>
      </c>
      <c r="V64" s="976" t="n">
        <v>94.84999999999999</v>
      </c>
      <c r="W64" s="975" t="n">
        <v>357</v>
      </c>
      <c r="X64" s="976" t="n">
        <v>62.47499999999999</v>
      </c>
      <c r="Y64" s="975" t="n">
        <v>429</v>
      </c>
      <c r="Z64" s="976" t="n">
        <v>75.07499999999999</v>
      </c>
      <c r="AA64" s="975" t="n">
        <v>370</v>
      </c>
      <c r="AB64" s="976" t="n">
        <v>64.75</v>
      </c>
      <c r="AC64" s="975" t="n">
        <v>335</v>
      </c>
      <c r="AD64" s="976" t="n">
        <v>58.62499999999999</v>
      </c>
      <c r="AE64" s="977" t="n">
        <v>1648.583333333333</v>
      </c>
      <c r="AF64" s="978" t="n">
        <v>288.5020833333333</v>
      </c>
      <c r="AG64" s="975" t="n">
        <v>838</v>
      </c>
      <c r="AH64" s="976" t="n">
        <v>146.65</v>
      </c>
      <c r="AI64" s="975" t="n">
        <v>532</v>
      </c>
      <c r="AJ64" s="976" t="n">
        <v>93.09999999999999</v>
      </c>
      <c r="AK64" s="975" t="n">
        <v>158</v>
      </c>
      <c r="AL64" s="976" t="n">
        <v>27.65</v>
      </c>
      <c r="AM64" s="975" t="n">
        <v>492</v>
      </c>
      <c r="AN64" s="976" t="n">
        <v>86.09999999999999</v>
      </c>
      <c r="AO64" s="975" t="n">
        <v>227</v>
      </c>
      <c r="AP64" s="976" t="n">
        <v>39.72499999999999</v>
      </c>
      <c r="AQ64" s="975" t="n">
        <v>272</v>
      </c>
      <c r="AR64" s="976" t="n">
        <v>47.59999999999999</v>
      </c>
      <c r="AS64" s="975" t="n">
        <v>245</v>
      </c>
      <c r="AT64" s="976" t="n">
        <v>42.875</v>
      </c>
      <c r="AU64" s="975" t="n">
        <v>197</v>
      </c>
      <c r="AV64" s="976" t="n">
        <v>34.47499999999999</v>
      </c>
      <c r="AW64" s="975" t="n">
        <v>392</v>
      </c>
      <c r="AX64" s="976" t="n">
        <v>68.59999999999999</v>
      </c>
      <c r="AY64" s="975" t="n">
        <v>940</v>
      </c>
      <c r="AZ64" s="976" t="n">
        <v>164.5</v>
      </c>
      <c r="BA64" s="975" t="n">
        <v>160</v>
      </c>
      <c r="BB64" s="976" t="n">
        <v>28</v>
      </c>
      <c r="BC64" s="975" t="n">
        <v>2595</v>
      </c>
      <c r="BD64" s="976" t="n">
        <v>454.1249999999999</v>
      </c>
      <c r="BE64" s="977" t="n">
        <v>587.3333333333334</v>
      </c>
      <c r="BF64" s="978" t="n">
        <v>102.7833333333333</v>
      </c>
      <c r="BG64" s="975" t="n">
        <v>48</v>
      </c>
      <c r="BH64" s="976" t="n">
        <v>8.399999999999999</v>
      </c>
      <c r="BI64" s="975" t="n">
        <v>268</v>
      </c>
      <c r="BJ64" s="976" t="n">
        <v>46.9</v>
      </c>
      <c r="BK64" s="975" t="n">
        <v>520</v>
      </c>
      <c r="BL64" s="976" t="n">
        <v>91</v>
      </c>
      <c r="BM64" s="975" t="n">
        <v>526</v>
      </c>
      <c r="BN64" s="976" t="n">
        <v>92.05</v>
      </c>
      <c r="BO64" s="975" t="n">
        <v>234</v>
      </c>
      <c r="BP64" s="976" t="n">
        <v>40.95</v>
      </c>
      <c r="BQ64" s="975" t="n">
        <v>437</v>
      </c>
      <c r="BR64" s="976" t="n">
        <v>76.47499999999999</v>
      </c>
      <c r="BS64" s="975" t="n">
        <v>118</v>
      </c>
      <c r="BT64" s="976" t="n">
        <v>20.65</v>
      </c>
      <c r="BU64" s="975" t="n">
        <v>612</v>
      </c>
      <c r="BV64" s="976" t="n">
        <v>107.1</v>
      </c>
      <c r="BW64" s="975" t="n">
        <v>294</v>
      </c>
      <c r="BX64" s="976" t="n">
        <v>51.45</v>
      </c>
      <c r="BY64" s="975" t="n">
        <v>237</v>
      </c>
      <c r="BZ64" s="976" t="n">
        <v>41.47499999999999</v>
      </c>
      <c r="CA64" s="975" t="n">
        <v>258</v>
      </c>
      <c r="CB64" s="976" t="n">
        <v>45.15</v>
      </c>
      <c r="CC64" s="975" t="n">
        <v>12</v>
      </c>
      <c r="CD64" s="976" t="n">
        <v>2.1</v>
      </c>
      <c r="CE64" s="979">
        <f>(BG64+BI64+BK64+BM64+BO64+BQ64+BS64+BU64+BW64+BY64+CA64)/11</f>
        <v/>
      </c>
      <c r="CF64" s="976">
        <f>(BH64+BJ64+BL64+BN64+BP64+BR64+BT64+BV64+BX64+BZ64+CB64)/11</f>
        <v/>
      </c>
      <c r="CG64" s="977" t="n">
        <v>297</v>
      </c>
      <c r="CH64" s="978" t="n">
        <v>51.97499999999999</v>
      </c>
      <c r="CI64" s="15" t="n"/>
      <c r="CJ64" s="15" t="n"/>
      <c r="CK64" s="982" t="n">
        <v>240</v>
      </c>
      <c r="CL64" s="976" t="n">
        <v>42</v>
      </c>
      <c r="CM64" s="982" t="n">
        <v>30</v>
      </c>
      <c r="CN64" s="15" t="n">
        <v>5.25</v>
      </c>
      <c r="CO64" s="982" t="n"/>
      <c r="CP64" s="15" t="n">
        <v>0</v>
      </c>
      <c r="CQ64" s="982" t="n">
        <v>22</v>
      </c>
      <c r="CR64" s="15" t="n">
        <v>3.85</v>
      </c>
      <c r="CS64" s="982" t="n">
        <v>211</v>
      </c>
      <c r="CT64" s="15" t="n">
        <v>36.925</v>
      </c>
      <c r="CU64" s="982" t="n"/>
      <c r="CV64" s="15" t="n">
        <v>0</v>
      </c>
      <c r="CW64" s="982" t="n"/>
      <c r="CX64" s="15" t="n">
        <v>0</v>
      </c>
      <c r="CY64" s="982" t="n"/>
      <c r="CZ64" s="15" t="n">
        <v>0</v>
      </c>
      <c r="DA64" s="982" t="n"/>
      <c r="DB64" s="15" t="n">
        <v>0</v>
      </c>
      <c r="DC64" s="982" t="n"/>
      <c r="DD64" s="15" t="n">
        <v>0</v>
      </c>
      <c r="DE64" s="982" t="n"/>
      <c r="DF64" s="15" t="n">
        <v>0</v>
      </c>
      <c r="DG64" s="982" t="n"/>
      <c r="DH64" s="15" t="n">
        <v>0</v>
      </c>
      <c r="DI64" s="983">
        <f>CK64+CM64+CO64+CQ64+CS64+CU64+CW64+CY64+DA64+DC64+DE64+DG64</f>
        <v/>
      </c>
      <c r="DJ64" s="983">
        <f>CL64+CN64+CP64+CR64+CT64+CV64+CX64+CZ64+DB64+DD64+DF64+DH64</f>
        <v/>
      </c>
      <c r="DK64" s="983" t="n"/>
      <c r="DL64" s="983" t="n"/>
      <c r="DM64" s="985">
        <f>DI64/11</f>
        <v/>
      </c>
      <c r="DN64" s="1129">
        <f>DJ64/11</f>
        <v/>
      </c>
      <c r="DO64" s="69">
        <f>DN64/$DN$57%</f>
        <v/>
      </c>
      <c r="DP64" s="982" t="n">
        <v>240</v>
      </c>
      <c r="DQ64" s="976" t="n">
        <v>42</v>
      </c>
      <c r="DR64" s="982" t="n">
        <v>30</v>
      </c>
      <c r="DS64" s="15" t="n">
        <v>5.25</v>
      </c>
      <c r="DT64" s="982" t="n"/>
      <c r="DU64" s="15" t="n">
        <v>0</v>
      </c>
      <c r="DV64" s="982" t="n">
        <v>22</v>
      </c>
      <c r="DW64" s="15" t="n">
        <v>3.85</v>
      </c>
      <c r="DX64" s="982" t="n">
        <v>211</v>
      </c>
      <c r="DY64" s="15" t="n">
        <v>36.925</v>
      </c>
      <c r="DZ64" s="982" t="n"/>
      <c r="EA64" s="15" t="n">
        <v>0</v>
      </c>
      <c r="EB64" s="982" t="n"/>
      <c r="EC64" s="15" t="n">
        <v>0</v>
      </c>
      <c r="ED64" s="982" t="n"/>
      <c r="EE64" s="15" t="n">
        <v>0</v>
      </c>
      <c r="EF64" s="982" t="n"/>
      <c r="EG64" s="15" t="n">
        <v>0</v>
      </c>
      <c r="EH64" s="982" t="n"/>
      <c r="EI64" s="15" t="n">
        <v>0</v>
      </c>
      <c r="EJ64" s="982" t="n"/>
      <c r="EK64" s="15" t="n">
        <v>0</v>
      </c>
      <c r="EL64" s="982" t="n"/>
      <c r="EM64" s="15" t="n">
        <v>0</v>
      </c>
      <c r="EN64" s="983">
        <f>DP64+DR64+DT64+DV64+DX64+DZ64+EB64+ED64+EF64+EH64+EJ64+EL64</f>
        <v/>
      </c>
      <c r="EO64" s="983">
        <f>DQ64+DS64+DU64+DW64+DY64+EA64+EC64+EE64+EG64+EI64+EK64+EM64</f>
        <v/>
      </c>
      <c r="EP64" s="985">
        <f>EN64/11</f>
        <v/>
      </c>
      <c r="EQ64" s="1129">
        <f>EO64/11</f>
        <v/>
      </c>
      <c r="ER64" s="1160" t="n"/>
      <c r="ES64" s="88" t="n">
        <v>0</v>
      </c>
      <c r="ET64" s="1005" t="n">
        <v>-100</v>
      </c>
      <c r="EU64" s="1005" t="n">
        <v>-100</v>
      </c>
      <c r="EZ64" s="986">
        <f>EY64*11</f>
        <v/>
      </c>
    </row>
    <row r="65" hidden="1">
      <c r="A65" s="7" t="n">
        <v>115</v>
      </c>
      <c r="B65" s="8" t="inlineStr">
        <is>
          <t>Ngwe Taung 700ml</t>
        </is>
      </c>
      <c r="C65" s="8" t="inlineStr">
        <is>
          <t>ပုလင်း</t>
        </is>
      </c>
      <c r="D65" s="7" t="n">
        <v>0.7</v>
      </c>
      <c r="E65" s="7" t="inlineStr">
        <is>
          <t>1 * 12</t>
        </is>
      </c>
      <c r="F65" s="7" t="n"/>
      <c r="G65" s="975" t="n">
        <v>10</v>
      </c>
      <c r="H65" s="976" t="n">
        <v>7</v>
      </c>
      <c r="I65" s="975" t="n"/>
      <c r="J65" s="976" t="n">
        <v>0</v>
      </c>
      <c r="K65" s="975" t="n">
        <v>60</v>
      </c>
      <c r="L65" s="976" t="n">
        <v>42</v>
      </c>
      <c r="M65" s="975" t="n">
        <v>60</v>
      </c>
      <c r="N65" s="976" t="n">
        <v>42</v>
      </c>
      <c r="O65" s="975" t="n"/>
      <c r="P65" s="976" t="n">
        <v>0</v>
      </c>
      <c r="Q65" s="975" t="n">
        <v>60</v>
      </c>
      <c r="R65" s="976" t="n">
        <v>42</v>
      </c>
      <c r="S65" s="975" t="n">
        <v>38</v>
      </c>
      <c r="T65" s="976" t="n">
        <v>26.6</v>
      </c>
      <c r="U65" s="975" t="n">
        <v>180</v>
      </c>
      <c r="V65" s="976" t="n">
        <v>126</v>
      </c>
      <c r="W65" s="975" t="n"/>
      <c r="X65" s="976" t="n">
        <v>0</v>
      </c>
      <c r="Y65" s="975" t="n">
        <v>60</v>
      </c>
      <c r="Z65" s="976" t="n">
        <v>42</v>
      </c>
      <c r="AA65" s="975" t="n">
        <v>132</v>
      </c>
      <c r="AB65" s="976" t="n">
        <v>92.39999999999999</v>
      </c>
      <c r="AC65" s="975" t="n">
        <v>156</v>
      </c>
      <c r="AD65" s="976" t="n">
        <v>109.2</v>
      </c>
      <c r="AE65" s="977" t="n">
        <v>63</v>
      </c>
      <c r="AF65" s="978" t="n">
        <v>44.09999999999999</v>
      </c>
      <c r="AG65" s="975" t="n">
        <v>84</v>
      </c>
      <c r="AH65" s="976" t="n">
        <v>58.8</v>
      </c>
      <c r="AI65" s="975" t="n">
        <v>216</v>
      </c>
      <c r="AJ65" s="976" t="n">
        <v>151.2</v>
      </c>
      <c r="AK65" s="975" t="n">
        <v>36</v>
      </c>
      <c r="AL65" s="976" t="n">
        <v>25.2</v>
      </c>
      <c r="AM65" s="975" t="n">
        <v>96</v>
      </c>
      <c r="AN65" s="976" t="n">
        <v>67.19999999999999</v>
      </c>
      <c r="AO65" s="975" t="n">
        <v>96</v>
      </c>
      <c r="AP65" s="976" t="n">
        <v>67.19999999999999</v>
      </c>
      <c r="AQ65" s="975" t="n">
        <v>96</v>
      </c>
      <c r="AR65" s="976" t="n">
        <v>67.19999999999999</v>
      </c>
      <c r="AS65" s="975" t="n">
        <v>156</v>
      </c>
      <c r="AT65" s="976" t="n">
        <v>109.2</v>
      </c>
      <c r="AU65" s="975" t="n">
        <v>120</v>
      </c>
      <c r="AV65" s="976" t="n">
        <v>84</v>
      </c>
      <c r="AW65" s="975" t="n">
        <v>228</v>
      </c>
      <c r="AX65" s="976" t="n">
        <v>159.6</v>
      </c>
      <c r="AY65" s="975" t="n">
        <v>180</v>
      </c>
      <c r="AZ65" s="976" t="n">
        <v>126</v>
      </c>
      <c r="BA65" s="975" t="n">
        <v>216</v>
      </c>
      <c r="BB65" s="976" t="n">
        <v>151.2</v>
      </c>
      <c r="BC65" s="975" t="n">
        <v>540</v>
      </c>
      <c r="BD65" s="976" t="n">
        <v>378</v>
      </c>
      <c r="BE65" s="977" t="n">
        <v>172</v>
      </c>
      <c r="BF65" s="978" t="n">
        <v>120.4</v>
      </c>
      <c r="BG65" s="975" t="n">
        <v>240</v>
      </c>
      <c r="BH65" s="976" t="n">
        <v>168</v>
      </c>
      <c r="BI65" s="975" t="n">
        <v>228</v>
      </c>
      <c r="BJ65" s="976" t="n">
        <v>159.6</v>
      </c>
      <c r="BK65" s="975" t="n">
        <v>384</v>
      </c>
      <c r="BL65" s="976" t="n">
        <v>268.8</v>
      </c>
      <c r="BM65" s="975" t="n">
        <v>180</v>
      </c>
      <c r="BN65" s="976" t="n">
        <v>126</v>
      </c>
      <c r="BO65" s="975" t="n">
        <v>228</v>
      </c>
      <c r="BP65" s="976" t="n">
        <v>159.6</v>
      </c>
      <c r="BQ65" s="975" t="n">
        <v>144</v>
      </c>
      <c r="BR65" s="976" t="n">
        <v>100.8</v>
      </c>
      <c r="BS65" s="975" t="n">
        <v>504</v>
      </c>
      <c r="BT65" s="976" t="n">
        <v>352.8</v>
      </c>
      <c r="BU65" s="975" t="n">
        <v>408</v>
      </c>
      <c r="BV65" s="976" t="n">
        <v>285.6</v>
      </c>
      <c r="BW65" s="975" t="n"/>
      <c r="BX65" s="976" t="n">
        <v>0</v>
      </c>
      <c r="BY65" s="975" t="n"/>
      <c r="BZ65" s="976" t="n">
        <v>0</v>
      </c>
      <c r="CA65" s="975" t="n"/>
      <c r="CB65" s="976" t="n">
        <v>0</v>
      </c>
      <c r="CC65" s="975" t="n"/>
      <c r="CD65" s="976" t="n">
        <v>0</v>
      </c>
      <c r="CE65" s="979">
        <f>(BG65+BI65+BK65+BM65+BO65+BQ65+BS65+BU65+BW65+BY65+CA65)/11</f>
        <v/>
      </c>
      <c r="CF65" s="976">
        <f>(BH65+BJ65+BL65+BN65+BP65+BR65+BT65+BV65+BX65+BZ65+CB65)/11</f>
        <v/>
      </c>
      <c r="CG65" s="977" t="n">
        <v>193</v>
      </c>
      <c r="CH65" s="978" t="n">
        <v>135.1</v>
      </c>
      <c r="CI65" s="15" t="n"/>
      <c r="CJ65" s="15" t="n"/>
      <c r="CK65" s="982" t="n"/>
      <c r="CL65" s="976" t="n">
        <v>0</v>
      </c>
      <c r="CM65" s="982" t="n"/>
      <c r="CN65" s="15" t="n">
        <v>0</v>
      </c>
      <c r="CO65" s="982" t="n"/>
      <c r="CP65" s="15" t="n">
        <v>0</v>
      </c>
      <c r="CQ65" s="982" t="n"/>
      <c r="CR65" s="15" t="n">
        <v>0</v>
      </c>
      <c r="CS65" s="982" t="n"/>
      <c r="CT65" s="15" t="n">
        <v>0</v>
      </c>
      <c r="CU65" s="982" t="n"/>
      <c r="CV65" s="15" t="n">
        <v>0</v>
      </c>
      <c r="CW65" s="982" t="n"/>
      <c r="CX65" s="15" t="n">
        <v>0</v>
      </c>
      <c r="CY65" s="982" t="n"/>
      <c r="CZ65" s="15" t="n">
        <v>0</v>
      </c>
      <c r="DA65" s="982" t="n"/>
      <c r="DB65" s="15" t="n">
        <v>0</v>
      </c>
      <c r="DC65" s="982" t="n"/>
      <c r="DD65" s="15" t="n">
        <v>0</v>
      </c>
      <c r="DE65" s="982" t="n"/>
      <c r="DF65" s="15" t="n">
        <v>0</v>
      </c>
      <c r="DG65" s="982" t="n"/>
      <c r="DH65" s="15" t="n">
        <v>0</v>
      </c>
      <c r="DI65" s="983">
        <f>CK65+CM65+CO65+CQ65+CS65+CU65+CW65+CY65+DA65+DC65+DE65+DG65</f>
        <v/>
      </c>
      <c r="DJ65" s="983">
        <f>CL65+CN65+CP65+CR65+CT65+CV65+CX65+CZ65+DB65+DD65+DF65+DH65</f>
        <v/>
      </c>
      <c r="DK65" s="983" t="n"/>
      <c r="DL65" s="983" t="n"/>
      <c r="DM65" s="985">
        <f>DI65/11</f>
        <v/>
      </c>
      <c r="DN65" s="1129">
        <f>DJ65/11</f>
        <v/>
      </c>
      <c r="DO65" s="69">
        <f>DN65/$DN$57%</f>
        <v/>
      </c>
      <c r="DP65" s="982" t="n"/>
      <c r="DQ65" s="976" t="n">
        <v>0</v>
      </c>
      <c r="DR65" s="982" t="n"/>
      <c r="DS65" s="15" t="n">
        <v>0</v>
      </c>
      <c r="DT65" s="982" t="n"/>
      <c r="DU65" s="15" t="n">
        <v>0</v>
      </c>
      <c r="DV65" s="982" t="n"/>
      <c r="DW65" s="15" t="n">
        <v>0</v>
      </c>
      <c r="DX65" s="982" t="n"/>
      <c r="DY65" s="15" t="n">
        <v>0</v>
      </c>
      <c r="DZ65" s="982" t="n"/>
      <c r="EA65" s="15" t="n">
        <v>0</v>
      </c>
      <c r="EB65" s="982" t="n"/>
      <c r="EC65" s="15" t="n">
        <v>0</v>
      </c>
      <c r="ED65" s="982" t="n"/>
      <c r="EE65" s="15" t="n">
        <v>0</v>
      </c>
      <c r="EF65" s="982" t="n"/>
      <c r="EG65" s="15" t="n">
        <v>0</v>
      </c>
      <c r="EH65" s="982" t="n"/>
      <c r="EI65" s="15" t="n">
        <v>0</v>
      </c>
      <c r="EJ65" s="982" t="n"/>
      <c r="EK65" s="15" t="n">
        <v>0</v>
      </c>
      <c r="EL65" s="982" t="n"/>
      <c r="EM65" s="15" t="n">
        <v>0</v>
      </c>
      <c r="EN65" s="983">
        <f>DP65+DR65+DT65+DV65+DX65+DZ65+EB65+ED65+EF65+EH65+EJ65+EL65</f>
        <v/>
      </c>
      <c r="EO65" s="983">
        <f>DQ65+DS65+DU65+DW65+DY65+EA65+EC65+EE65+EG65+EI65+EK65+EM65</f>
        <v/>
      </c>
      <c r="EP65" s="985">
        <f>EN65/11</f>
        <v/>
      </c>
      <c r="EQ65" s="1129">
        <f>EO65/11</f>
        <v/>
      </c>
      <c r="ER65" s="1160" t="n"/>
      <c r="ES65" s="88" t="n">
        <v>0</v>
      </c>
      <c r="ET65" s="1005" t="n">
        <v>-100</v>
      </c>
      <c r="EU65" s="1005" t="n">
        <v>-100</v>
      </c>
      <c r="EZ65" s="986">
        <f>EY65*11</f>
        <v/>
      </c>
    </row>
    <row r="66" hidden="1">
      <c r="A66" s="7" t="n">
        <v>116</v>
      </c>
      <c r="B66" s="8" t="inlineStr">
        <is>
          <t>Blended Whisky 700ml</t>
        </is>
      </c>
      <c r="C66" s="8" t="inlineStr">
        <is>
          <t>ပုလင်း</t>
        </is>
      </c>
      <c r="D66" s="7" t="n">
        <v>0.7</v>
      </c>
      <c r="E66" s="7" t="inlineStr">
        <is>
          <t>1 * 12</t>
        </is>
      </c>
      <c r="F66" s="7" t="n"/>
      <c r="G66" s="975" t="n"/>
      <c r="H66" s="976" t="n">
        <v>0</v>
      </c>
      <c r="I66" s="975" t="n"/>
      <c r="J66" s="976" t="n">
        <v>0</v>
      </c>
      <c r="K66" s="975" t="n"/>
      <c r="L66" s="976" t="n">
        <v>0</v>
      </c>
      <c r="M66" s="975" t="n"/>
      <c r="N66" s="976" t="n">
        <v>0</v>
      </c>
      <c r="O66" s="975" t="n"/>
      <c r="P66" s="976" t="n">
        <v>0</v>
      </c>
      <c r="Q66" s="975" t="n"/>
      <c r="R66" s="976" t="n">
        <v>0</v>
      </c>
      <c r="S66" s="975" t="n"/>
      <c r="T66" s="976" t="n">
        <v>0</v>
      </c>
      <c r="U66" s="975" t="n"/>
      <c r="V66" s="976" t="n">
        <v>0</v>
      </c>
      <c r="W66" s="975" t="n"/>
      <c r="X66" s="976" t="n">
        <v>0</v>
      </c>
      <c r="Y66" s="975" t="n"/>
      <c r="Z66" s="976" t="n">
        <v>0</v>
      </c>
      <c r="AA66" s="975" t="n"/>
      <c r="AB66" s="976" t="n">
        <v>0</v>
      </c>
      <c r="AC66" s="975" t="n"/>
      <c r="AD66" s="976" t="n">
        <v>0</v>
      </c>
      <c r="AE66" s="977" t="n">
        <v>0</v>
      </c>
      <c r="AF66" s="978" t="n">
        <v>0</v>
      </c>
      <c r="AG66" s="975" t="n"/>
      <c r="AH66" s="976" t="n">
        <v>0</v>
      </c>
      <c r="AI66" s="975" t="n"/>
      <c r="AJ66" s="976" t="n">
        <v>0</v>
      </c>
      <c r="AK66" s="975" t="n"/>
      <c r="AL66" s="976" t="n">
        <v>0</v>
      </c>
      <c r="AM66" s="975" t="n"/>
      <c r="AN66" s="976" t="n">
        <v>0</v>
      </c>
      <c r="AO66" s="975" t="n"/>
      <c r="AP66" s="976" t="n">
        <v>0</v>
      </c>
      <c r="AQ66" s="975" t="n"/>
      <c r="AR66" s="976" t="n">
        <v>0</v>
      </c>
      <c r="AS66" s="975" t="n"/>
      <c r="AT66" s="976" t="n">
        <v>0</v>
      </c>
      <c r="AU66" s="975" t="n"/>
      <c r="AV66" s="976" t="n">
        <v>0</v>
      </c>
      <c r="AW66" s="975" t="n"/>
      <c r="AX66" s="976" t="n">
        <v>0</v>
      </c>
      <c r="AY66" s="975" t="n"/>
      <c r="AZ66" s="976" t="n">
        <v>0</v>
      </c>
      <c r="BA66" s="975" t="n"/>
      <c r="BB66" s="976" t="n">
        <v>0</v>
      </c>
      <c r="BC66" s="975" t="n"/>
      <c r="BD66" s="976" t="n">
        <v>0</v>
      </c>
      <c r="BE66" s="977" t="n">
        <v>0</v>
      </c>
      <c r="BF66" s="978" t="n">
        <v>0</v>
      </c>
      <c r="BG66" s="975" t="n"/>
      <c r="BH66" s="976" t="n">
        <v>0</v>
      </c>
      <c r="BI66" s="975" t="n"/>
      <c r="BJ66" s="976" t="n">
        <v>0</v>
      </c>
      <c r="BK66" s="975" t="n"/>
      <c r="BL66" s="976" t="n">
        <v>0</v>
      </c>
      <c r="BM66" s="975" t="n"/>
      <c r="BN66" s="976" t="n">
        <v>0</v>
      </c>
      <c r="BO66" s="975" t="n"/>
      <c r="BP66" s="976" t="n">
        <v>0</v>
      </c>
      <c r="BQ66" s="975" t="n"/>
      <c r="BR66" s="976" t="n">
        <v>0</v>
      </c>
      <c r="BS66" s="975" t="n"/>
      <c r="BT66" s="976" t="n">
        <v>0</v>
      </c>
      <c r="BU66" s="975" t="n"/>
      <c r="BV66" s="976" t="n">
        <v>0</v>
      </c>
      <c r="BW66" s="975" t="n"/>
      <c r="BX66" s="976" t="n">
        <v>0</v>
      </c>
      <c r="BY66" s="975" t="n"/>
      <c r="BZ66" s="976" t="n">
        <v>0</v>
      </c>
      <c r="CA66" s="975" t="n"/>
      <c r="CB66" s="976" t="n">
        <v>0</v>
      </c>
      <c r="CC66" s="975" t="n"/>
      <c r="CD66" s="976" t="n">
        <v>0</v>
      </c>
      <c r="CE66" s="979">
        <f>(BG66+BI66+BK66+BM66+BO66+BQ66+BS66+BU66+BW66+BY66+CA66)/11</f>
        <v/>
      </c>
      <c r="CF66" s="976">
        <f>(BH66+BJ66+BL66+BN66+BP66+BR66+BT66+BV66+BX66+BZ66+CB66)/11</f>
        <v/>
      </c>
      <c r="CG66" s="977" t="n">
        <v>0</v>
      </c>
      <c r="CH66" s="978" t="n">
        <v>0</v>
      </c>
      <c r="CI66" s="15" t="n"/>
      <c r="CJ66" s="15" t="n"/>
      <c r="CK66" s="982" t="n"/>
      <c r="CL66" s="976" t="n">
        <v>0</v>
      </c>
      <c r="CM66" s="982" t="n"/>
      <c r="CN66" s="15" t="n">
        <v>0</v>
      </c>
      <c r="CO66" s="982" t="n"/>
      <c r="CP66" s="15" t="n">
        <v>0</v>
      </c>
      <c r="CQ66" s="982" t="n"/>
      <c r="CR66" s="15" t="n">
        <v>0</v>
      </c>
      <c r="CS66" s="982" t="n"/>
      <c r="CT66" s="15" t="n">
        <v>0</v>
      </c>
      <c r="CU66" s="982" t="n"/>
      <c r="CV66" s="15" t="n">
        <v>0</v>
      </c>
      <c r="CW66" s="982" t="n"/>
      <c r="CX66" s="15" t="n">
        <v>0</v>
      </c>
      <c r="CY66" s="982" t="n"/>
      <c r="CZ66" s="15" t="n">
        <v>0</v>
      </c>
      <c r="DA66" s="982" t="n"/>
      <c r="DB66" s="15" t="n">
        <v>0</v>
      </c>
      <c r="DC66" s="982" t="n"/>
      <c r="DD66" s="15" t="n">
        <v>0</v>
      </c>
      <c r="DE66" s="982" t="n"/>
      <c r="DF66" s="15" t="n">
        <v>0</v>
      </c>
      <c r="DG66" s="982" t="n"/>
      <c r="DH66" s="15" t="n">
        <v>0</v>
      </c>
      <c r="DI66" s="983">
        <f>CK66+CM66+CO66+CQ66+CS66+CU66+CW66+CY66+DA66+DC66+DE66+DG66</f>
        <v/>
      </c>
      <c r="DJ66" s="983">
        <f>CL66+CN66+CP66+CR66+CT66+CV66+CX66+CZ66+DB66+DD66+DF66+DH66</f>
        <v/>
      </c>
      <c r="DK66" s="983" t="n"/>
      <c r="DL66" s="983" t="n"/>
      <c r="DM66" s="985">
        <f>DI66/11</f>
        <v/>
      </c>
      <c r="DN66" s="1129">
        <f>DJ66/11</f>
        <v/>
      </c>
      <c r="DO66" s="69">
        <f>DN66/$DN$57%</f>
        <v/>
      </c>
      <c r="DP66" s="982" t="n"/>
      <c r="DQ66" s="976" t="n">
        <v>0</v>
      </c>
      <c r="DR66" s="982" t="n"/>
      <c r="DS66" s="15" t="n">
        <v>0</v>
      </c>
      <c r="DT66" s="982" t="n"/>
      <c r="DU66" s="15" t="n">
        <v>0</v>
      </c>
      <c r="DV66" s="982" t="n"/>
      <c r="DW66" s="15" t="n">
        <v>0</v>
      </c>
      <c r="DX66" s="982" t="n"/>
      <c r="DY66" s="15" t="n">
        <v>0</v>
      </c>
      <c r="DZ66" s="982" t="n"/>
      <c r="EA66" s="15" t="n">
        <v>0</v>
      </c>
      <c r="EB66" s="982" t="n"/>
      <c r="EC66" s="15" t="n">
        <v>0</v>
      </c>
      <c r="ED66" s="982" t="n"/>
      <c r="EE66" s="15" t="n">
        <v>0</v>
      </c>
      <c r="EF66" s="982" t="n"/>
      <c r="EG66" s="15" t="n">
        <v>0</v>
      </c>
      <c r="EH66" s="982" t="n"/>
      <c r="EI66" s="15" t="n">
        <v>0</v>
      </c>
      <c r="EJ66" s="982" t="n"/>
      <c r="EK66" s="15" t="n">
        <v>0</v>
      </c>
      <c r="EL66" s="982" t="n"/>
      <c r="EM66" s="15" t="n">
        <v>0</v>
      </c>
      <c r="EN66" s="983">
        <f>DP66+DR66+DT66+DV66+DX66+DZ66+EB66+ED66+EF66+EH66+EJ66+EL66</f>
        <v/>
      </c>
      <c r="EO66" s="983">
        <f>DQ66+DS66+DU66+DW66+DY66+EA66+EC66+EE66+EG66+EI66+EK66+EM66</f>
        <v/>
      </c>
      <c r="EP66" s="985">
        <f>EN66/11</f>
        <v/>
      </c>
      <c r="EQ66" s="1129">
        <f>EO66/11</f>
        <v/>
      </c>
      <c r="ER66" s="1160" t="n"/>
      <c r="ES66" s="88" t="n">
        <v>0</v>
      </c>
      <c r="ET66" s="1005" t="e">
        <v>#DIV/0!</v>
      </c>
      <c r="EU66" s="1005" t="e">
        <v>#DIV/0!</v>
      </c>
      <c r="EZ66" s="986">
        <f>EY66*11</f>
        <v/>
      </c>
    </row>
    <row r="67" hidden="1">
      <c r="A67" s="7" t="n">
        <v>117</v>
      </c>
      <c r="B67" s="8" t="inlineStr">
        <is>
          <t>Blended Whisky 350ml</t>
        </is>
      </c>
      <c r="C67" s="8" t="inlineStr">
        <is>
          <t>ပုလင်း</t>
        </is>
      </c>
      <c r="D67" s="7" t="n">
        <v>0.35</v>
      </c>
      <c r="E67" s="7" t="inlineStr">
        <is>
          <t>1 * 24</t>
        </is>
      </c>
      <c r="F67" s="7" t="n"/>
      <c r="G67" s="975" t="n"/>
      <c r="H67" s="976" t="n">
        <v>0</v>
      </c>
      <c r="I67" s="975" t="n"/>
      <c r="J67" s="976" t="n">
        <v>0</v>
      </c>
      <c r="K67" s="975" t="n"/>
      <c r="L67" s="976" t="n">
        <v>0</v>
      </c>
      <c r="M67" s="975" t="n"/>
      <c r="N67" s="976" t="n">
        <v>0</v>
      </c>
      <c r="O67" s="975" t="n"/>
      <c r="P67" s="976" t="n">
        <v>0</v>
      </c>
      <c r="Q67" s="975" t="n"/>
      <c r="R67" s="976" t="n">
        <v>0</v>
      </c>
      <c r="S67" s="975" t="n"/>
      <c r="T67" s="976" t="n">
        <v>0</v>
      </c>
      <c r="U67" s="975" t="n"/>
      <c r="V67" s="976" t="n">
        <v>0</v>
      </c>
      <c r="W67" s="975" t="n"/>
      <c r="X67" s="976" t="n">
        <v>0</v>
      </c>
      <c r="Y67" s="975" t="n"/>
      <c r="Z67" s="976" t="n">
        <v>0</v>
      </c>
      <c r="AA67" s="975" t="n"/>
      <c r="AB67" s="976" t="n">
        <v>0</v>
      </c>
      <c r="AC67" s="975" t="n"/>
      <c r="AD67" s="976" t="n">
        <v>0</v>
      </c>
      <c r="AE67" s="977" t="n">
        <v>0</v>
      </c>
      <c r="AF67" s="978" t="n">
        <v>0</v>
      </c>
      <c r="AG67" s="975" t="n"/>
      <c r="AH67" s="976" t="n">
        <v>0</v>
      </c>
      <c r="AI67" s="975" t="n"/>
      <c r="AJ67" s="976" t="n">
        <v>0</v>
      </c>
      <c r="AK67" s="975" t="n"/>
      <c r="AL67" s="976" t="n">
        <v>0</v>
      </c>
      <c r="AM67" s="975" t="n"/>
      <c r="AN67" s="976" t="n">
        <v>0</v>
      </c>
      <c r="AO67" s="975" t="n"/>
      <c r="AP67" s="976" t="n">
        <v>0</v>
      </c>
      <c r="AQ67" s="975" t="n"/>
      <c r="AR67" s="976" t="n">
        <v>0</v>
      </c>
      <c r="AS67" s="975" t="n"/>
      <c r="AT67" s="976" t="n">
        <v>0</v>
      </c>
      <c r="AU67" s="975" t="n"/>
      <c r="AV67" s="976" t="n">
        <v>0</v>
      </c>
      <c r="AW67" s="975" t="n"/>
      <c r="AX67" s="976" t="n">
        <v>0</v>
      </c>
      <c r="AY67" s="975" t="n"/>
      <c r="AZ67" s="976" t="n">
        <v>0</v>
      </c>
      <c r="BA67" s="975" t="n"/>
      <c r="BB67" s="976" t="n">
        <v>0</v>
      </c>
      <c r="BC67" s="975" t="n"/>
      <c r="BD67" s="976" t="n">
        <v>0</v>
      </c>
      <c r="BE67" s="977" t="n">
        <v>0</v>
      </c>
      <c r="BF67" s="978" t="n">
        <v>0</v>
      </c>
      <c r="BG67" s="975" t="n"/>
      <c r="BH67" s="976" t="n">
        <v>0</v>
      </c>
      <c r="BI67" s="975" t="n"/>
      <c r="BJ67" s="976" t="n">
        <v>0</v>
      </c>
      <c r="BK67" s="975" t="n"/>
      <c r="BL67" s="976" t="n">
        <v>0</v>
      </c>
      <c r="BM67" s="975" t="n"/>
      <c r="BN67" s="976" t="n">
        <v>0</v>
      </c>
      <c r="BO67" s="975" t="n"/>
      <c r="BP67" s="976" t="n">
        <v>0</v>
      </c>
      <c r="BQ67" s="975" t="n"/>
      <c r="BR67" s="976" t="n">
        <v>0</v>
      </c>
      <c r="BS67" s="975" t="n"/>
      <c r="BT67" s="976" t="n">
        <v>0</v>
      </c>
      <c r="BU67" s="975" t="n"/>
      <c r="BV67" s="976" t="n">
        <v>0</v>
      </c>
      <c r="BW67" s="975" t="n"/>
      <c r="BX67" s="976" t="n">
        <v>0</v>
      </c>
      <c r="BY67" s="975" t="n"/>
      <c r="BZ67" s="976" t="n">
        <v>0</v>
      </c>
      <c r="CA67" s="975" t="n"/>
      <c r="CB67" s="976" t="n">
        <v>0</v>
      </c>
      <c r="CC67" s="975" t="n"/>
      <c r="CD67" s="976" t="n">
        <v>0</v>
      </c>
      <c r="CE67" s="979">
        <f>(BG67+BI67+BK67+BM67+BO67+BQ67+BS67+BU67+BW67+BY67+CA67)/11</f>
        <v/>
      </c>
      <c r="CF67" s="976">
        <f>(BH67+BJ67+BL67+BN67+BP67+BR67+BT67+BV67+BX67+BZ67+CB67)/11</f>
        <v/>
      </c>
      <c r="CG67" s="977" t="n">
        <v>0</v>
      </c>
      <c r="CH67" s="978" t="n">
        <v>0</v>
      </c>
      <c r="CI67" s="15" t="n"/>
      <c r="CJ67" s="15" t="n"/>
      <c r="CK67" s="982" t="n"/>
      <c r="CL67" s="976" t="n">
        <v>0</v>
      </c>
      <c r="CM67" s="982" t="n"/>
      <c r="CN67" s="15" t="n">
        <v>0</v>
      </c>
      <c r="CO67" s="982" t="n"/>
      <c r="CP67" s="15" t="n">
        <v>0</v>
      </c>
      <c r="CQ67" s="982" t="n"/>
      <c r="CR67" s="15" t="n">
        <v>0</v>
      </c>
      <c r="CS67" s="982" t="n"/>
      <c r="CT67" s="15" t="n">
        <v>0</v>
      </c>
      <c r="CU67" s="982" t="n"/>
      <c r="CV67" s="15" t="n">
        <v>0</v>
      </c>
      <c r="CW67" s="982" t="n"/>
      <c r="CX67" s="15" t="n">
        <v>0</v>
      </c>
      <c r="CY67" s="982" t="n"/>
      <c r="CZ67" s="15" t="n">
        <v>0</v>
      </c>
      <c r="DA67" s="982" t="n"/>
      <c r="DB67" s="15" t="n">
        <v>0</v>
      </c>
      <c r="DC67" s="982" t="n"/>
      <c r="DD67" s="15" t="n">
        <v>0</v>
      </c>
      <c r="DE67" s="982" t="n"/>
      <c r="DF67" s="15" t="n">
        <v>0</v>
      </c>
      <c r="DG67" s="982" t="n"/>
      <c r="DH67" s="15" t="n">
        <v>0</v>
      </c>
      <c r="DI67" s="983">
        <f>CK67+CM67+CO67+CQ67+CS67+CU67+CW67+CY67+DA67+DC67+DE67+DG67</f>
        <v/>
      </c>
      <c r="DJ67" s="983">
        <f>CL67+CN67+CP67+CR67+CT67+CV67+CX67+CZ67+DB67+DD67+DF67+DH67</f>
        <v/>
      </c>
      <c r="DK67" s="983" t="n"/>
      <c r="DL67" s="983" t="n"/>
      <c r="DM67" s="985">
        <f>DI67/11</f>
        <v/>
      </c>
      <c r="DN67" s="1129">
        <f>DJ67/11</f>
        <v/>
      </c>
      <c r="DO67" s="69">
        <f>DN67/$DN$57%</f>
        <v/>
      </c>
      <c r="DP67" s="982" t="n"/>
      <c r="DQ67" s="976" t="n">
        <v>0</v>
      </c>
      <c r="DR67" s="982" t="n"/>
      <c r="DS67" s="15" t="n">
        <v>0</v>
      </c>
      <c r="DT67" s="982" t="n"/>
      <c r="DU67" s="15" t="n">
        <v>0</v>
      </c>
      <c r="DV67" s="982" t="n"/>
      <c r="DW67" s="15" t="n">
        <v>0</v>
      </c>
      <c r="DX67" s="982" t="n"/>
      <c r="DY67" s="15" t="n">
        <v>0</v>
      </c>
      <c r="DZ67" s="982" t="n"/>
      <c r="EA67" s="15" t="n">
        <v>0</v>
      </c>
      <c r="EB67" s="982" t="n"/>
      <c r="EC67" s="15" t="n">
        <v>0</v>
      </c>
      <c r="ED67" s="982" t="n"/>
      <c r="EE67" s="15" t="n">
        <v>0</v>
      </c>
      <c r="EF67" s="982" t="n"/>
      <c r="EG67" s="15" t="n">
        <v>0</v>
      </c>
      <c r="EH67" s="982" t="n"/>
      <c r="EI67" s="15" t="n">
        <v>0</v>
      </c>
      <c r="EJ67" s="982" t="n"/>
      <c r="EK67" s="15" t="n">
        <v>0</v>
      </c>
      <c r="EL67" s="982" t="n"/>
      <c r="EM67" s="15" t="n">
        <v>0</v>
      </c>
      <c r="EN67" s="983">
        <f>DP67+DR67+DT67+DV67+DX67+DZ67+EB67+ED67+EF67+EH67+EJ67+EL67</f>
        <v/>
      </c>
      <c r="EO67" s="983">
        <f>DQ67+DS67+DU67+DW67+DY67+EA67+EC67+EE67+EG67+EI67+EK67+EM67</f>
        <v/>
      </c>
      <c r="EP67" s="985">
        <f>EN67/11</f>
        <v/>
      </c>
      <c r="EQ67" s="1129">
        <f>EO67/11</f>
        <v/>
      </c>
      <c r="ER67" s="1160" t="n"/>
      <c r="ES67" s="88" t="n">
        <v>0</v>
      </c>
      <c r="ET67" s="1005" t="e">
        <v>#DIV/0!</v>
      </c>
      <c r="EU67" s="1005" t="e">
        <v>#DIV/0!</v>
      </c>
      <c r="EZ67" s="986">
        <f>EY67*11</f>
        <v/>
      </c>
    </row>
    <row r="68" hidden="1">
      <c r="A68" s="7" t="n">
        <v>118</v>
      </c>
      <c r="B68" s="8" t="inlineStr">
        <is>
          <t>Simple Whisky 700 ML</t>
        </is>
      </c>
      <c r="C68" s="8" t="inlineStr">
        <is>
          <t>ပုလင်း</t>
        </is>
      </c>
      <c r="D68" s="7" t="n">
        <v>0.7</v>
      </c>
      <c r="E68" s="7" t="inlineStr">
        <is>
          <t>1 * 12</t>
        </is>
      </c>
      <c r="F68" s="7" t="n"/>
      <c r="G68" s="975" t="n"/>
      <c r="H68" s="976" t="n">
        <v>0</v>
      </c>
      <c r="I68" s="975" t="n"/>
      <c r="J68" s="976" t="n">
        <v>0</v>
      </c>
      <c r="K68" s="975" t="n"/>
      <c r="L68" s="976" t="n">
        <v>0</v>
      </c>
      <c r="M68" s="975" t="n"/>
      <c r="N68" s="976" t="n">
        <v>0</v>
      </c>
      <c r="O68" s="975" t="n"/>
      <c r="P68" s="976" t="n">
        <v>0</v>
      </c>
      <c r="Q68" s="975" t="n"/>
      <c r="R68" s="976" t="n">
        <v>0</v>
      </c>
      <c r="S68" s="975" t="n"/>
      <c r="T68" s="976" t="n">
        <v>0</v>
      </c>
      <c r="U68" s="975" t="n"/>
      <c r="V68" s="976" t="n">
        <v>0</v>
      </c>
      <c r="W68" s="975" t="n"/>
      <c r="X68" s="976" t="n">
        <v>0</v>
      </c>
      <c r="Y68" s="975" t="n"/>
      <c r="Z68" s="976" t="n">
        <v>0</v>
      </c>
      <c r="AA68" s="975" t="n"/>
      <c r="AB68" s="976" t="n">
        <v>0</v>
      </c>
      <c r="AC68" s="975" t="n"/>
      <c r="AD68" s="976" t="n">
        <v>0</v>
      </c>
      <c r="AE68" s="977" t="n">
        <v>0</v>
      </c>
      <c r="AF68" s="978" t="n">
        <v>0</v>
      </c>
      <c r="AG68" s="975" t="n"/>
      <c r="AH68" s="976" t="n">
        <v>0</v>
      </c>
      <c r="AI68" s="975" t="n"/>
      <c r="AJ68" s="976" t="n">
        <v>0</v>
      </c>
      <c r="AK68" s="975" t="n"/>
      <c r="AL68" s="976" t="n">
        <v>0</v>
      </c>
      <c r="AM68" s="975" t="n"/>
      <c r="AN68" s="976" t="n">
        <v>0</v>
      </c>
      <c r="AO68" s="975" t="n"/>
      <c r="AP68" s="976" t="n">
        <v>0</v>
      </c>
      <c r="AQ68" s="975" t="n"/>
      <c r="AR68" s="976" t="n">
        <v>0</v>
      </c>
      <c r="AS68" s="975" t="n"/>
      <c r="AT68" s="976" t="n">
        <v>0</v>
      </c>
      <c r="AU68" s="975" t="n"/>
      <c r="AV68" s="976" t="n">
        <v>0</v>
      </c>
      <c r="AW68" s="975" t="n"/>
      <c r="AX68" s="976" t="n">
        <v>0</v>
      </c>
      <c r="AY68" s="975" t="n"/>
      <c r="AZ68" s="976" t="n">
        <v>0</v>
      </c>
      <c r="BA68" s="975" t="n"/>
      <c r="BB68" s="976" t="n">
        <v>0</v>
      </c>
      <c r="BC68" s="975" t="n"/>
      <c r="BD68" s="976" t="n">
        <v>0</v>
      </c>
      <c r="BE68" s="977" t="n">
        <v>0</v>
      </c>
      <c r="BF68" s="978" t="n">
        <v>0</v>
      </c>
      <c r="BG68" s="975" t="n"/>
      <c r="BH68" s="976" t="n">
        <v>0</v>
      </c>
      <c r="BI68" s="975" t="n"/>
      <c r="BJ68" s="976" t="n">
        <v>0</v>
      </c>
      <c r="BK68" s="975" t="n"/>
      <c r="BL68" s="976" t="n">
        <v>0</v>
      </c>
      <c r="BM68" s="975" t="n"/>
      <c r="BN68" s="976" t="n">
        <v>0</v>
      </c>
      <c r="BO68" s="975" t="n"/>
      <c r="BP68" s="976" t="n">
        <v>0</v>
      </c>
      <c r="BQ68" s="975" t="n"/>
      <c r="BR68" s="976" t="n">
        <v>0</v>
      </c>
      <c r="BS68" s="975" t="n"/>
      <c r="BT68" s="976" t="n">
        <v>0</v>
      </c>
      <c r="BU68" s="975" t="n"/>
      <c r="BV68" s="976" t="n">
        <v>0</v>
      </c>
      <c r="BW68" s="975" t="n"/>
      <c r="BX68" s="976" t="n">
        <v>0</v>
      </c>
      <c r="BY68" s="975" t="n"/>
      <c r="BZ68" s="976" t="n">
        <v>0</v>
      </c>
      <c r="CA68" s="975" t="n">
        <v>9</v>
      </c>
      <c r="CB68" s="976" t="n">
        <v>6.3</v>
      </c>
      <c r="CC68" s="975" t="n"/>
      <c r="CD68" s="976" t="n">
        <v>0</v>
      </c>
      <c r="CE68" s="979">
        <f>(BG68+BI68+BK68+BM68+BO68+BQ68+BS68+BU68+BW68+BY68+CA68)/11</f>
        <v/>
      </c>
      <c r="CF68" s="976">
        <f>(BH68+BJ68+BL68+BN68+BP68+BR68+BT68+BV68+BX68+BZ68+CB68)/11</f>
        <v/>
      </c>
      <c r="CG68" s="977" t="n">
        <v>0.75</v>
      </c>
      <c r="CH68" s="978" t="n">
        <v>0.5249999999999999</v>
      </c>
      <c r="CI68" s="15" t="n"/>
      <c r="CJ68" s="15" t="n"/>
      <c r="CK68" s="982" t="n"/>
      <c r="CL68" s="976" t="n">
        <v>0</v>
      </c>
      <c r="CM68" s="982" t="n"/>
      <c r="CN68" s="15" t="n">
        <v>0</v>
      </c>
      <c r="CO68" s="982" t="n"/>
      <c r="CP68" s="15" t="n">
        <v>0</v>
      </c>
      <c r="CQ68" s="982" t="n"/>
      <c r="CR68" s="15" t="n">
        <v>0</v>
      </c>
      <c r="CS68" s="982" t="n"/>
      <c r="CT68" s="15" t="n">
        <v>0</v>
      </c>
      <c r="CU68" s="982" t="n"/>
      <c r="CV68" s="15" t="n">
        <v>0</v>
      </c>
      <c r="CW68" s="982" t="n"/>
      <c r="CX68" s="15" t="n">
        <v>0</v>
      </c>
      <c r="CY68" s="982" t="n"/>
      <c r="CZ68" s="15" t="n">
        <v>0</v>
      </c>
      <c r="DA68" s="982" t="n"/>
      <c r="DB68" s="15" t="n">
        <v>0</v>
      </c>
      <c r="DC68" s="982" t="n"/>
      <c r="DD68" s="15" t="n">
        <v>0</v>
      </c>
      <c r="DE68" s="982" t="n"/>
      <c r="DF68" s="15" t="n">
        <v>0</v>
      </c>
      <c r="DG68" s="982" t="n"/>
      <c r="DH68" s="15" t="n">
        <v>0</v>
      </c>
      <c r="DI68" s="983">
        <f>CK68+CM68+CO68+CQ68+CS68+CU68+CW68+CY68+DA68+DC68+DE68+DG68</f>
        <v/>
      </c>
      <c r="DJ68" s="983">
        <f>CL68+CN68+CP68+CR68+CT68+CV68+CX68+CZ68+DB68+DD68+DF68+DH68</f>
        <v/>
      </c>
      <c r="DK68" s="983" t="n"/>
      <c r="DL68" s="983" t="n"/>
      <c r="DM68" s="985">
        <f>DI68/11</f>
        <v/>
      </c>
      <c r="DN68" s="1129">
        <f>DJ68/11</f>
        <v/>
      </c>
      <c r="DO68" s="69">
        <f>DN68/$DN$57%</f>
        <v/>
      </c>
      <c r="DP68" s="982" t="n"/>
      <c r="DQ68" s="976" t="n">
        <v>0</v>
      </c>
      <c r="DR68" s="982" t="n"/>
      <c r="DS68" s="15" t="n">
        <v>0</v>
      </c>
      <c r="DT68" s="982" t="n"/>
      <c r="DU68" s="15" t="n">
        <v>0</v>
      </c>
      <c r="DV68" s="982" t="n"/>
      <c r="DW68" s="15" t="n">
        <v>0</v>
      </c>
      <c r="DX68" s="982" t="n"/>
      <c r="DY68" s="15" t="n">
        <v>0</v>
      </c>
      <c r="DZ68" s="982" t="n"/>
      <c r="EA68" s="15" t="n">
        <v>0</v>
      </c>
      <c r="EB68" s="982" t="n"/>
      <c r="EC68" s="15" t="n">
        <v>0</v>
      </c>
      <c r="ED68" s="982" t="n"/>
      <c r="EE68" s="15" t="n">
        <v>0</v>
      </c>
      <c r="EF68" s="982" t="n"/>
      <c r="EG68" s="15" t="n">
        <v>0</v>
      </c>
      <c r="EH68" s="982" t="n"/>
      <c r="EI68" s="15" t="n">
        <v>0</v>
      </c>
      <c r="EJ68" s="982" t="n"/>
      <c r="EK68" s="15" t="n">
        <v>0</v>
      </c>
      <c r="EL68" s="982" t="n"/>
      <c r="EM68" s="15" t="n">
        <v>0</v>
      </c>
      <c r="EN68" s="983">
        <f>DP68+DR68+DT68+DV68+DX68+DZ68+EB68+ED68+EF68+EH68+EJ68+EL68</f>
        <v/>
      </c>
      <c r="EO68" s="983">
        <f>DQ68+DS68+DU68+DW68+DY68+EA68+EC68+EE68+EG68+EI68+EK68+EM68</f>
        <v/>
      </c>
      <c r="EP68" s="985">
        <f>EN68/11</f>
        <v/>
      </c>
      <c r="EQ68" s="1129">
        <f>EO68/11</f>
        <v/>
      </c>
      <c r="ER68" s="1160" t="n"/>
      <c r="ES68" s="88" t="n">
        <v>0</v>
      </c>
      <c r="ET68" s="1005" t="e">
        <v>#DIV/0!</v>
      </c>
      <c r="EU68" s="1005" t="n">
        <v>-100</v>
      </c>
      <c r="EZ68" s="986">
        <f>EY68*11</f>
        <v/>
      </c>
    </row>
    <row r="69" hidden="1">
      <c r="A69" s="7" t="n">
        <v>119</v>
      </c>
      <c r="B69" s="8" t="inlineStr">
        <is>
          <t>Simple Whisky 350 ML</t>
        </is>
      </c>
      <c r="C69" s="8" t="inlineStr">
        <is>
          <t>ပုလင်း</t>
        </is>
      </c>
      <c r="D69" s="7" t="n">
        <v>0.35</v>
      </c>
      <c r="E69" s="7" t="inlineStr">
        <is>
          <t>1 * 24</t>
        </is>
      </c>
      <c r="F69" s="7" t="n"/>
      <c r="G69" s="975" t="n"/>
      <c r="H69" s="976" t="n">
        <v>0</v>
      </c>
      <c r="I69" s="975" t="n"/>
      <c r="J69" s="976" t="n">
        <v>0</v>
      </c>
      <c r="K69" s="975" t="n"/>
      <c r="L69" s="976" t="n">
        <v>0</v>
      </c>
      <c r="M69" s="975" t="n"/>
      <c r="N69" s="976" t="n">
        <v>0</v>
      </c>
      <c r="O69" s="975" t="n"/>
      <c r="P69" s="976" t="n">
        <v>0</v>
      </c>
      <c r="Q69" s="975" t="n"/>
      <c r="R69" s="976" t="n">
        <v>0</v>
      </c>
      <c r="S69" s="975" t="n"/>
      <c r="T69" s="976" t="n">
        <v>0</v>
      </c>
      <c r="U69" s="975" t="n"/>
      <c r="V69" s="976" t="n">
        <v>0</v>
      </c>
      <c r="W69" s="975" t="n"/>
      <c r="X69" s="976" t="n">
        <v>0</v>
      </c>
      <c r="Y69" s="975" t="n"/>
      <c r="Z69" s="976" t="n">
        <v>0</v>
      </c>
      <c r="AA69" s="975" t="n"/>
      <c r="AB69" s="976" t="n">
        <v>0</v>
      </c>
      <c r="AC69" s="975" t="n"/>
      <c r="AD69" s="976" t="n">
        <v>0</v>
      </c>
      <c r="AE69" s="977" t="n">
        <v>0</v>
      </c>
      <c r="AF69" s="978" t="n">
        <v>0</v>
      </c>
      <c r="AG69" s="975" t="n"/>
      <c r="AH69" s="976" t="n">
        <v>0</v>
      </c>
      <c r="AI69" s="975" t="n"/>
      <c r="AJ69" s="976" t="n">
        <v>0</v>
      </c>
      <c r="AK69" s="975" t="n"/>
      <c r="AL69" s="976" t="n">
        <v>0</v>
      </c>
      <c r="AM69" s="975" t="n"/>
      <c r="AN69" s="976" t="n">
        <v>0</v>
      </c>
      <c r="AO69" s="975" t="n"/>
      <c r="AP69" s="976" t="n">
        <v>0</v>
      </c>
      <c r="AQ69" s="975" t="n"/>
      <c r="AR69" s="976" t="n">
        <v>0</v>
      </c>
      <c r="AS69" s="975" t="n"/>
      <c r="AT69" s="976" t="n">
        <v>0</v>
      </c>
      <c r="AU69" s="975" t="n"/>
      <c r="AV69" s="976" t="n">
        <v>0</v>
      </c>
      <c r="AW69" s="975" t="n"/>
      <c r="AX69" s="976" t="n">
        <v>0</v>
      </c>
      <c r="AY69" s="975" t="n"/>
      <c r="AZ69" s="976" t="n">
        <v>0</v>
      </c>
      <c r="BA69" s="975" t="n"/>
      <c r="BB69" s="976" t="n">
        <v>0</v>
      </c>
      <c r="BC69" s="975" t="n"/>
      <c r="BD69" s="976" t="n">
        <v>0</v>
      </c>
      <c r="BE69" s="977" t="n">
        <v>0</v>
      </c>
      <c r="BF69" s="978" t="n">
        <v>0</v>
      </c>
      <c r="BG69" s="975" t="n"/>
      <c r="BH69" s="976" t="n">
        <v>0</v>
      </c>
      <c r="BI69" s="975" t="n"/>
      <c r="BJ69" s="976" t="n">
        <v>0</v>
      </c>
      <c r="BK69" s="975" t="n"/>
      <c r="BL69" s="976" t="n">
        <v>0</v>
      </c>
      <c r="BM69" s="975" t="n"/>
      <c r="BN69" s="976" t="n">
        <v>0</v>
      </c>
      <c r="BO69" s="975" t="n"/>
      <c r="BP69" s="976" t="n">
        <v>0</v>
      </c>
      <c r="BQ69" s="975" t="n"/>
      <c r="BR69" s="976" t="n">
        <v>0</v>
      </c>
      <c r="BS69" s="975" t="n"/>
      <c r="BT69" s="976" t="n">
        <v>0</v>
      </c>
      <c r="BU69" s="975" t="n"/>
      <c r="BV69" s="976" t="n">
        <v>0</v>
      </c>
      <c r="BW69" s="975" t="n"/>
      <c r="BX69" s="976" t="n">
        <v>0</v>
      </c>
      <c r="BY69" s="975" t="n"/>
      <c r="BZ69" s="976" t="n">
        <v>0</v>
      </c>
      <c r="CA69" s="975" t="n">
        <v>76</v>
      </c>
      <c r="CB69" s="976" t="n">
        <v>26.6</v>
      </c>
      <c r="CC69" s="975" t="n"/>
      <c r="CD69" s="976" t="n">
        <v>0</v>
      </c>
      <c r="CE69" s="979">
        <f>(BG69+BI69+BK69+BM69+BO69+BQ69+BS69+BU69+BW69+BY69+CA69)/11</f>
        <v/>
      </c>
      <c r="CF69" s="976">
        <f>(BH69+BJ69+BL69+BN69+BP69+BR69+BT69+BV69+BX69+BZ69+CB69)/11</f>
        <v/>
      </c>
      <c r="CG69" s="977" t="n">
        <v>6.333333333333333</v>
      </c>
      <c r="CH69" s="978" t="n">
        <v>2.216666666666666</v>
      </c>
      <c r="CI69" s="15" t="n"/>
      <c r="CJ69" s="15" t="n"/>
      <c r="CK69" s="982" t="n"/>
      <c r="CL69" s="976" t="n">
        <v>0</v>
      </c>
      <c r="CM69" s="982" t="n"/>
      <c r="CN69" s="15" t="n">
        <v>0</v>
      </c>
      <c r="CO69" s="982" t="n"/>
      <c r="CP69" s="15" t="n">
        <v>0</v>
      </c>
      <c r="CQ69" s="982" t="n"/>
      <c r="CR69" s="15" t="n">
        <v>0</v>
      </c>
      <c r="CS69" s="982" t="n"/>
      <c r="CT69" s="15" t="n">
        <v>0</v>
      </c>
      <c r="CU69" s="982" t="n"/>
      <c r="CV69" s="15" t="n">
        <v>0</v>
      </c>
      <c r="CW69" s="982" t="n"/>
      <c r="CX69" s="15" t="n">
        <v>0</v>
      </c>
      <c r="CY69" s="982" t="n"/>
      <c r="CZ69" s="15" t="n">
        <v>0</v>
      </c>
      <c r="DA69" s="982" t="n"/>
      <c r="DB69" s="15" t="n">
        <v>0</v>
      </c>
      <c r="DC69" s="982" t="n"/>
      <c r="DD69" s="15" t="n">
        <v>0</v>
      </c>
      <c r="DE69" s="982" t="n"/>
      <c r="DF69" s="15" t="n">
        <v>0</v>
      </c>
      <c r="DG69" s="982" t="n"/>
      <c r="DH69" s="15" t="n">
        <v>0</v>
      </c>
      <c r="DI69" s="983">
        <f>CK69+CM69+CO69+CQ69+CS69+CU69+CW69+CY69+DA69+DC69+DE69+DG69</f>
        <v/>
      </c>
      <c r="DJ69" s="983">
        <f>CL69+CN69+CP69+CR69+CT69+CV69+CX69+CZ69+DB69+DD69+DF69+DH69</f>
        <v/>
      </c>
      <c r="DK69" s="983" t="n"/>
      <c r="DL69" s="983" t="n"/>
      <c r="DM69" s="985">
        <f>DI69/11</f>
        <v/>
      </c>
      <c r="DN69" s="1129">
        <f>DJ69/11</f>
        <v/>
      </c>
      <c r="DO69" s="69">
        <f>DN69/$DN$57%</f>
        <v/>
      </c>
      <c r="DP69" s="982" t="n"/>
      <c r="DQ69" s="976" t="n">
        <v>0</v>
      </c>
      <c r="DR69" s="982" t="n"/>
      <c r="DS69" s="15" t="n">
        <v>0</v>
      </c>
      <c r="DT69" s="982" t="n"/>
      <c r="DU69" s="15" t="n">
        <v>0</v>
      </c>
      <c r="DV69" s="982" t="n"/>
      <c r="DW69" s="15" t="n">
        <v>0</v>
      </c>
      <c r="DX69" s="982" t="n"/>
      <c r="DY69" s="15" t="n">
        <v>0</v>
      </c>
      <c r="DZ69" s="982" t="n"/>
      <c r="EA69" s="15" t="n">
        <v>0</v>
      </c>
      <c r="EB69" s="982" t="n"/>
      <c r="EC69" s="15" t="n">
        <v>0</v>
      </c>
      <c r="ED69" s="982" t="n"/>
      <c r="EE69" s="15" t="n">
        <v>0</v>
      </c>
      <c r="EF69" s="982" t="n"/>
      <c r="EG69" s="15" t="n">
        <v>0</v>
      </c>
      <c r="EH69" s="982" t="n"/>
      <c r="EI69" s="15" t="n">
        <v>0</v>
      </c>
      <c r="EJ69" s="982" t="n"/>
      <c r="EK69" s="15" t="n">
        <v>0</v>
      </c>
      <c r="EL69" s="982" t="n"/>
      <c r="EM69" s="15" t="n">
        <v>0</v>
      </c>
      <c r="EN69" s="983">
        <f>DP69+DR69+DT69+DV69+DX69+DZ69+EB69+ED69+EF69+EH69+EJ69+EL69</f>
        <v/>
      </c>
      <c r="EO69" s="983">
        <f>DQ69+DS69+DU69+DW69+DY69+EA69+EC69+EE69+EG69+EI69+EK69+EM69</f>
        <v/>
      </c>
      <c r="EP69" s="985">
        <f>EN69/11</f>
        <v/>
      </c>
      <c r="EQ69" s="1129">
        <f>EO69/11</f>
        <v/>
      </c>
      <c r="ER69" s="1160" t="n"/>
      <c r="ES69" s="88" t="n">
        <v>0</v>
      </c>
      <c r="ET69" s="1005" t="e">
        <v>#DIV/0!</v>
      </c>
      <c r="EU69" s="1005" t="n">
        <v>-100</v>
      </c>
      <c r="EZ69" s="986">
        <f>EY69*11</f>
        <v/>
      </c>
    </row>
    <row r="70" hidden="1">
      <c r="A70" s="7" t="n">
        <v>120</v>
      </c>
      <c r="B70" s="20" t="inlineStr">
        <is>
          <t>Golden Triangle</t>
        </is>
      </c>
      <c r="C70" s="20" t="inlineStr">
        <is>
          <t>ပုလင်း</t>
        </is>
      </c>
      <c r="D70" s="7" t="n">
        <v>0.7</v>
      </c>
      <c r="E70" s="30" t="inlineStr">
        <is>
          <t>1*6</t>
        </is>
      </c>
      <c r="F70" s="21" t="n"/>
      <c r="G70" s="975" t="n"/>
      <c r="H70" s="976" t="n">
        <v>0</v>
      </c>
      <c r="I70" s="975" t="n"/>
      <c r="J70" s="976" t="n">
        <v>0</v>
      </c>
      <c r="K70" s="975" t="n"/>
      <c r="L70" s="976" t="n">
        <v>0</v>
      </c>
      <c r="M70" s="975" t="n"/>
      <c r="N70" s="976" t="n">
        <v>0</v>
      </c>
      <c r="O70" s="975" t="n"/>
      <c r="P70" s="976" t="n">
        <v>0</v>
      </c>
      <c r="Q70" s="975" t="n"/>
      <c r="R70" s="976" t="n">
        <v>0</v>
      </c>
      <c r="S70" s="975" t="n"/>
      <c r="T70" s="976" t="n">
        <v>0</v>
      </c>
      <c r="U70" s="975" t="n"/>
      <c r="V70" s="976" t="n">
        <v>0</v>
      </c>
      <c r="W70" s="975" t="n"/>
      <c r="X70" s="976" t="n">
        <v>0</v>
      </c>
      <c r="Y70" s="975" t="n"/>
      <c r="Z70" s="976" t="n">
        <v>0</v>
      </c>
      <c r="AA70" s="975" t="n"/>
      <c r="AB70" s="976" t="n">
        <v>0</v>
      </c>
      <c r="AC70" s="975" t="n"/>
      <c r="AD70" s="976" t="n">
        <v>0</v>
      </c>
      <c r="AE70" s="977" t="n">
        <v>0</v>
      </c>
      <c r="AF70" s="978" t="n">
        <v>0</v>
      </c>
      <c r="AG70" s="975" t="n"/>
      <c r="AH70" s="976" t="n">
        <v>0</v>
      </c>
      <c r="AI70" s="975" t="n"/>
      <c r="AJ70" s="976" t="n">
        <v>0</v>
      </c>
      <c r="AK70" s="975" t="n"/>
      <c r="AL70" s="976" t="n">
        <v>0</v>
      </c>
      <c r="AM70" s="975" t="n"/>
      <c r="AN70" s="976" t="n">
        <v>0</v>
      </c>
      <c r="AO70" s="975" t="n"/>
      <c r="AP70" s="976" t="n">
        <v>0</v>
      </c>
      <c r="AQ70" s="975" t="n"/>
      <c r="AR70" s="976" t="n">
        <v>0</v>
      </c>
      <c r="AS70" s="975" t="n"/>
      <c r="AT70" s="976" t="n">
        <v>0</v>
      </c>
      <c r="AU70" s="975" t="n"/>
      <c r="AV70" s="976" t="n">
        <v>0</v>
      </c>
      <c r="AW70" s="975" t="n"/>
      <c r="AX70" s="976" t="n">
        <v>0</v>
      </c>
      <c r="AY70" s="975" t="n"/>
      <c r="AZ70" s="976" t="n">
        <v>0</v>
      </c>
      <c r="BA70" s="975" t="n"/>
      <c r="BB70" s="976" t="n">
        <v>0</v>
      </c>
      <c r="BC70" s="975" t="n"/>
      <c r="BD70" s="976" t="n">
        <v>0</v>
      </c>
      <c r="BE70" s="977" t="n">
        <v>0</v>
      </c>
      <c r="BF70" s="978" t="n">
        <v>0</v>
      </c>
      <c r="BG70" s="975" t="n"/>
      <c r="BH70" s="976" t="n">
        <v>0</v>
      </c>
      <c r="BI70" s="975" t="n"/>
      <c r="BJ70" s="976" t="n">
        <v>0</v>
      </c>
      <c r="BK70" s="975" t="n"/>
      <c r="BL70" s="976" t="n">
        <v>0</v>
      </c>
      <c r="BM70" s="975" t="n"/>
      <c r="BN70" s="976" t="n">
        <v>0</v>
      </c>
      <c r="BO70" s="975" t="n"/>
      <c r="BP70" s="976" t="n">
        <v>0</v>
      </c>
      <c r="BQ70" s="975" t="n"/>
      <c r="BR70" s="976" t="n">
        <v>0</v>
      </c>
      <c r="BS70" s="975" t="n"/>
      <c r="BT70" s="976" t="n">
        <v>0</v>
      </c>
      <c r="BU70" s="975" t="n"/>
      <c r="BV70" s="976" t="n">
        <v>0</v>
      </c>
      <c r="BW70" s="975" t="n"/>
      <c r="BX70" s="976" t="n">
        <v>0</v>
      </c>
      <c r="BY70" s="975" t="n"/>
      <c r="BZ70" s="976" t="n">
        <v>0</v>
      </c>
      <c r="CA70" s="975" t="n"/>
      <c r="CB70" s="976" t="n">
        <v>0</v>
      </c>
      <c r="CC70" s="975" t="n"/>
      <c r="CD70" s="976" t="n">
        <v>0</v>
      </c>
      <c r="CE70" s="979">
        <f>(BG70+BI70+BK70+BM70+BO70+BQ70+BS70+BU70+BW70+BY70+CA70)/11</f>
        <v/>
      </c>
      <c r="CF70" s="976">
        <f>(BH70+BJ70+BL70+BN70+BP70+BR70+BT70+BV70+BX70+BZ70+CB70)/11</f>
        <v/>
      </c>
      <c r="CG70" s="977" t="n">
        <v>0</v>
      </c>
      <c r="CH70" s="978" t="n">
        <v>0</v>
      </c>
      <c r="CI70" s="976" t="n"/>
      <c r="CJ70" s="976" t="n"/>
      <c r="CK70" s="975" t="n"/>
      <c r="CL70" s="976" t="n">
        <v>0</v>
      </c>
      <c r="CM70" s="975" t="n"/>
      <c r="CN70" s="976" t="n">
        <v>0</v>
      </c>
      <c r="CO70" s="975" t="n"/>
      <c r="CP70" s="976" t="n">
        <v>0</v>
      </c>
      <c r="CQ70" s="975" t="n"/>
      <c r="CR70" s="976" t="n">
        <v>0</v>
      </c>
      <c r="CS70" s="975" t="n"/>
      <c r="CT70" s="976" t="n">
        <v>0</v>
      </c>
      <c r="CU70" s="975" t="n"/>
      <c r="CV70" s="976" t="n">
        <v>0</v>
      </c>
      <c r="CW70" s="975" t="n"/>
      <c r="CX70" s="976" t="n">
        <v>0</v>
      </c>
      <c r="CY70" s="975" t="n"/>
      <c r="CZ70" s="976" t="n">
        <v>0</v>
      </c>
      <c r="DA70" s="975" t="n"/>
      <c r="DB70" s="976" t="n">
        <v>0</v>
      </c>
      <c r="DC70" s="975" t="n"/>
      <c r="DD70" s="976" t="n">
        <v>0</v>
      </c>
      <c r="DE70" s="975" t="n"/>
      <c r="DF70" s="976" t="n">
        <v>0</v>
      </c>
      <c r="DG70" s="975" t="n"/>
      <c r="DH70" s="976" t="n">
        <v>0</v>
      </c>
      <c r="DI70" s="983">
        <f>CK70+CM70+CO70+CQ70+CS70+CU70+CW70+CY70+DA70+DC70+DE70+DG70</f>
        <v/>
      </c>
      <c r="DJ70" s="983">
        <f>CL70+CN70+CP70+CR70+CT70+CV70+CX70+CZ70+DB70+DD70+DF70+DH70</f>
        <v/>
      </c>
      <c r="DK70" s="983" t="n"/>
      <c r="DL70" s="983" t="n"/>
      <c r="DM70" s="985">
        <f>DI70/11</f>
        <v/>
      </c>
      <c r="DN70" s="1129">
        <f>DJ70/11</f>
        <v/>
      </c>
      <c r="DO70" s="69">
        <f>DN70/$DN$57%</f>
        <v/>
      </c>
      <c r="DP70" s="975" t="n"/>
      <c r="DQ70" s="976" t="n">
        <v>0</v>
      </c>
      <c r="DR70" s="975" t="n"/>
      <c r="DS70" s="976" t="n">
        <v>0</v>
      </c>
      <c r="DT70" s="975" t="n"/>
      <c r="DU70" s="976" t="n">
        <v>0</v>
      </c>
      <c r="DV70" s="975" t="n"/>
      <c r="DW70" s="976" t="n">
        <v>0</v>
      </c>
      <c r="DX70" s="975" t="n"/>
      <c r="DY70" s="976" t="n">
        <v>0</v>
      </c>
      <c r="DZ70" s="975" t="n"/>
      <c r="EA70" s="976" t="n">
        <v>0</v>
      </c>
      <c r="EB70" s="975" t="n"/>
      <c r="EC70" s="976" t="n">
        <v>0</v>
      </c>
      <c r="ED70" s="975" t="n"/>
      <c r="EE70" s="976" t="n">
        <v>0</v>
      </c>
      <c r="EF70" s="975" t="n"/>
      <c r="EG70" s="976" t="n">
        <v>0</v>
      </c>
      <c r="EH70" s="975" t="n"/>
      <c r="EI70" s="976" t="n">
        <v>0</v>
      </c>
      <c r="EJ70" s="975" t="n"/>
      <c r="EK70" s="976" t="n">
        <v>0</v>
      </c>
      <c r="EL70" s="975" t="n"/>
      <c r="EM70" s="976" t="n">
        <v>0</v>
      </c>
      <c r="EN70" s="983">
        <f>DP70+DR70+DT70+DV70+DX70+DZ70+EB70+ED70+EF70+EH70+EJ70+EL70</f>
        <v/>
      </c>
      <c r="EO70" s="983">
        <f>DQ70+DS70+DU70+DW70+DY70+EA70+EC70+EE70+EG70+EI70+EK70+EM70</f>
        <v/>
      </c>
      <c r="EP70" s="985">
        <f>EN70/11</f>
        <v/>
      </c>
      <c r="EQ70" s="1129">
        <f>EO70/11</f>
        <v/>
      </c>
      <c r="ER70" s="1160" t="n"/>
      <c r="ES70" s="88" t="n">
        <v>0</v>
      </c>
      <c r="ET70" s="1005" t="e">
        <v>#DIV/0!</v>
      </c>
      <c r="EU70" s="1005" t="e">
        <v>#DIV/0!</v>
      </c>
      <c r="EZ70" s="986">
        <f>EY70*11</f>
        <v/>
      </c>
    </row>
    <row r="71" hidden="1">
      <c r="A71" s="32" t="n"/>
      <c r="B71" s="33" t="n"/>
      <c r="C71" s="33" t="n"/>
      <c r="D71" s="33" t="n"/>
      <c r="E71" s="34" t="n"/>
      <c r="F71" s="34" t="n"/>
      <c r="G71" s="975" t="n"/>
      <c r="H71" s="976" t="n"/>
      <c r="I71" s="975" t="n"/>
      <c r="J71" s="976" t="n"/>
      <c r="K71" s="975" t="n"/>
      <c r="L71" s="976" t="n"/>
      <c r="M71" s="975" t="n"/>
      <c r="N71" s="976" t="n"/>
      <c r="O71" s="975" t="n"/>
      <c r="P71" s="976" t="n"/>
      <c r="Q71" s="975" t="n"/>
      <c r="R71" s="976" t="n"/>
      <c r="S71" s="975" t="n"/>
      <c r="T71" s="976" t="n"/>
      <c r="U71" s="975" t="n"/>
      <c r="V71" s="976" t="n"/>
      <c r="W71" s="975" t="n"/>
      <c r="X71" s="976" t="n"/>
      <c r="Y71" s="975" t="n"/>
      <c r="Z71" s="976" t="n"/>
      <c r="AA71" s="975" t="n"/>
      <c r="AB71" s="976" t="n"/>
      <c r="AC71" s="975" t="n"/>
      <c r="AD71" s="976" t="n"/>
      <c r="AE71" s="977" t="n"/>
      <c r="AF71" s="978" t="n"/>
      <c r="AG71" s="975" t="n"/>
      <c r="AH71" s="976" t="n"/>
      <c r="AI71" s="975" t="n"/>
      <c r="AJ71" s="976" t="n"/>
      <c r="AK71" s="975" t="n"/>
      <c r="AL71" s="976" t="n"/>
      <c r="AM71" s="975" t="n"/>
      <c r="AN71" s="976" t="n"/>
      <c r="AO71" s="975" t="n"/>
      <c r="AP71" s="976" t="n"/>
      <c r="AQ71" s="975" t="n"/>
      <c r="AR71" s="976" t="n"/>
      <c r="AS71" s="975" t="n"/>
      <c r="AT71" s="976" t="n"/>
      <c r="AU71" s="975" t="n"/>
      <c r="AV71" s="976" t="n"/>
      <c r="AW71" s="975" t="n"/>
      <c r="AX71" s="976" t="n"/>
      <c r="AY71" s="975" t="n"/>
      <c r="AZ71" s="976" t="n"/>
      <c r="BA71" s="975" t="n"/>
      <c r="BB71" s="976" t="n"/>
      <c r="BC71" s="975" t="n"/>
      <c r="BD71" s="976" t="n"/>
      <c r="BE71" s="977" t="n"/>
      <c r="BF71" s="978" t="n"/>
      <c r="BG71" s="975" t="n"/>
      <c r="BH71" s="976" t="n"/>
      <c r="BI71" s="975" t="n"/>
      <c r="BJ71" s="976" t="n"/>
      <c r="BK71" s="975" t="n"/>
      <c r="BL71" s="976" t="n"/>
      <c r="BM71" s="975" t="n"/>
      <c r="BN71" s="976" t="n"/>
      <c r="BO71" s="975" t="n"/>
      <c r="BP71" s="976" t="n"/>
      <c r="BQ71" s="975" t="n"/>
      <c r="BR71" s="976" t="n"/>
      <c r="BS71" s="975" t="n"/>
      <c r="BT71" s="976" t="n"/>
      <c r="BU71" s="975" t="n"/>
      <c r="BV71" s="976" t="n"/>
      <c r="BW71" s="975" t="n"/>
      <c r="BX71" s="976" t="n"/>
      <c r="BY71" s="975" t="n"/>
      <c r="BZ71" s="976" t="n"/>
      <c r="CA71" s="975" t="n"/>
      <c r="CB71" s="976" t="n"/>
      <c r="CC71" s="975" t="n"/>
      <c r="CD71" s="976" t="n"/>
      <c r="CE71" s="979">
        <f>(BG71+BI71+BK71+BM71+BO71+BQ71+BS71+BU71+BW71+BY71+CA71)/11</f>
        <v/>
      </c>
      <c r="CF71" s="976">
        <f>(BH71+BJ71+BL71+BN71+BP71+BR71+BT71+BV71+BX71+BZ71+CB71)/11</f>
        <v/>
      </c>
      <c r="CG71" s="977" t="n"/>
      <c r="CH71" s="978" t="n"/>
      <c r="CI71" s="984" t="n"/>
      <c r="CJ71" s="984" t="n"/>
      <c r="CK71" s="982" t="n"/>
      <c r="CL71" s="976" t="n"/>
      <c r="CM71" s="982" t="n"/>
      <c r="CN71" s="984" t="n"/>
      <c r="CO71" s="982" t="n"/>
      <c r="CP71" s="984" t="n"/>
      <c r="CQ71" s="982" t="n"/>
      <c r="CR71" s="984" t="n"/>
      <c r="CS71" s="982" t="n"/>
      <c r="CT71" s="984" t="n"/>
      <c r="CU71" s="982" t="n"/>
      <c r="CV71" s="984" t="n"/>
      <c r="CW71" s="982" t="n"/>
      <c r="CX71" s="984" t="n"/>
      <c r="CY71" s="982" t="n"/>
      <c r="CZ71" s="984" t="n"/>
      <c r="DA71" s="982" t="n"/>
      <c r="DB71" s="984" t="n"/>
      <c r="DC71" s="982" t="n"/>
      <c r="DD71" s="984" t="n"/>
      <c r="DE71" s="982" t="n"/>
      <c r="DF71" s="984" t="n"/>
      <c r="DG71" s="982" t="n"/>
      <c r="DH71" s="984" t="n"/>
      <c r="DI71" s="983">
        <f>CK71+CM71+CO71+CQ71+CS71+CU71+CW71+CY71+DA71+DC71+DE71+DG71</f>
        <v/>
      </c>
      <c r="DJ71" s="983">
        <f>CL71+CN71+CP71+CR71+CT71+CV71+CX71+CZ71+DB71+DD71+DF71+DH71</f>
        <v/>
      </c>
      <c r="DK71" s="983" t="n"/>
      <c r="DL71" s="983" t="n"/>
      <c r="DM71" s="985">
        <f>DI71/11</f>
        <v/>
      </c>
      <c r="DN71" s="1129">
        <f>DJ71/11</f>
        <v/>
      </c>
      <c r="DO71" s="69">
        <f>DN71/$DN$57%</f>
        <v/>
      </c>
      <c r="DP71" s="982" t="n"/>
      <c r="DQ71" s="976" t="n"/>
      <c r="DR71" s="982" t="n"/>
      <c r="DS71" s="984" t="n"/>
      <c r="DT71" s="982" t="n"/>
      <c r="DU71" s="984" t="n"/>
      <c r="DV71" s="982" t="n"/>
      <c r="DW71" s="984" t="n"/>
      <c r="DX71" s="982" t="n"/>
      <c r="DY71" s="984" t="n"/>
      <c r="DZ71" s="982" t="n"/>
      <c r="EA71" s="984" t="n"/>
      <c r="EB71" s="982" t="n"/>
      <c r="EC71" s="984" t="n"/>
      <c r="ED71" s="982" t="n"/>
      <c r="EE71" s="984" t="n"/>
      <c r="EF71" s="982" t="n"/>
      <c r="EG71" s="984" t="n"/>
      <c r="EH71" s="982" t="n"/>
      <c r="EI71" s="984" t="n"/>
      <c r="EJ71" s="982" t="n"/>
      <c r="EK71" s="984" t="n"/>
      <c r="EL71" s="982" t="n"/>
      <c r="EM71" s="984" t="n"/>
      <c r="EN71" s="983">
        <f>DP71+DR71+DT71+DV71+DX71+DZ71+EB71+ED71+EF71+EH71+EJ71+EL71</f>
        <v/>
      </c>
      <c r="EO71" s="983">
        <f>DQ71+DS71+DU71+DW71+DY71+EA71+EC71+EE71+EG71+EI71+EK71+EM71</f>
        <v/>
      </c>
      <c r="EP71" s="985">
        <f>EN71/11</f>
        <v/>
      </c>
      <c r="EQ71" s="1129">
        <f>EO71/11</f>
        <v/>
      </c>
      <c r="ER71" s="1160" t="n"/>
      <c r="ES71" s="88" t="n">
        <v>0</v>
      </c>
      <c r="ET71" s="1005" t="e">
        <v>#DIV/0!</v>
      </c>
      <c r="EU71" s="1005" t="e">
        <v>#DIV/0!</v>
      </c>
      <c r="EZ71" s="986">
        <f>EY71*11</f>
        <v/>
      </c>
    </row>
    <row r="72" hidden="1">
      <c r="A72" s="35" t="n"/>
      <c r="B72" s="23" t="inlineStr">
        <is>
          <t>Whisky စုစုပေါင်း</t>
        </is>
      </c>
      <c r="C72" s="23" t="n"/>
      <c r="D72" s="23" t="n"/>
      <c r="E72" s="25" t="n"/>
      <c r="F72" s="25" t="n"/>
      <c r="G72" s="989" t="n">
        <v>19216</v>
      </c>
      <c r="H72" s="990" t="n">
        <v>9343.25</v>
      </c>
      <c r="I72" s="989" t="n">
        <v>6781</v>
      </c>
      <c r="J72" s="990" t="n">
        <v>2927.4</v>
      </c>
      <c r="K72" s="989" t="n">
        <v>7169</v>
      </c>
      <c r="L72" s="990" t="n">
        <v>3460.799999999999</v>
      </c>
      <c r="M72" s="989" t="n">
        <v>32435</v>
      </c>
      <c r="N72" s="990" t="n">
        <v>11587.275</v>
      </c>
      <c r="O72" s="989" t="n">
        <v>5075</v>
      </c>
      <c r="P72" s="990" t="n">
        <v>2334.5</v>
      </c>
      <c r="Q72" s="989" t="n">
        <v>5630</v>
      </c>
      <c r="R72" s="990" t="n">
        <v>2459.1</v>
      </c>
      <c r="S72" s="989" t="n">
        <v>6830</v>
      </c>
      <c r="T72" s="990" t="n">
        <v>3185.175</v>
      </c>
      <c r="U72" s="989" t="n">
        <v>4334</v>
      </c>
      <c r="V72" s="990" t="n">
        <v>2109.099999999999</v>
      </c>
      <c r="W72" s="989" t="n">
        <v>2373</v>
      </c>
      <c r="X72" s="990" t="n">
        <v>1114.575</v>
      </c>
      <c r="Y72" s="989" t="n">
        <v>2829</v>
      </c>
      <c r="Z72" s="990" t="n">
        <v>1306.375</v>
      </c>
      <c r="AA72" s="989" t="n">
        <v>2889</v>
      </c>
      <c r="AB72" s="990" t="n">
        <v>1396.5</v>
      </c>
      <c r="AC72" s="989" t="n">
        <v>4559</v>
      </c>
      <c r="AD72" s="990" t="n">
        <v>2204.125</v>
      </c>
      <c r="AE72" s="991" t="n">
        <v>8343.333333333334</v>
      </c>
      <c r="AF72" s="992" t="n">
        <v>3619.014583333333</v>
      </c>
      <c r="AG72" s="989" t="n">
        <v>4528</v>
      </c>
      <c r="AH72" s="990" t="n">
        <v>1975.75</v>
      </c>
      <c r="AI72" s="989" t="n">
        <v>3756</v>
      </c>
      <c r="AJ72" s="990" t="n">
        <v>1774.5</v>
      </c>
      <c r="AK72" s="989" t="n">
        <v>2101</v>
      </c>
      <c r="AL72" s="990" t="n">
        <v>1064</v>
      </c>
      <c r="AM72" s="989" t="n">
        <v>3165</v>
      </c>
      <c r="AN72" s="990" t="n">
        <v>1365.7</v>
      </c>
      <c r="AO72" s="989" t="n">
        <v>2082</v>
      </c>
      <c r="AP72" s="990" t="n">
        <v>1032.675</v>
      </c>
      <c r="AQ72" s="989" t="n">
        <v>2096</v>
      </c>
      <c r="AR72" s="990" t="n">
        <v>1024.1</v>
      </c>
      <c r="AS72" s="989" t="n">
        <v>1732</v>
      </c>
      <c r="AT72" s="990" t="n">
        <v>858.375</v>
      </c>
      <c r="AU72" s="989" t="n">
        <v>2122</v>
      </c>
      <c r="AV72" s="990" t="n">
        <v>1006.075</v>
      </c>
      <c r="AW72" s="989" t="n">
        <v>2222</v>
      </c>
      <c r="AX72" s="990" t="n">
        <v>1019.2</v>
      </c>
      <c r="AY72" s="989" t="n">
        <v>2467</v>
      </c>
      <c r="AZ72" s="990" t="n">
        <v>941.8499999999999</v>
      </c>
      <c r="BA72" s="989" t="n">
        <v>1565</v>
      </c>
      <c r="BB72" s="990" t="n">
        <v>766.5</v>
      </c>
      <c r="BC72" s="989" t="n">
        <v>5955</v>
      </c>
      <c r="BD72" s="990" t="n">
        <v>2243.325</v>
      </c>
      <c r="BE72" s="991" t="n">
        <v>2815.916666666667</v>
      </c>
      <c r="BF72" s="992" t="n">
        <v>1256.004166666667</v>
      </c>
      <c r="BG72" s="989" t="n">
        <v>1752</v>
      </c>
      <c r="BH72" s="990" t="n">
        <v>907.1999999999999</v>
      </c>
      <c r="BI72" s="989" t="n">
        <v>2206</v>
      </c>
      <c r="BJ72" s="990" t="n">
        <v>1138.375</v>
      </c>
      <c r="BK72" s="989" t="n">
        <v>3341</v>
      </c>
      <c r="BL72" s="990" t="n">
        <v>1520.75</v>
      </c>
      <c r="BM72" s="989" t="n">
        <v>1913</v>
      </c>
      <c r="BN72" s="990" t="n">
        <v>821.0999999999999</v>
      </c>
      <c r="BO72" s="989" t="n">
        <v>1068</v>
      </c>
      <c r="BP72" s="990" t="n">
        <v>489.65</v>
      </c>
      <c r="BQ72" s="989" t="n">
        <v>1632</v>
      </c>
      <c r="BR72" s="990" t="n">
        <v>763.175</v>
      </c>
      <c r="BS72" s="989" t="n">
        <v>2029</v>
      </c>
      <c r="BT72" s="990" t="n">
        <v>1096.2</v>
      </c>
      <c r="BU72" s="989" t="n">
        <v>2274</v>
      </c>
      <c r="BV72" s="990" t="n">
        <v>942.8999999999999</v>
      </c>
      <c r="BW72" s="989" t="n">
        <v>1207</v>
      </c>
      <c r="BX72" s="990" t="n">
        <v>451.1499999999999</v>
      </c>
      <c r="BY72" s="989" t="n">
        <v>1780</v>
      </c>
      <c r="BZ72" s="990" t="n">
        <v>739.375</v>
      </c>
      <c r="CA72" s="989" t="n">
        <v>1518</v>
      </c>
      <c r="CB72" s="990" t="n">
        <v>572.5999999999999</v>
      </c>
      <c r="CC72" s="989" t="n">
        <v>401</v>
      </c>
      <c r="CD72" s="990" t="n">
        <v>170.1</v>
      </c>
      <c r="CE72" s="979">
        <f>(BG72+BI72+BK72+BM72+BO72+BQ72+BS72+BU72+BW72+BY72+CA72)/11</f>
        <v/>
      </c>
      <c r="CF72" s="976">
        <f>(BH72+BJ72+BL72+BN72+BP72+BR72+BT72+BV72+BX72+BZ72+CB72)/11</f>
        <v/>
      </c>
      <c r="CG72" s="991" t="n">
        <v>1760.083333333333</v>
      </c>
      <c r="CH72" s="992" t="n">
        <v>801.0479166666667</v>
      </c>
      <c r="CI72" s="990" t="n"/>
      <c r="CJ72" s="990" t="n"/>
      <c r="CK72" s="989" t="n">
        <v>397</v>
      </c>
      <c r="CL72" s="990" t="n">
        <v>118.3</v>
      </c>
      <c r="CM72" s="989" t="n">
        <v>540</v>
      </c>
      <c r="CN72" s="990" t="n">
        <v>211.05</v>
      </c>
      <c r="CO72" s="989" t="n">
        <v>180</v>
      </c>
      <c r="CP72" s="990" t="n">
        <v>67.19999999999999</v>
      </c>
      <c r="CQ72" s="989" t="n">
        <v>320</v>
      </c>
      <c r="CR72" s="990" t="n">
        <v>127.05</v>
      </c>
      <c r="CS72" s="989" t="n">
        <v>499</v>
      </c>
      <c r="CT72" s="990" t="n">
        <v>152.425</v>
      </c>
      <c r="CU72" s="989" t="n">
        <v>0</v>
      </c>
      <c r="CV72" s="990" t="n">
        <v>0</v>
      </c>
      <c r="CW72" s="989" t="n">
        <v>0</v>
      </c>
      <c r="CX72" s="990" t="n">
        <v>0</v>
      </c>
      <c r="CY72" s="989" t="n">
        <v>0</v>
      </c>
      <c r="CZ72" s="990" t="n">
        <v>0</v>
      </c>
      <c r="DA72" s="989" t="n">
        <v>0</v>
      </c>
      <c r="DB72" s="990" t="n">
        <v>0</v>
      </c>
      <c r="DC72" s="989" t="n">
        <v>0</v>
      </c>
      <c r="DD72" s="990" t="n">
        <v>0</v>
      </c>
      <c r="DE72" s="989" t="n">
        <v>0</v>
      </c>
      <c r="DF72" s="990" t="n">
        <v>0</v>
      </c>
      <c r="DG72" s="989" t="n">
        <v>0</v>
      </c>
      <c r="DH72" s="990" t="n">
        <v>0</v>
      </c>
      <c r="DI72" s="983">
        <f>CK72+CM72+CO72+CQ72+CS72+CU72+CW72+CY72+DA72+DC72+DE72+DG72</f>
        <v/>
      </c>
      <c r="DJ72" s="983">
        <f>CL72+CN72+CP72+CR72+CT72+CV72+CX72+CZ72+DB72+DD72+DF72+DH72</f>
        <v/>
      </c>
      <c r="DK72" s="983" t="n"/>
      <c r="DL72" s="983" t="n"/>
      <c r="DM72" s="985">
        <f>DI72/11</f>
        <v/>
      </c>
      <c r="DN72" s="1129">
        <f>DJ72/11</f>
        <v/>
      </c>
      <c r="DO72" s="69">
        <f>DN72/$DN$57%</f>
        <v/>
      </c>
      <c r="DP72" s="989" t="n">
        <v>397</v>
      </c>
      <c r="DQ72" s="990" t="n">
        <v>118.3</v>
      </c>
      <c r="DR72" s="989" t="n">
        <v>540</v>
      </c>
      <c r="DS72" s="990" t="n">
        <v>211.05</v>
      </c>
      <c r="DT72" s="989" t="n">
        <v>180</v>
      </c>
      <c r="DU72" s="990" t="n">
        <v>67.19999999999999</v>
      </c>
      <c r="DV72" s="989" t="n">
        <v>320</v>
      </c>
      <c r="DW72" s="990" t="n">
        <v>127.05</v>
      </c>
      <c r="DX72" s="989" t="n">
        <v>499</v>
      </c>
      <c r="DY72" s="990" t="n">
        <v>152.425</v>
      </c>
      <c r="DZ72" s="989" t="n">
        <v>0</v>
      </c>
      <c r="EA72" s="990" t="n">
        <v>0</v>
      </c>
      <c r="EB72" s="989" t="n">
        <v>0</v>
      </c>
      <c r="EC72" s="990" t="n">
        <v>0</v>
      </c>
      <c r="ED72" s="989" t="n">
        <v>0</v>
      </c>
      <c r="EE72" s="990" t="n">
        <v>0</v>
      </c>
      <c r="EF72" s="989" t="n">
        <v>0</v>
      </c>
      <c r="EG72" s="990" t="n">
        <v>0</v>
      </c>
      <c r="EH72" s="989" t="n">
        <v>0</v>
      </c>
      <c r="EI72" s="990" t="n">
        <v>0</v>
      </c>
      <c r="EJ72" s="989" t="n">
        <v>0</v>
      </c>
      <c r="EK72" s="990" t="n">
        <v>0</v>
      </c>
      <c r="EL72" s="989" t="n">
        <v>0</v>
      </c>
      <c r="EM72" s="990" t="n">
        <v>0</v>
      </c>
      <c r="EN72" s="983">
        <f>DP72+DR72+DT72+DV72+DX72+DZ72+EB72+ED72+EF72+EH72+EJ72+EL72</f>
        <v/>
      </c>
      <c r="EO72" s="983">
        <f>DQ72+DS72+DU72+DW72+DY72+EA72+EC72+EE72+EG72+EI72+EK72+EM72</f>
        <v/>
      </c>
      <c r="EP72" s="985">
        <f>EN72/11</f>
        <v/>
      </c>
      <c r="EQ72" s="1129">
        <f>EO72/11</f>
        <v/>
      </c>
      <c r="ER72" s="1160" t="n"/>
      <c r="ES72" s="88" t="n">
        <v>0</v>
      </c>
      <c r="ET72" s="1005" t="n">
        <v>-100</v>
      </c>
      <c r="EU72" s="1005" t="n">
        <v>-100</v>
      </c>
      <c r="EZ72" s="986">
        <f>EY72*11</f>
        <v/>
      </c>
    </row>
    <row r="73" hidden="1">
      <c r="A73" s="36" t="n"/>
      <c r="B73" s="24" t="inlineStr">
        <is>
          <t>All Total</t>
        </is>
      </c>
      <c r="C73" s="24" t="n"/>
      <c r="D73" s="24" t="n"/>
      <c r="E73" s="24" t="n"/>
      <c r="F73" s="24" t="n"/>
      <c r="G73" s="1006" t="n">
        <v>673307</v>
      </c>
      <c r="H73" s="1007" t="n">
        <v>434360.31</v>
      </c>
      <c r="I73" s="1006" t="n">
        <v>635325</v>
      </c>
      <c r="J73" s="1007" t="n">
        <v>409965.0800000001</v>
      </c>
      <c r="K73" s="1006" t="n">
        <v>722475</v>
      </c>
      <c r="L73" s="1007" t="n">
        <v>469569.64</v>
      </c>
      <c r="M73" s="1006" t="n">
        <v>565018</v>
      </c>
      <c r="N73" s="1007" t="n">
        <v>358186.655</v>
      </c>
      <c r="O73" s="1006" t="n">
        <v>564244</v>
      </c>
      <c r="P73" s="1007" t="n">
        <v>364154.0800000001</v>
      </c>
      <c r="Q73" s="1006" t="n">
        <v>652490</v>
      </c>
      <c r="R73" s="1007" t="n">
        <v>420300.7799999999</v>
      </c>
      <c r="S73" s="1006" t="n">
        <v>647908</v>
      </c>
      <c r="T73" s="1007" t="n">
        <v>418437.2150000001</v>
      </c>
      <c r="U73" s="1006" t="n">
        <v>719553</v>
      </c>
      <c r="V73" s="1007" t="n">
        <v>466812.6800000001</v>
      </c>
      <c r="W73" s="1006" t="n">
        <v>633387</v>
      </c>
      <c r="X73" s="1007" t="n">
        <v>408968.6550000001</v>
      </c>
      <c r="Y73" s="1006" t="n">
        <v>599383</v>
      </c>
      <c r="Z73" s="1007" t="n">
        <v>386824.285</v>
      </c>
      <c r="AA73" s="1006" t="n">
        <v>667503</v>
      </c>
      <c r="AB73" s="1007" t="n">
        <v>432396.74</v>
      </c>
      <c r="AC73" s="1006" t="n">
        <v>726650</v>
      </c>
      <c r="AD73" s="1007" t="n">
        <v>468939.515</v>
      </c>
      <c r="AE73" s="1008" t="n">
        <v>650603.5833333334</v>
      </c>
      <c r="AF73" s="992" t="n">
        <v>419909.63625</v>
      </c>
      <c r="AG73" s="1006" t="n">
        <v>700686</v>
      </c>
      <c r="AH73" s="1007" t="n">
        <v>452951.16</v>
      </c>
      <c r="AI73" s="1006" t="n">
        <v>586745</v>
      </c>
      <c r="AJ73" s="1007" t="n">
        <v>378003.1</v>
      </c>
      <c r="AK73" s="1006" t="n">
        <v>564026</v>
      </c>
      <c r="AL73" s="1007" t="n">
        <v>365983.43</v>
      </c>
      <c r="AM73" s="1006" t="n">
        <v>568040</v>
      </c>
      <c r="AN73" s="1007" t="n">
        <v>367781.2700000001</v>
      </c>
      <c r="AO73" s="1006" t="n">
        <v>478139</v>
      </c>
      <c r="AP73" s="1007" t="n">
        <v>310902.645</v>
      </c>
      <c r="AQ73" s="1006" t="n">
        <v>602441</v>
      </c>
      <c r="AR73" s="1007" t="n">
        <v>390590.64</v>
      </c>
      <c r="AS73" s="1006" t="n">
        <v>656344</v>
      </c>
      <c r="AT73" s="1007" t="n">
        <v>425742.525</v>
      </c>
      <c r="AU73" s="1006" t="n">
        <v>629458</v>
      </c>
      <c r="AV73" s="1007" t="n">
        <v>406654.1950000001</v>
      </c>
      <c r="AW73" s="1006" t="n">
        <v>616621</v>
      </c>
      <c r="AX73" s="1007" t="n">
        <v>399341.2500000001</v>
      </c>
      <c r="AY73" s="1006" t="n">
        <v>665349</v>
      </c>
      <c r="AZ73" s="1007" t="n">
        <v>429634.99</v>
      </c>
      <c r="BA73" s="1006" t="n">
        <v>679818</v>
      </c>
      <c r="BB73" s="1007" t="n">
        <v>441654.6400000001</v>
      </c>
      <c r="BC73" s="1006" t="n">
        <v>852653</v>
      </c>
      <c r="BD73" s="1007" t="n">
        <v>550908.3050000001</v>
      </c>
      <c r="BE73" s="1008" t="n">
        <v>633360.0000000001</v>
      </c>
      <c r="BF73" s="992" t="n">
        <v>410012.3458333333</v>
      </c>
      <c r="BG73" s="1006" t="n">
        <v>950930</v>
      </c>
      <c r="BH73" s="1007" t="n">
        <v>614419.3999999999</v>
      </c>
      <c r="BI73" s="1006" t="n">
        <v>775985</v>
      </c>
      <c r="BJ73" s="1007" t="n">
        <v>501687.0549999999</v>
      </c>
      <c r="BK73" s="1006" t="n">
        <v>797449</v>
      </c>
      <c r="BL73" s="1007" t="n">
        <v>514439.89</v>
      </c>
      <c r="BM73" s="1006" t="n">
        <v>750991</v>
      </c>
      <c r="BN73" s="1007" t="n">
        <v>487358.1</v>
      </c>
      <c r="BO73" s="1006" t="n">
        <v>841660</v>
      </c>
      <c r="BP73" s="1007" t="n">
        <v>541704.7100000001</v>
      </c>
      <c r="BQ73" s="1006" t="n">
        <v>822028</v>
      </c>
      <c r="BR73" s="1007" t="n">
        <v>530600.1450000001</v>
      </c>
      <c r="BS73" s="1006" t="n">
        <v>870166</v>
      </c>
      <c r="BT73" s="1007" t="n">
        <v>562774.8199999999</v>
      </c>
      <c r="BU73" s="1006" t="n">
        <v>866931</v>
      </c>
      <c r="BV73" s="1007" t="n">
        <v>561856.5800000001</v>
      </c>
      <c r="BW73" s="1006" t="n">
        <v>902848</v>
      </c>
      <c r="BX73" s="1007" t="n">
        <v>584416.41</v>
      </c>
      <c r="BY73" s="1006" t="n">
        <v>948196</v>
      </c>
      <c r="BZ73" s="1007" t="n">
        <v>616091.025</v>
      </c>
      <c r="CA73" s="1006" t="n">
        <v>918548</v>
      </c>
      <c r="CB73" s="1007" t="n">
        <v>596407.62</v>
      </c>
      <c r="CC73" s="1006" t="n">
        <v>1013832</v>
      </c>
      <c r="CD73" s="1007" t="n">
        <v>662323.54</v>
      </c>
      <c r="CE73" s="979">
        <f>(BG73+BI73+BK73+BM73+BO73+BQ73+BS73+BU73+BW73+BY73+CA73)/11</f>
        <v/>
      </c>
      <c r="CF73" s="976">
        <f>(BH73+BJ73+BL73+BN73+BP73+BR73+BT73+BV73+BX73+BZ73+CB73)/11</f>
        <v/>
      </c>
      <c r="CG73" s="1008" t="n">
        <v>871630.3333333334</v>
      </c>
      <c r="CH73" s="992" t="n">
        <v>564506.6079166667</v>
      </c>
      <c r="CI73" s="1007" t="n"/>
      <c r="CJ73" s="1007" t="n"/>
      <c r="CK73" s="1006" t="n">
        <v>966149</v>
      </c>
      <c r="CL73" s="1007" t="n">
        <v>631951.1800000001</v>
      </c>
      <c r="CM73" s="1006" t="n">
        <v>819391</v>
      </c>
      <c r="CN73" s="1007" t="n">
        <v>533039.53</v>
      </c>
      <c r="CO73" s="1006" t="n">
        <v>1020734</v>
      </c>
      <c r="CP73" s="1007" t="n">
        <v>677415.9199999999</v>
      </c>
      <c r="CQ73" s="1006" t="n">
        <v>803419</v>
      </c>
      <c r="CR73" s="1007" t="n">
        <v>524739.3</v>
      </c>
      <c r="CS73" s="1006" t="n">
        <v>889239</v>
      </c>
      <c r="CT73" s="1007" t="n">
        <v>583333.9150000002</v>
      </c>
      <c r="CU73" s="1006" t="n">
        <v>884247</v>
      </c>
      <c r="CV73" s="1007" t="n">
        <v>578612.4000000001</v>
      </c>
      <c r="CW73" s="1006" t="n">
        <v>0</v>
      </c>
      <c r="CX73" s="1007" t="n">
        <v>0</v>
      </c>
      <c r="CY73" s="1006" t="n">
        <v>0</v>
      </c>
      <c r="CZ73" s="1007" t="n">
        <v>0</v>
      </c>
      <c r="DA73" s="1006" t="n">
        <v>0</v>
      </c>
      <c r="DB73" s="1007" t="n">
        <v>0</v>
      </c>
      <c r="DC73" s="1006" t="n">
        <v>0</v>
      </c>
      <c r="DD73" s="1007" t="n">
        <v>0</v>
      </c>
      <c r="DE73" s="1006" t="n">
        <v>0</v>
      </c>
      <c r="DF73" s="1007" t="n">
        <v>0</v>
      </c>
      <c r="DG73" s="1006" t="n">
        <v>0</v>
      </c>
      <c r="DH73" s="1007" t="n">
        <v>0</v>
      </c>
      <c r="DI73" s="983">
        <f>CK73+CM73+CO73+CQ73+CS73+CU73+CW73+CY73+DA73+DC73+DE73+DG73</f>
        <v/>
      </c>
      <c r="DJ73" s="983">
        <f>CL73+CN73+CP73+CR73+CT73+CV73+CX73+CZ73+DB73+DD73+DF73+DH73</f>
        <v/>
      </c>
      <c r="DK73" s="983" t="n"/>
      <c r="DL73" s="983" t="n"/>
      <c r="DM73" s="985">
        <f>DI73/11</f>
        <v/>
      </c>
      <c r="DN73" s="1129">
        <f>DJ73/11</f>
        <v/>
      </c>
      <c r="DO73" s="69">
        <f>DN73/$DN$57%</f>
        <v/>
      </c>
      <c r="DP73" s="1006" t="n">
        <v>966149</v>
      </c>
      <c r="DQ73" s="1007" t="n">
        <v>631951.1800000001</v>
      </c>
      <c r="DR73" s="1006" t="n">
        <v>819391</v>
      </c>
      <c r="DS73" s="1007" t="n">
        <v>533039.53</v>
      </c>
      <c r="DT73" s="1006" t="n">
        <v>1020734</v>
      </c>
      <c r="DU73" s="1007" t="n">
        <v>677415.9199999999</v>
      </c>
      <c r="DV73" s="1006" t="n">
        <v>803419</v>
      </c>
      <c r="DW73" s="1007" t="n">
        <v>524739.3</v>
      </c>
      <c r="DX73" s="1006" t="n">
        <v>889239</v>
      </c>
      <c r="DY73" s="1007" t="n">
        <v>583333.9150000002</v>
      </c>
      <c r="DZ73" s="1006" t="n">
        <v>884247</v>
      </c>
      <c r="EA73" s="1007" t="n">
        <v>578612.4000000001</v>
      </c>
      <c r="EB73" s="1006" t="n">
        <v>0</v>
      </c>
      <c r="EC73" s="1007" t="n">
        <v>0</v>
      </c>
      <c r="ED73" s="1006" t="n">
        <v>0</v>
      </c>
      <c r="EE73" s="1007" t="n">
        <v>0</v>
      </c>
      <c r="EF73" s="1006" t="n">
        <v>0</v>
      </c>
      <c r="EG73" s="1007" t="n">
        <v>0</v>
      </c>
      <c r="EH73" s="1006" t="n">
        <v>0</v>
      </c>
      <c r="EI73" s="1007" t="n">
        <v>0</v>
      </c>
      <c r="EJ73" s="1006" t="n">
        <v>0</v>
      </c>
      <c r="EK73" s="1007" t="n">
        <v>0</v>
      </c>
      <c r="EL73" s="1006" t="n">
        <v>0</v>
      </c>
      <c r="EM73" s="1007" t="n">
        <v>0</v>
      </c>
      <c r="EN73" s="983">
        <f>DP73+DR73+DT73+DV73+DX73+DZ73+EB73+ED73+EF73+EH73+EJ73+EL73</f>
        <v/>
      </c>
      <c r="EO73" s="983">
        <f>DQ73+DS73+DU73+DW73+DY73+EA73+EC73+EE73+EG73+EI73+EK73+EM73</f>
        <v/>
      </c>
      <c r="EP73" s="985">
        <f>EN73/11</f>
        <v/>
      </c>
      <c r="EQ73" s="1129">
        <f>EO73/11</f>
        <v/>
      </c>
      <c r="ER73" s="1160" t="n"/>
      <c r="ES73" s="88" t="n">
        <v>0</v>
      </c>
      <c r="ET73" s="1005" t="n">
        <v>-100</v>
      </c>
      <c r="EU73" s="1005" t="n">
        <v>-100</v>
      </c>
      <c r="EZ73" s="986">
        <f>EY73*11</f>
        <v/>
      </c>
    </row>
    <row r="74" ht="21.75" customHeight="1">
      <c r="CG74" s="42" t="n"/>
      <c r="CH74" s="42" t="n"/>
      <c r="CI74" s="1" t="n"/>
      <c r="CJ74" s="969" t="n"/>
      <c r="CL74" s="42" t="n"/>
      <c r="DJ74" s="1" t="n"/>
      <c r="DK74" s="1" t="n"/>
      <c r="DL74" s="1" t="n"/>
      <c r="DM74" s="506" t="n"/>
      <c r="DN74" s="506" t="n"/>
      <c r="DQ74" s="42" t="n"/>
      <c r="EO74" s="1" t="n"/>
      <c r="EP74" s="506" t="n"/>
      <c r="EQ74" s="506" t="n"/>
      <c r="ER74" s="506" t="n"/>
      <c r="ET74" s="1009" t="n"/>
    </row>
    <row r="75" ht="21.75" customHeight="1">
      <c r="CG75" s="42" t="n"/>
      <c r="CH75" s="42" t="n"/>
      <c r="CI75" s="1010" t="n"/>
      <c r="CJ75" s="1010" t="n"/>
      <c r="CK75" s="1010" t="n"/>
      <c r="CL75" s="1010" t="n"/>
      <c r="CM75" s="1010" t="n"/>
      <c r="CN75" s="1010" t="n"/>
      <c r="CO75" s="1010" t="n"/>
      <c r="CP75" s="1010" t="n"/>
      <c r="CQ75" s="1010" t="n"/>
      <c r="CR75" s="1010" t="n"/>
      <c r="CS75" s="1010" t="n"/>
      <c r="CT75" s="1010" t="n"/>
      <c r="CU75" s="1010" t="n"/>
      <c r="CV75" s="1010" t="n"/>
      <c r="CW75" s="1010" t="n"/>
      <c r="CX75" s="1010" t="n"/>
      <c r="CY75" s="1010" t="n"/>
      <c r="CZ75" s="1010" t="n"/>
      <c r="DA75" s="1010" t="n"/>
      <c r="DB75" s="1010" t="n"/>
      <c r="DC75" s="1010" t="n"/>
      <c r="DD75" s="1010" t="n"/>
      <c r="DE75" s="1010" t="n"/>
      <c r="DF75" s="1010" t="n"/>
      <c r="DJ75" s="1" t="n"/>
      <c r="DK75" s="1" t="n"/>
      <c r="DL75" s="1" t="n"/>
      <c r="DP75" s="1010" t="n"/>
      <c r="DQ75" s="1010" t="n"/>
      <c r="DR75" s="1010" t="n"/>
      <c r="DS75" s="1010" t="n"/>
      <c r="DT75" s="1010" t="n"/>
      <c r="DU75" s="1010" t="n"/>
      <c r="DV75" s="1010" t="n"/>
      <c r="DW75" s="1010" t="n"/>
      <c r="DX75" s="1010" t="n"/>
      <c r="DY75" s="1010" t="n"/>
      <c r="DZ75" s="1010" t="n"/>
      <c r="EA75" s="1010" t="n"/>
      <c r="EB75" s="1010" t="n"/>
      <c r="EC75" s="1010" t="n"/>
      <c r="ED75" s="1010" t="n"/>
      <c r="EE75" s="1010" t="n"/>
      <c r="EF75" s="1010" t="n"/>
      <c r="EG75" s="1010" t="n"/>
      <c r="EH75" s="1010" t="n"/>
      <c r="EI75" s="1010" t="n"/>
      <c r="EJ75" s="1010" t="n"/>
      <c r="EK75" s="1010" t="n"/>
      <c r="EO75" s="1" t="n"/>
    </row>
    <row r="76">
      <c r="CG76" s="42" t="n"/>
      <c r="CH76" s="42" t="n"/>
      <c r="CI76" s="1010" t="n"/>
      <c r="CJ76" s="1010" t="n"/>
      <c r="CK76" s="1010" t="n"/>
      <c r="CL76" s="1010" t="n"/>
      <c r="CM76" s="1010" t="n"/>
      <c r="CN76" s="1010" t="n"/>
      <c r="CO76" s="1010" t="n"/>
      <c r="CP76" s="1010" t="n"/>
      <c r="CQ76" s="1010" t="n"/>
      <c r="CR76" s="1010" t="n"/>
      <c r="CS76" s="1010" t="n"/>
      <c r="CT76" s="1010" t="n"/>
      <c r="CU76" s="1010" t="n"/>
      <c r="CV76" s="1010" t="n"/>
      <c r="CW76" s="1010" t="n"/>
      <c r="CX76" s="1010" t="n"/>
      <c r="CY76" s="1010" t="n"/>
      <c r="CZ76" s="1010" t="n"/>
      <c r="DA76" s="1010" t="n"/>
      <c r="DB76" s="1010" t="n"/>
      <c r="DJ76" s="1" t="n"/>
      <c r="DK76" s="1" t="n"/>
      <c r="DL76" s="1" t="n"/>
      <c r="DP76" s="1010" t="n"/>
      <c r="DQ76" s="1010" t="n"/>
      <c r="DR76" s="1010" t="n"/>
      <c r="DS76" s="1010" t="n"/>
      <c r="DT76" s="1010" t="n"/>
      <c r="DU76" s="1010" t="n"/>
      <c r="DV76" s="1010" t="n"/>
      <c r="DW76" s="1010" t="n"/>
      <c r="DX76" s="1010" t="n"/>
      <c r="DY76" s="1010" t="n"/>
      <c r="DZ76" s="1010" t="n"/>
      <c r="EA76" s="1010" t="n"/>
      <c r="EB76" s="1010" t="n"/>
      <c r="EC76" s="1010" t="n"/>
      <c r="ED76" s="1010" t="n"/>
      <c r="EE76" s="1010" t="n"/>
      <c r="EF76" s="1010" t="n"/>
      <c r="EG76" s="1010" t="n"/>
      <c r="EO76" s="1" t="n"/>
    </row>
    <row r="77">
      <c r="DC77" s="1010" t="n"/>
      <c r="DD77" s="1011" t="n"/>
      <c r="EH77" s="1010" t="n"/>
      <c r="EI77" s="1011" t="n"/>
    </row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</sheetData>
  <mergeCells count="81">
    <mergeCell ref="EZ1:EZ3"/>
    <mergeCell ref="DT2:DU2"/>
    <mergeCell ref="DV2:DW2"/>
    <mergeCell ref="EN2:EO2"/>
    <mergeCell ref="EP2:EQ2"/>
    <mergeCell ref="A2:A3"/>
    <mergeCell ref="EV1:EY1"/>
    <mergeCell ref="C2:C3"/>
    <mergeCell ref="E2:E3"/>
    <mergeCell ref="AQ2:AR2"/>
    <mergeCell ref="AS2:AT2"/>
    <mergeCell ref="K2:L2"/>
    <mergeCell ref="BE2:BF2"/>
    <mergeCell ref="BG2:BH2"/>
    <mergeCell ref="DG2:DH2"/>
    <mergeCell ref="ED2:EE2"/>
    <mergeCell ref="DI2:DJ2"/>
    <mergeCell ref="O2:P2"/>
    <mergeCell ref="Q2:R2"/>
    <mergeCell ref="BS2:BT2"/>
    <mergeCell ref="AA2:AB2"/>
    <mergeCell ref="BK2:BL2"/>
    <mergeCell ref="AC2:AD2"/>
    <mergeCell ref="CC2:CD2"/>
    <mergeCell ref="AU2:AV2"/>
    <mergeCell ref="CE2:CF2"/>
    <mergeCell ref="CO2:CP2"/>
    <mergeCell ref="CQ2:CR2"/>
    <mergeCell ref="ES2:ES3"/>
    <mergeCell ref="F2:F3"/>
    <mergeCell ref="DX2:DY2"/>
    <mergeCell ref="DZ2:EA2"/>
    <mergeCell ref="DR2:DS2"/>
    <mergeCell ref="EJ2:EK2"/>
    <mergeCell ref="EL2:EM2"/>
    <mergeCell ref="EV2:EW2"/>
    <mergeCell ref="W2:X2"/>
    <mergeCell ref="AI2:AJ2"/>
    <mergeCell ref="AK2:AL2"/>
    <mergeCell ref="AM2:AN2"/>
    <mergeCell ref="AO2:AP2"/>
    <mergeCell ref="G2:H2"/>
    <mergeCell ref="I2:J2"/>
    <mergeCell ref="BI2:BJ2"/>
    <mergeCell ref="BA2:BB2"/>
    <mergeCell ref="BC2:BD2"/>
    <mergeCell ref="B2:B3"/>
    <mergeCell ref="DC2:DD2"/>
    <mergeCell ref="BU2:BV2"/>
    <mergeCell ref="D2:D3"/>
    <mergeCell ref="DE2:DF2"/>
    <mergeCell ref="M2:N2"/>
    <mergeCell ref="Y2:Z2"/>
    <mergeCell ref="BY2:BZ2"/>
    <mergeCell ref="CA2:CB2"/>
    <mergeCell ref="CK2:CL2"/>
    <mergeCell ref="CM2:CN2"/>
    <mergeCell ref="A1:F1"/>
    <mergeCell ref="DP2:DQ2"/>
    <mergeCell ref="ET1:EU1"/>
    <mergeCell ref="EB2:EC2"/>
    <mergeCell ref="AW2:AX2"/>
    <mergeCell ref="EF2:EG2"/>
    <mergeCell ref="EH2:EI2"/>
    <mergeCell ref="S2:T2"/>
    <mergeCell ref="U2:V2"/>
    <mergeCell ref="BM2:BN2"/>
    <mergeCell ref="BW2:BX2"/>
    <mergeCell ref="AE2:AF2"/>
    <mergeCell ref="BO2:BP2"/>
    <mergeCell ref="AG2:AH2"/>
    <mergeCell ref="CG2:CH2"/>
    <mergeCell ref="CS2:CT2"/>
    <mergeCell ref="CU2:CV2"/>
    <mergeCell ref="CW2:CX2"/>
    <mergeCell ref="AY2:AZ2"/>
    <mergeCell ref="CY2:CZ2"/>
    <mergeCell ref="BQ2:BR2"/>
    <mergeCell ref="DA2:DB2"/>
    <mergeCell ref="DK2:DL2"/>
    <mergeCell ref="DM2:DN2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CX20"/>
  <sheetViews>
    <sheetView zoomScale="80" zoomScaleNormal="80" workbookViewId="0">
      <pane xSplit="2" ySplit="2" topLeftCell="BH3" activePane="bottomRight" state="frozen"/>
      <selection activeCell="AO5" sqref="AO5"/>
      <selection pane="topRight" activeCell="AO5" sqref="AO5"/>
      <selection pane="bottomLeft" activeCell="AO5" sqref="AO5"/>
      <selection pane="bottomRight" activeCell="CX4" sqref="CX4"/>
    </sheetView>
  </sheetViews>
  <sheetFormatPr baseColWidth="8" defaultColWidth="9.109375" defaultRowHeight="20.4"/>
  <cols>
    <col width="4.109375" bestFit="1" customWidth="1" style="126" min="1" max="1"/>
    <col width="16.44140625" bestFit="1" customWidth="1" style="126" min="2" max="2"/>
    <col hidden="1" width="11.6640625" customWidth="1" style="270" min="3" max="3"/>
    <col hidden="1" width="12.109375" customWidth="1" style="270" min="4" max="4"/>
    <col hidden="1" width="9" customWidth="1" style="270" min="5" max="24"/>
    <col hidden="1" width="11.88671875" customWidth="1" style="270" min="25" max="25"/>
    <col hidden="1" width="11.6640625" customWidth="1" style="270" min="26" max="28"/>
    <col hidden="1" width="9.88671875" customWidth="1" style="126" min="29" max="30"/>
    <col hidden="1" width="10.6640625" customWidth="1" style="126" min="31" max="31"/>
    <col hidden="1" width="10.44140625" customWidth="1" style="126" min="32" max="33"/>
    <col hidden="1" width="10.6640625" customWidth="1" style="126" min="34" max="35"/>
    <col hidden="1" width="10.44140625" customWidth="1" style="126" min="36" max="37"/>
    <col hidden="1" width="10.109375" customWidth="1" style="126" min="38" max="39"/>
    <col hidden="1" width="10.5546875" customWidth="1" style="126" min="40" max="40"/>
    <col hidden="1" width="10.109375" customWidth="1" style="126" min="41" max="41"/>
    <col hidden="1" width="10.44140625" customWidth="1" style="126" min="42" max="47"/>
    <col hidden="1" width="12.6640625" customWidth="1" style="126" min="48" max="49"/>
    <col hidden="1" width="10.44140625" customWidth="1" style="126" min="50" max="51"/>
    <col hidden="1" width="11.5546875" customWidth="1" style="126" min="52" max="53"/>
    <col hidden="1" width="11.33203125" customWidth="1" style="126" min="54" max="55"/>
    <col hidden="1" width="11.44140625" customWidth="1" style="126" min="56" max="56"/>
    <col hidden="1" width="10" customWidth="1" style="126" min="57" max="57"/>
    <col width="10" customWidth="1" style="126" min="58" max="59"/>
    <col width="10.33203125" customWidth="1" style="126" min="60" max="60"/>
    <col width="9.44140625" customWidth="1" style="126" min="61" max="61"/>
    <col width="11.88671875" customWidth="1" style="126" min="62" max="62"/>
    <col hidden="1" width="10.44140625" customWidth="1" style="126" min="63" max="64"/>
    <col hidden="1" width="10.6640625" customWidth="1" style="126" min="65" max="66"/>
    <col hidden="1" width="10.44140625" customWidth="1" style="126" min="67" max="68"/>
    <col hidden="1" width="10.109375" customWidth="1" style="126" min="69" max="70"/>
    <col hidden="1" width="10.5546875" customWidth="1" style="126" min="71" max="71"/>
    <col hidden="1" width="10.109375" customWidth="1" style="126" min="72" max="72"/>
    <col hidden="1" width="10.44140625" customWidth="1" style="126" min="73" max="78"/>
    <col hidden="1" width="12.6640625" customWidth="1" style="126" min="79" max="80"/>
    <col hidden="1" width="10.44140625" customWidth="1" style="126" min="81" max="82"/>
    <col hidden="1" width="11.5546875" customWidth="1" style="126" min="83" max="84"/>
    <col hidden="1" width="11.33203125" customWidth="1" style="126" min="85" max="86"/>
    <col hidden="1" width="11.44140625" customWidth="1" style="126" min="87" max="87"/>
    <col hidden="1" width="10" customWidth="1" style="126" min="88" max="88"/>
    <col width="10" customWidth="1" style="126" min="89" max="90"/>
    <col width="11.44140625" customWidth="1" style="126" min="91" max="91"/>
    <col width="14" customWidth="1" style="126" min="92" max="92"/>
    <col width="19.5546875" customWidth="1" style="126" min="93" max="93"/>
    <col width="19.44140625" customWidth="1" style="126" min="94" max="94"/>
    <col width="17.109375" customWidth="1" style="126" min="95" max="95"/>
    <col width="13.5546875" customWidth="1" style="126" min="96" max="96"/>
    <col width="17.6640625" customWidth="1" style="126" min="97" max="97"/>
    <col width="12.33203125" customWidth="1" style="126" min="98" max="98"/>
    <col width="11" customWidth="1" style="126" min="99" max="99"/>
    <col width="16.6640625" bestFit="1" customWidth="1" style="126" min="100" max="100"/>
    <col width="13.33203125" customWidth="1" style="126" min="101" max="101"/>
    <col width="19.44140625" bestFit="1" customWidth="1" style="126" min="102" max="102"/>
    <col width="9.109375" customWidth="1" style="126" min="103" max="16384"/>
  </cols>
  <sheetData>
    <row r="1" ht="30" customHeight="1" thickBot="1">
      <c r="A1" s="886" t="inlineStr">
        <is>
          <t>No</t>
        </is>
      </c>
      <c r="B1" s="888" t="inlineStr">
        <is>
          <t>TownShip</t>
        </is>
      </c>
      <c r="C1" s="888" t="n"/>
      <c r="D1" s="888" t="n"/>
      <c r="E1" s="888" t="n"/>
      <c r="F1" s="888" t="n"/>
      <c r="G1" s="888" t="n"/>
      <c r="H1" s="888" t="n"/>
      <c r="I1" s="888" t="n"/>
      <c r="J1" s="888" t="n"/>
      <c r="K1" s="888" t="n"/>
      <c r="L1" s="888" t="n"/>
      <c r="M1" s="888" t="n"/>
      <c r="N1" s="888" t="n"/>
      <c r="O1" s="888" t="n"/>
      <c r="P1" s="888" t="n"/>
      <c r="Q1" s="888" t="n"/>
      <c r="R1" s="888" t="n"/>
      <c r="S1" s="888" t="n"/>
      <c r="T1" s="888" t="n"/>
      <c r="U1" s="888" t="n"/>
      <c r="V1" s="888" t="n"/>
      <c r="W1" s="888" t="n"/>
      <c r="X1" s="888" t="n"/>
      <c r="Y1" s="888" t="n"/>
      <c r="Z1" s="888" t="n"/>
      <c r="AA1" s="280" t="n"/>
      <c r="AB1" s="280" t="n"/>
      <c r="AC1" s="274" t="n"/>
      <c r="AD1" s="274" t="n"/>
      <c r="AE1" s="138" t="n"/>
      <c r="AF1" s="890" t="inlineStr">
        <is>
          <t>Meiktila Report (2025)</t>
        </is>
      </c>
      <c r="AG1" s="1161" t="n"/>
      <c r="AH1" s="1161" t="n"/>
      <c r="AI1" s="1161" t="n"/>
      <c r="AJ1" s="1161" t="n"/>
      <c r="AK1" s="1161" t="n"/>
      <c r="AL1" s="1161" t="n"/>
      <c r="AM1" s="1161" t="n"/>
      <c r="AN1" s="1161" t="n"/>
      <c r="AO1" s="1161" t="n"/>
      <c r="AP1" s="1161" t="n"/>
      <c r="AQ1" s="1161" t="n"/>
      <c r="AR1" s="1161" t="n"/>
      <c r="AS1" s="1161" t="n"/>
      <c r="AT1" s="1161" t="n"/>
      <c r="AU1" s="1161" t="n"/>
      <c r="AV1" s="1161" t="n"/>
      <c r="AW1" s="1161" t="n"/>
      <c r="AX1" s="1161" t="n"/>
      <c r="AY1" s="1161" t="n"/>
      <c r="AZ1" s="1161" t="n"/>
      <c r="BA1" s="1161" t="n"/>
      <c r="BB1" s="1161" t="n"/>
      <c r="BC1" s="1161" t="n"/>
      <c r="BD1" s="1161" t="n"/>
      <c r="BE1" s="1161" t="n"/>
      <c r="BF1" s="1161" t="n"/>
      <c r="BG1" s="1161" t="n"/>
      <c r="BH1" s="1161" t="n"/>
      <c r="BI1" s="1162" t="n"/>
      <c r="BJ1" s="878" t="inlineStr">
        <is>
          <t>Town wise Contribution Jan-Dec'25</t>
        </is>
      </c>
      <c r="BK1" s="878" t="n"/>
      <c r="BL1" s="878" t="n"/>
      <c r="BM1" s="878" t="n"/>
      <c r="BN1" s="878" t="n"/>
      <c r="BO1" s="878" t="n"/>
      <c r="BP1" s="878" t="n"/>
      <c r="BQ1" s="878" t="n"/>
      <c r="BR1" s="878" t="n"/>
      <c r="BS1" s="878" t="n"/>
      <c r="BT1" s="878" t="n"/>
      <c r="BU1" s="878" t="n"/>
      <c r="BV1" s="878" t="n"/>
      <c r="BW1" s="878" t="n"/>
      <c r="BX1" s="878" t="n"/>
      <c r="BY1" s="878" t="n"/>
      <c r="BZ1" s="878" t="n"/>
      <c r="CA1" s="878" t="n"/>
      <c r="CB1" s="878" t="n"/>
      <c r="CC1" s="878" t="n"/>
      <c r="CD1" s="878" t="n"/>
      <c r="CE1" s="878" t="n"/>
      <c r="CF1" s="878" t="n"/>
      <c r="CG1" s="878" t="n"/>
      <c r="CH1" s="878" t="n"/>
      <c r="CI1" s="878" t="n"/>
      <c r="CJ1" s="878" t="n"/>
      <c r="CK1" s="878" t="n"/>
      <c r="CL1" s="878" t="n"/>
      <c r="CM1" s="878" t="inlineStr">
        <is>
          <t>Town wise Contribution Jan-Feb'26</t>
        </is>
      </c>
      <c r="CN1" s="902" t="inlineStr">
        <is>
          <t>Town Wise Difference in Contribution</t>
        </is>
      </c>
      <c r="CO1" s="546" t="n"/>
      <c r="CP1" s="547" t="n"/>
      <c r="CQ1" s="899" t="inlineStr">
        <is>
          <t>Monthly GAP</t>
        </is>
      </c>
      <c r="CR1" s="970" t="n"/>
      <c r="CS1" s="970" t="n"/>
      <c r="CT1" s="971" t="n"/>
      <c r="CU1" s="1163" t="inlineStr">
        <is>
          <t>Gain/Loss  in 2 Months</t>
        </is>
      </c>
      <c r="CV1" s="435" t="n"/>
      <c r="CW1" s="436" t="n"/>
      <c r="CX1" s="437" t="n"/>
    </row>
    <row r="2" ht="27" customHeight="1">
      <c r="A2" s="1164" t="n"/>
      <c r="B2" s="973" t="n"/>
      <c r="C2" s="1165" t="n">
        <v>45292</v>
      </c>
      <c r="D2" s="1162" t="n"/>
      <c r="E2" s="1165" t="n">
        <v>45323</v>
      </c>
      <c r="F2" s="1162" t="n"/>
      <c r="G2" s="1165" t="n">
        <v>45352</v>
      </c>
      <c r="H2" s="1162" t="n"/>
      <c r="I2" s="1165" t="n">
        <v>45383</v>
      </c>
      <c r="J2" s="1162" t="n"/>
      <c r="K2" s="1165" t="n">
        <v>45413</v>
      </c>
      <c r="L2" s="1162" t="n"/>
      <c r="M2" s="1165" t="n">
        <v>45444</v>
      </c>
      <c r="N2" s="1162" t="n"/>
      <c r="O2" s="1165" t="n">
        <v>45474</v>
      </c>
      <c r="P2" s="1162" t="n"/>
      <c r="Q2" s="1165" t="n">
        <v>45505</v>
      </c>
      <c r="R2" s="1162" t="n"/>
      <c r="S2" s="1165" t="n">
        <v>45536</v>
      </c>
      <c r="T2" s="1162" t="n"/>
      <c r="U2" s="1165" t="n">
        <v>45566</v>
      </c>
      <c r="V2" s="1162" t="n"/>
      <c r="W2" s="1165" t="n">
        <v>45597</v>
      </c>
      <c r="X2" s="1162" t="n"/>
      <c r="Y2" s="1165" t="n">
        <v>45627</v>
      </c>
      <c r="Z2" s="1162" t="n"/>
      <c r="AA2" s="1166" t="inlineStr">
        <is>
          <t>Jan-Nov 2024 AVG</t>
        </is>
      </c>
      <c r="AB2" s="971" t="n"/>
      <c r="AC2" s="891" t="inlineStr">
        <is>
          <t>Jan-Dec 2024 AVG</t>
        </is>
      </c>
      <c r="AD2" s="971" t="n"/>
      <c r="AE2" s="132" t="inlineStr">
        <is>
          <t>Contribution</t>
        </is>
      </c>
      <c r="AF2" s="883" t="inlineStr">
        <is>
          <t xml:space="preserve">January </t>
        </is>
      </c>
      <c r="AG2" s="971" t="n"/>
      <c r="AH2" s="883" t="inlineStr">
        <is>
          <t xml:space="preserve">February </t>
        </is>
      </c>
      <c r="AI2" s="971" t="n"/>
      <c r="AJ2" s="883" t="inlineStr">
        <is>
          <t xml:space="preserve">March </t>
        </is>
      </c>
      <c r="AK2" s="971" t="n"/>
      <c r="AL2" s="883" t="inlineStr">
        <is>
          <t xml:space="preserve">April </t>
        </is>
      </c>
      <c r="AM2" s="971" t="n"/>
      <c r="AN2" s="883" t="inlineStr">
        <is>
          <t xml:space="preserve">May </t>
        </is>
      </c>
      <c r="AO2" s="971" t="n"/>
      <c r="AP2" s="883" t="inlineStr">
        <is>
          <t xml:space="preserve">June </t>
        </is>
      </c>
      <c r="AQ2" s="971" t="n"/>
      <c r="AR2" s="883" t="inlineStr">
        <is>
          <t xml:space="preserve">July </t>
        </is>
      </c>
      <c r="AS2" s="971" t="n"/>
      <c r="AT2" s="883" t="inlineStr">
        <is>
          <t xml:space="preserve">August </t>
        </is>
      </c>
      <c r="AU2" s="971" t="n"/>
      <c r="AV2" s="883" t="inlineStr">
        <is>
          <t xml:space="preserve">September </t>
        </is>
      </c>
      <c r="AW2" s="971" t="n"/>
      <c r="AX2" s="884" t="inlineStr">
        <is>
          <t>October</t>
        </is>
      </c>
      <c r="AY2" s="971" t="n"/>
      <c r="AZ2" s="884" t="inlineStr">
        <is>
          <t>November</t>
        </is>
      </c>
      <c r="BA2" s="971" t="n"/>
      <c r="BB2" s="884" t="inlineStr">
        <is>
          <t>December</t>
        </is>
      </c>
      <c r="BC2" s="971" t="n"/>
      <c r="BD2" s="884" t="inlineStr">
        <is>
          <t>Jan to Dec 2025</t>
        </is>
      </c>
      <c r="BE2" s="971" t="n"/>
      <c r="BF2" s="885" t="inlineStr">
        <is>
          <t>Jan-Feb 2025 AVG</t>
        </is>
      </c>
      <c r="BG2" s="971" t="n"/>
      <c r="BH2" s="885" t="inlineStr">
        <is>
          <t>Jan-Dec 2025 AVG</t>
        </is>
      </c>
      <c r="BI2" s="971" t="n"/>
      <c r="BJ2" s="973" t="n"/>
      <c r="BK2" s="882" t="n">
        <v>46023</v>
      </c>
      <c r="BL2" s="971" t="n"/>
      <c r="BM2" s="882" t="n">
        <v>46054</v>
      </c>
      <c r="BN2" s="971" t="n"/>
      <c r="BO2" s="882" t="n">
        <v>46082</v>
      </c>
      <c r="BP2" s="971" t="n"/>
      <c r="BQ2" s="882" t="n">
        <v>46113</v>
      </c>
      <c r="BR2" s="971" t="n"/>
      <c r="BS2" s="882" t="n">
        <v>46143</v>
      </c>
      <c r="BT2" s="971" t="n"/>
      <c r="BU2" s="882" t="n">
        <v>46174</v>
      </c>
      <c r="BV2" s="971" t="n"/>
      <c r="BW2" s="882" t="n">
        <v>46204</v>
      </c>
      <c r="BX2" s="971" t="n"/>
      <c r="BY2" s="882" t="n">
        <v>46235</v>
      </c>
      <c r="BZ2" s="971" t="n"/>
      <c r="CA2" s="882" t="n">
        <v>46266</v>
      </c>
      <c r="CB2" s="971" t="n"/>
      <c r="CC2" s="882" t="n">
        <v>46296</v>
      </c>
      <c r="CD2" s="971" t="n"/>
      <c r="CE2" s="882" t="n">
        <v>46327</v>
      </c>
      <c r="CF2" s="971" t="n"/>
      <c r="CG2" s="882" t="n">
        <v>46357</v>
      </c>
      <c r="CH2" s="971" t="n"/>
      <c r="CI2" s="884" t="inlineStr">
        <is>
          <t>Jan to Dec 2025</t>
        </is>
      </c>
      <c r="CJ2" s="971" t="n"/>
      <c r="CK2" s="885" t="inlineStr">
        <is>
          <t>Jan-Feb 2026 AVG</t>
        </is>
      </c>
      <c r="CL2" s="971" t="n"/>
      <c r="CM2" s="973" t="n"/>
      <c r="CN2" s="973" t="n"/>
      <c r="CO2" s="548" t="inlineStr">
        <is>
          <t>GOLY Jan-Feb 25 Vs 26</t>
        </is>
      </c>
      <c r="CP2" s="548" t="inlineStr">
        <is>
          <t>GOLY Jan-Dec 25 Vs 26</t>
        </is>
      </c>
      <c r="CQ2" s="899" t="inlineStr">
        <is>
          <t>Litre Wise Difference</t>
        </is>
      </c>
      <c r="CR2" s="971" t="n"/>
      <c r="CS2" s="899" t="inlineStr">
        <is>
          <t>Carton (14Pcs) wise Difference</t>
        </is>
      </c>
      <c r="CT2" s="971" t="n"/>
      <c r="CU2" s="973" t="n"/>
      <c r="CV2" s="894" t="inlineStr">
        <is>
          <t>AVERAGE Monthly Required till Dec'26  ( In Litre)</t>
        </is>
      </c>
      <c r="CW2" s="970" t="n"/>
      <c r="CX2" s="971" t="n"/>
    </row>
    <row r="3" ht="40.5" customHeight="1" thickBot="1">
      <c r="A3" s="142" t="n"/>
      <c r="B3" s="133" t="n"/>
      <c r="C3" s="258" t="inlineStr">
        <is>
          <t>Bottle</t>
        </is>
      </c>
      <c r="D3" s="259" t="inlineStr">
        <is>
          <t>Liter</t>
        </is>
      </c>
      <c r="E3" s="258" t="inlineStr">
        <is>
          <t>Bottle</t>
        </is>
      </c>
      <c r="F3" s="259" t="inlineStr">
        <is>
          <t>Liter</t>
        </is>
      </c>
      <c r="G3" s="258" t="inlineStr">
        <is>
          <t>Bottle</t>
        </is>
      </c>
      <c r="H3" s="259" t="inlineStr">
        <is>
          <t>Liter</t>
        </is>
      </c>
      <c r="I3" s="258" t="inlineStr">
        <is>
          <t>Bottle</t>
        </is>
      </c>
      <c r="J3" s="259" t="inlineStr">
        <is>
          <t>Liter</t>
        </is>
      </c>
      <c r="K3" s="258" t="inlineStr">
        <is>
          <t>Bottle</t>
        </is>
      </c>
      <c r="L3" s="259" t="inlineStr">
        <is>
          <t>Liter</t>
        </is>
      </c>
      <c r="M3" s="258" t="inlineStr">
        <is>
          <t>Bottle</t>
        </is>
      </c>
      <c r="N3" s="259" t="inlineStr">
        <is>
          <t>Liter</t>
        </is>
      </c>
      <c r="O3" s="258" t="inlineStr">
        <is>
          <t>Bottle</t>
        </is>
      </c>
      <c r="P3" s="259" t="inlineStr">
        <is>
          <t>Liter</t>
        </is>
      </c>
      <c r="Q3" s="258" t="inlineStr">
        <is>
          <t>Bottle</t>
        </is>
      </c>
      <c r="R3" s="259" t="inlineStr">
        <is>
          <t>Liter</t>
        </is>
      </c>
      <c r="S3" s="258" t="inlineStr">
        <is>
          <t>Bottle</t>
        </is>
      </c>
      <c r="T3" s="259" t="inlineStr">
        <is>
          <t>Liter</t>
        </is>
      </c>
      <c r="U3" s="258" t="inlineStr">
        <is>
          <t>Bottle</t>
        </is>
      </c>
      <c r="V3" s="259" t="inlineStr">
        <is>
          <t>Liter</t>
        </is>
      </c>
      <c r="W3" s="258" t="inlineStr">
        <is>
          <t>Bottle</t>
        </is>
      </c>
      <c r="X3" s="259" t="inlineStr">
        <is>
          <t>Liter</t>
        </is>
      </c>
      <c r="Y3" s="258" t="inlineStr">
        <is>
          <t>Bottle</t>
        </is>
      </c>
      <c r="Z3" s="259" t="inlineStr">
        <is>
          <t>Liter</t>
        </is>
      </c>
      <c r="AA3" s="278" t="inlineStr">
        <is>
          <t>Bottle</t>
        </is>
      </c>
      <c r="AB3" s="853" t="inlineStr">
        <is>
          <t>Liter</t>
        </is>
      </c>
      <c r="AC3" s="275" t="inlineStr">
        <is>
          <t>Bottle</t>
        </is>
      </c>
      <c r="AD3" s="275" t="inlineStr">
        <is>
          <t>Litre</t>
        </is>
      </c>
      <c r="AE3" s="137" t="inlineStr">
        <is>
          <t>Litre</t>
        </is>
      </c>
      <c r="AF3" s="134" t="inlineStr">
        <is>
          <t>Bottle</t>
        </is>
      </c>
      <c r="AG3" s="134" t="inlineStr">
        <is>
          <t>Litre</t>
        </is>
      </c>
      <c r="AH3" s="134" t="inlineStr">
        <is>
          <t>Bottle</t>
        </is>
      </c>
      <c r="AI3" s="134" t="inlineStr">
        <is>
          <t>Litre</t>
        </is>
      </c>
      <c r="AJ3" s="134" t="inlineStr">
        <is>
          <t>Bottle</t>
        </is>
      </c>
      <c r="AK3" s="134" t="inlineStr">
        <is>
          <t>Litre</t>
        </is>
      </c>
      <c r="AL3" s="134" t="inlineStr">
        <is>
          <t>Bottle</t>
        </is>
      </c>
      <c r="AM3" s="134" t="inlineStr">
        <is>
          <t>Litre</t>
        </is>
      </c>
      <c r="AN3" s="134" t="inlineStr">
        <is>
          <t>Bottle</t>
        </is>
      </c>
      <c r="AO3" s="134" t="inlineStr">
        <is>
          <t>Litre</t>
        </is>
      </c>
      <c r="AP3" s="134" t="inlineStr">
        <is>
          <t>Bottle</t>
        </is>
      </c>
      <c r="AQ3" s="134" t="inlineStr">
        <is>
          <t>Litre</t>
        </is>
      </c>
      <c r="AR3" s="134" t="inlineStr">
        <is>
          <t>Bottle</t>
        </is>
      </c>
      <c r="AS3" s="134" t="inlineStr">
        <is>
          <t>Litre</t>
        </is>
      </c>
      <c r="AT3" s="134" t="inlineStr">
        <is>
          <t>Bottle</t>
        </is>
      </c>
      <c r="AU3" s="134" t="inlineStr">
        <is>
          <t>Litre</t>
        </is>
      </c>
      <c r="AV3" s="134" t="inlineStr">
        <is>
          <t>Bottle</t>
        </is>
      </c>
      <c r="AW3" s="134" t="inlineStr">
        <is>
          <t>Litre</t>
        </is>
      </c>
      <c r="AX3" s="134" t="inlineStr">
        <is>
          <t>Bottle</t>
        </is>
      </c>
      <c r="AY3" s="134" t="inlineStr">
        <is>
          <t>Litre</t>
        </is>
      </c>
      <c r="AZ3" s="134" t="inlineStr">
        <is>
          <t>Bottle</t>
        </is>
      </c>
      <c r="BA3" s="134" t="inlineStr">
        <is>
          <t>Litre</t>
        </is>
      </c>
      <c r="BB3" s="134" t="inlineStr">
        <is>
          <t>Bottle</t>
        </is>
      </c>
      <c r="BC3" s="134" t="inlineStr">
        <is>
          <t>Litre</t>
        </is>
      </c>
      <c r="BD3" s="135" t="inlineStr">
        <is>
          <t>Bottle</t>
        </is>
      </c>
      <c r="BE3" s="135" t="inlineStr">
        <is>
          <t>Liter</t>
        </is>
      </c>
      <c r="BF3" s="135" t="inlineStr">
        <is>
          <t>Bottle</t>
        </is>
      </c>
      <c r="BG3" s="135" t="inlineStr">
        <is>
          <t>Liter</t>
        </is>
      </c>
      <c r="BH3" s="135" t="inlineStr">
        <is>
          <t>Bottle</t>
        </is>
      </c>
      <c r="BI3" s="135" t="inlineStr">
        <is>
          <t>Liter</t>
        </is>
      </c>
      <c r="BJ3" s="879" t="inlineStr">
        <is>
          <t>Litre</t>
        </is>
      </c>
      <c r="BK3" s="134" t="inlineStr">
        <is>
          <t>Bottle</t>
        </is>
      </c>
      <c r="BL3" s="134" t="inlineStr">
        <is>
          <t>Litre</t>
        </is>
      </c>
      <c r="BM3" s="134" t="inlineStr">
        <is>
          <t>Bottle</t>
        </is>
      </c>
      <c r="BN3" s="134" t="inlineStr">
        <is>
          <t>Litre</t>
        </is>
      </c>
      <c r="BO3" s="134" t="inlineStr">
        <is>
          <t>Bottle</t>
        </is>
      </c>
      <c r="BP3" s="134" t="inlineStr">
        <is>
          <t>Litre</t>
        </is>
      </c>
      <c r="BQ3" s="134" t="inlineStr">
        <is>
          <t>Bottle</t>
        </is>
      </c>
      <c r="BR3" s="134" t="inlineStr">
        <is>
          <t>Litre</t>
        </is>
      </c>
      <c r="BS3" s="134" t="inlineStr">
        <is>
          <t>Bottle</t>
        </is>
      </c>
      <c r="BT3" s="134" t="inlineStr">
        <is>
          <t>Litre</t>
        </is>
      </c>
      <c r="BU3" s="134" t="inlineStr">
        <is>
          <t>Bottle</t>
        </is>
      </c>
      <c r="BV3" s="134" t="inlineStr">
        <is>
          <t>Litre</t>
        </is>
      </c>
      <c r="BW3" s="134" t="inlineStr">
        <is>
          <t>Bottle</t>
        </is>
      </c>
      <c r="BX3" s="134" t="inlineStr">
        <is>
          <t>Litre</t>
        </is>
      </c>
      <c r="BY3" s="134" t="inlineStr">
        <is>
          <t>Bottle</t>
        </is>
      </c>
      <c r="BZ3" s="134" t="inlineStr">
        <is>
          <t>Litre</t>
        </is>
      </c>
      <c r="CA3" s="134" t="inlineStr">
        <is>
          <t>Bottle</t>
        </is>
      </c>
      <c r="CB3" s="134" t="inlineStr">
        <is>
          <t>Litre</t>
        </is>
      </c>
      <c r="CC3" s="134" t="inlineStr">
        <is>
          <t>Bottle</t>
        </is>
      </c>
      <c r="CD3" s="134" t="inlineStr">
        <is>
          <t>Litre</t>
        </is>
      </c>
      <c r="CE3" s="134" t="inlineStr">
        <is>
          <t>Bottle</t>
        </is>
      </c>
      <c r="CF3" s="134" t="inlineStr">
        <is>
          <t>Litre</t>
        </is>
      </c>
      <c r="CG3" s="134" t="inlineStr">
        <is>
          <t>Bottle</t>
        </is>
      </c>
      <c r="CH3" s="134" t="inlineStr">
        <is>
          <t>Litre</t>
        </is>
      </c>
      <c r="CI3" s="135" t="inlineStr">
        <is>
          <t>Bottle</t>
        </is>
      </c>
      <c r="CJ3" s="135" t="inlineStr">
        <is>
          <t>Liter</t>
        </is>
      </c>
      <c r="CK3" s="135" t="inlineStr">
        <is>
          <t>Bottle</t>
        </is>
      </c>
      <c r="CL3" s="135" t="inlineStr">
        <is>
          <t>Liter</t>
        </is>
      </c>
      <c r="CM3" s="135" t="inlineStr">
        <is>
          <t>Litre</t>
        </is>
      </c>
      <c r="CN3" s="903" t="inlineStr">
        <is>
          <t>Litre</t>
        </is>
      </c>
      <c r="CO3" s="548" t="inlineStr">
        <is>
          <t>Litre</t>
        </is>
      </c>
      <c r="CP3" s="548" t="inlineStr">
        <is>
          <t>Litre</t>
        </is>
      </c>
      <c r="CQ3" s="548" t="inlineStr">
        <is>
          <t>Annual AVG</t>
        </is>
      </c>
      <c r="CR3" s="548" t="inlineStr">
        <is>
          <t>YTD (Jan-Feb)</t>
        </is>
      </c>
      <c r="CS3" s="548" t="inlineStr">
        <is>
          <t>Annual AVG</t>
        </is>
      </c>
      <c r="CT3" s="548" t="inlineStr">
        <is>
          <t>YTD</t>
        </is>
      </c>
      <c r="CU3" s="550" t="n"/>
      <c r="CV3" s="438" t="inlineStr">
        <is>
          <t>2026 Exit Growth Expected 108%</t>
        </is>
      </c>
      <c r="CW3" s="439" t="inlineStr">
        <is>
          <t>GAP to Cover by End of December</t>
        </is>
      </c>
      <c r="CX3" s="500" t="inlineStr">
        <is>
          <t>AVG. To Do monthly in next 10 months</t>
        </is>
      </c>
    </row>
    <row r="4" ht="27" customFormat="1" customHeight="1" s="129">
      <c r="A4" s="143" t="n">
        <v>1</v>
      </c>
      <c r="B4" s="127" t="inlineStr">
        <is>
          <t>Meiktila</t>
        </is>
      </c>
      <c r="C4" s="1167" t="n">
        <v>363698</v>
      </c>
      <c r="D4" s="1168" t="n">
        <v>235279.52</v>
      </c>
      <c r="E4" s="1169" t="n">
        <v>301013</v>
      </c>
      <c r="F4" s="1170" t="n">
        <v>194658.16</v>
      </c>
      <c r="G4" s="1167" t="n">
        <v>324304</v>
      </c>
      <c r="H4" s="1168" t="n">
        <v>209268.28</v>
      </c>
      <c r="I4" s="1167" t="n">
        <v>288747</v>
      </c>
      <c r="J4" s="1168" t="n">
        <v>186816.91</v>
      </c>
      <c r="K4" s="1171" t="n">
        <v>311927</v>
      </c>
      <c r="L4" s="1172" t="n">
        <v>201597.3</v>
      </c>
      <c r="M4" s="1167" t="n">
        <v>304753</v>
      </c>
      <c r="N4" s="1168" t="n">
        <v>197206.79</v>
      </c>
      <c r="O4" s="1167" t="n">
        <v>335545</v>
      </c>
      <c r="P4" s="1168" t="n">
        <v>217770.2</v>
      </c>
      <c r="Q4" s="1167" t="n">
        <v>291699</v>
      </c>
      <c r="R4" s="1168" t="n">
        <v>189748.86</v>
      </c>
      <c r="S4" s="1167" t="n">
        <v>338532</v>
      </c>
      <c r="T4" s="1168" t="n">
        <v>220589.28</v>
      </c>
      <c r="U4" s="1167" t="n">
        <v>322318</v>
      </c>
      <c r="V4" s="1168" t="n">
        <v>210903.52</v>
      </c>
      <c r="W4" s="1167" t="n">
        <v>366052</v>
      </c>
      <c r="X4" s="1168" t="n">
        <v>237762.48</v>
      </c>
      <c r="Y4" s="1167" t="n">
        <v>399242</v>
      </c>
      <c r="Z4" s="1168" t="n">
        <v>260025.92</v>
      </c>
      <c r="AA4" s="1173">
        <f>(C4+E4+G4+I4+K4+M4+O4+Q4+S4+U4+W4)/11</f>
        <v/>
      </c>
      <c r="AB4" s="1168">
        <f>(D4+F4+H4+J4+L4+N4+P4+R4+T4+V4+X4)/11</f>
        <v/>
      </c>
      <c r="AC4" s="1174">
        <f>(C4+E4+G4+I4+K4+M4+O4+Q4+S4+U4+W4+Y4)/12</f>
        <v/>
      </c>
      <c r="AD4" s="1175">
        <f>(D4+F4+H4+J4+L4+N4+P4+R4+T4+V4+X4+Z4)/12</f>
        <v/>
      </c>
      <c r="AE4" s="139">
        <f>AD4/$AD$15%</f>
        <v/>
      </c>
      <c r="AF4" s="1176" t="n">
        <v>367121</v>
      </c>
      <c r="AG4" s="1176" t="n">
        <v>240101.3200000003</v>
      </c>
      <c r="AH4" s="1176" t="n">
        <v>295933</v>
      </c>
      <c r="AI4" s="1176" t="n">
        <v>191759.0800000001</v>
      </c>
      <c r="AJ4" s="1176" t="n">
        <v>340823</v>
      </c>
      <c r="AK4" s="1176" t="n">
        <v>221689.1600000004</v>
      </c>
      <c r="AL4" s="1176" t="n">
        <v>301632</v>
      </c>
      <c r="AM4" s="1176" t="n">
        <v>197593.5100000002</v>
      </c>
      <c r="AN4" s="1176" t="n">
        <v>328803</v>
      </c>
      <c r="AO4" s="1176" t="n">
        <v>215845.5500000005</v>
      </c>
      <c r="AP4" s="1176" t="n">
        <v>327493</v>
      </c>
      <c r="AQ4" s="1176" t="n">
        <v>214991.9400000002</v>
      </c>
      <c r="AR4" s="1176" t="n">
        <v>363784</v>
      </c>
      <c r="AS4" s="1176" t="n">
        <v>237539.6700000004</v>
      </c>
      <c r="AT4" s="1176" t="n">
        <v>316803</v>
      </c>
      <c r="AU4" s="1176" t="n">
        <v>208645.6800000003</v>
      </c>
      <c r="AV4" s="1176" t="n">
        <v>362709</v>
      </c>
      <c r="AW4" s="1176" t="n">
        <v>239448.2399999997</v>
      </c>
      <c r="AX4" s="1176" t="n">
        <v>355551</v>
      </c>
      <c r="AY4" s="1176" t="n">
        <v>234021.5400000004</v>
      </c>
      <c r="AZ4" s="1176" t="n">
        <v>335794</v>
      </c>
      <c r="BA4" s="1176" t="n">
        <v>220363.8400000003</v>
      </c>
      <c r="BB4" s="1176" t="n">
        <v>358228</v>
      </c>
      <c r="BC4" s="1176" t="n">
        <v>235248.8800000003</v>
      </c>
      <c r="BD4" s="1176">
        <f>AF4+AH4+AJ4+AL4+AN4+AP4+AR4+AT4+AV4+AX4+AZ4+BB4</f>
        <v/>
      </c>
      <c r="BE4" s="1176">
        <f>AG4+AI4+AK4+AM4+AO4+AQ4+AS4+AU4+AW4+AY4+BA4+BC4</f>
        <v/>
      </c>
      <c r="BF4" s="1176">
        <f>(AF4+AH4)/2</f>
        <v/>
      </c>
      <c r="BG4" s="1177">
        <f>(AG4+AI4)/2</f>
        <v/>
      </c>
      <c r="BH4" s="1178">
        <f>BD4/12</f>
        <v/>
      </c>
      <c r="BI4" s="1179">
        <f>BE4/12</f>
        <v/>
      </c>
      <c r="BJ4" s="141">
        <f>BI4/$BI$15%</f>
        <v/>
      </c>
      <c r="BK4" s="1176" t="n">
        <v>120</v>
      </c>
      <c r="BL4" s="1176" t="n">
        <v>84</v>
      </c>
      <c r="BM4" s="1176" t="n">
        <v>108</v>
      </c>
      <c r="BN4" s="1176" t="n">
        <v>75.59999999999999</v>
      </c>
      <c r="BO4" s="1176" t="n">
        <v>132</v>
      </c>
      <c r="BP4" s="1176" t="n">
        <v>92.39999999999999</v>
      </c>
      <c r="BQ4" s="1176" t="n"/>
      <c r="BR4" s="1176" t="n"/>
      <c r="BS4" s="1176" t="n"/>
      <c r="BT4" s="1176" t="n"/>
      <c r="BU4" s="1176" t="n"/>
      <c r="BV4" s="1176" t="n"/>
      <c r="BW4" s="1176" t="n"/>
      <c r="BX4" s="1176" t="n"/>
      <c r="BY4" s="1176" t="n"/>
      <c r="BZ4" s="1176" t="n"/>
      <c r="CA4" s="1176" t="n"/>
      <c r="CB4" s="1176" t="n"/>
      <c r="CC4" s="1176" t="n"/>
      <c r="CD4" s="1176" t="n"/>
      <c r="CE4" s="1176" t="n"/>
      <c r="CF4" s="1176" t="n"/>
      <c r="CG4" s="1176" t="n"/>
      <c r="CH4" s="1176" t="n"/>
      <c r="CI4" s="1176">
        <f>BK4+BM4+BO4+BQ4+BS4+BU4+BW4+BY4+CA4+CC4+CE4+CG4</f>
        <v/>
      </c>
      <c r="CJ4" s="1176">
        <f>BL4+BN4+BP4+BR4+BT4+BV4+BX4+BZ4+CB4+CD4+CF4+CH4</f>
        <v/>
      </c>
      <c r="CK4" s="1176">
        <f>CI4/2</f>
        <v/>
      </c>
      <c r="CL4" s="1179">
        <f>CJ4/2</f>
        <v/>
      </c>
      <c r="CM4" s="557">
        <f>CL4/$CL$15%</f>
        <v/>
      </c>
      <c r="CN4" s="556">
        <f>CM4-BJ4</f>
        <v/>
      </c>
      <c r="CO4" s="1180">
        <f>CL4/BG4*100-100</f>
        <v/>
      </c>
      <c r="CP4" s="1181">
        <f>CL4/BI4*100-100</f>
        <v/>
      </c>
      <c r="CQ4" s="1181">
        <f>CL4-BI4</f>
        <v/>
      </c>
      <c r="CR4" s="1181">
        <f>CL4-BG4</f>
        <v/>
      </c>
      <c r="CS4" s="1181">
        <f>CQ4/14</f>
        <v/>
      </c>
      <c r="CT4" s="1181">
        <f>CR4/14</f>
        <v/>
      </c>
      <c r="CU4" s="1182">
        <f>CT4*2</f>
        <v/>
      </c>
      <c r="CV4" s="1183">
        <f>BI4*12*108%</f>
        <v/>
      </c>
      <c r="CW4" s="1183">
        <f>CV4-(CL4*2)</f>
        <v/>
      </c>
      <c r="CX4" s="1184">
        <f>CW4/10</f>
        <v/>
      </c>
    </row>
    <row r="5" ht="27" customFormat="1" customHeight="1" s="129">
      <c r="A5" s="143" t="n">
        <v>2</v>
      </c>
      <c r="B5" s="127" t="inlineStr">
        <is>
          <t>Tharzi</t>
        </is>
      </c>
      <c r="C5" s="1167" t="n">
        <v>13516</v>
      </c>
      <c r="D5" s="1168" t="n">
        <v>8664.639999999999</v>
      </c>
      <c r="E5" s="1167" t="n">
        <v>17786</v>
      </c>
      <c r="F5" s="1168" t="n">
        <v>11458.64</v>
      </c>
      <c r="G5" s="1169" t="n">
        <v>21047</v>
      </c>
      <c r="H5" s="1170" t="n">
        <v>13631.96</v>
      </c>
      <c r="I5" s="1169" t="n">
        <v>24458</v>
      </c>
      <c r="J5" s="1170" t="n">
        <v>15754.73</v>
      </c>
      <c r="K5" s="1169" t="n">
        <v>23067</v>
      </c>
      <c r="L5" s="1170" t="n">
        <v>15080.16</v>
      </c>
      <c r="M5" s="1169" t="n">
        <v>18267</v>
      </c>
      <c r="N5" s="1170" t="n">
        <v>11786.64</v>
      </c>
      <c r="O5" s="1169" t="n">
        <v>22212</v>
      </c>
      <c r="P5" s="1170" t="n">
        <v>14248.32</v>
      </c>
      <c r="Q5" s="1169" t="n">
        <v>25245</v>
      </c>
      <c r="R5" s="1170" t="n">
        <v>16227.72</v>
      </c>
      <c r="S5" s="1169" t="n">
        <v>25745</v>
      </c>
      <c r="T5" s="1170" t="n">
        <v>16546.16</v>
      </c>
      <c r="U5" s="1169" t="n">
        <v>19393</v>
      </c>
      <c r="V5" s="1170" t="n">
        <v>12463.39</v>
      </c>
      <c r="W5" s="1169" t="n">
        <v>25490</v>
      </c>
      <c r="X5" s="1170" t="n">
        <v>16474.88</v>
      </c>
      <c r="Y5" s="1169" t="n">
        <v>22598</v>
      </c>
      <c r="Z5" s="1170" t="n">
        <v>15026</v>
      </c>
      <c r="AA5" s="1173">
        <f>(C5+E5+G5+I5+K5+M5+O5+Q5+S5+U5+W5)/11</f>
        <v/>
      </c>
      <c r="AB5" s="1168">
        <f>(D5+F5+H5+J5+L5+N5+P5+R5+T5+V5+X5)/11</f>
        <v/>
      </c>
      <c r="AC5" s="1174">
        <f>(C5+E5+G5+I5+K5+M5+O5+Q5+S5+U5+W5+Y5)/12</f>
        <v/>
      </c>
      <c r="AD5" s="1175">
        <f>(D5+F5+H5+J5+L5+N5+P5+R5+T5+V5+X5+Z5)/12</f>
        <v/>
      </c>
      <c r="AE5" s="139">
        <f>AD5/$AD$15%</f>
        <v/>
      </c>
      <c r="AF5" s="1176" t="n">
        <v>26879</v>
      </c>
      <c r="AG5" s="1176" t="n">
        <v>17997.19999999999</v>
      </c>
      <c r="AH5" s="1176" t="n">
        <v>20688</v>
      </c>
      <c r="AI5" s="1176" t="n">
        <v>13724.63999999999</v>
      </c>
      <c r="AJ5" s="1176" t="n">
        <v>25006</v>
      </c>
      <c r="AK5" s="1176" t="n">
        <v>16658.31999999999</v>
      </c>
      <c r="AL5" s="1176" t="n">
        <v>25958</v>
      </c>
      <c r="AM5" s="1176" t="n">
        <v>17155.03999999997</v>
      </c>
      <c r="AN5" s="1176" t="n">
        <v>31590</v>
      </c>
      <c r="AO5" s="1176" t="n">
        <v>20595.59999999997</v>
      </c>
      <c r="AP5" s="1176" t="n">
        <v>24888</v>
      </c>
      <c r="AQ5" s="1176" t="n">
        <v>16422.95999999998</v>
      </c>
      <c r="AR5" s="1176" t="n">
        <v>26869</v>
      </c>
      <c r="AS5" s="1176" t="n">
        <v>17950.84</v>
      </c>
      <c r="AT5" s="1176" t="n">
        <v>19814</v>
      </c>
      <c r="AU5" s="1176" t="n">
        <v>12893.12</v>
      </c>
      <c r="AV5" s="1176" t="n">
        <v>19787</v>
      </c>
      <c r="AW5" s="1176" t="n">
        <v>13005.2</v>
      </c>
      <c r="AX5" s="1176" t="n">
        <v>21474</v>
      </c>
      <c r="AY5" s="1176" t="n">
        <v>14065.91999999999</v>
      </c>
      <c r="AZ5" s="1176" t="n">
        <v>17408</v>
      </c>
      <c r="BA5" s="1176" t="n">
        <v>11460.32</v>
      </c>
      <c r="BB5" s="1176" t="n">
        <v>16484</v>
      </c>
      <c r="BC5" s="1176" t="n">
        <v>10877.84</v>
      </c>
      <c r="BD5" s="1176">
        <f>AF5+AH5+AJ5+AL5+AN5+AP5+AR5+AT5+AV5+AX5+AZ5+BB5</f>
        <v/>
      </c>
      <c r="BE5" s="1176">
        <f>AG5+AI5+AK5+AM5+AO5+AQ5+AS5+AU5+AW5+AY5+BA5+BC5</f>
        <v/>
      </c>
      <c r="BF5" s="1176">
        <f>(AF5+AH5)/2</f>
        <v/>
      </c>
      <c r="BG5" s="1177">
        <f>(AG5+AI5)/2</f>
        <v/>
      </c>
      <c r="BH5" s="1178">
        <f>BD5/12</f>
        <v/>
      </c>
      <c r="BI5" s="1179">
        <f>BE5/12</f>
        <v/>
      </c>
      <c r="BJ5" s="141">
        <f>BI5/$BI$15%</f>
        <v/>
      </c>
      <c r="BK5" s="1176" t="n">
        <v>72</v>
      </c>
      <c r="BL5" s="1176" t="n">
        <v>72</v>
      </c>
      <c r="BM5" s="1176" t="n">
        <v>14245</v>
      </c>
      <c r="BN5" s="1176" t="n">
        <v>9623.200000000001</v>
      </c>
      <c r="BO5" s="1176" t="n"/>
      <c r="BP5" s="1176" t="n"/>
      <c r="BQ5" s="1176" t="n"/>
      <c r="BR5" s="1176" t="n"/>
      <c r="BS5" s="1176" t="n"/>
      <c r="BT5" s="1176" t="n"/>
      <c r="BU5" s="1176" t="n"/>
      <c r="BV5" s="1176" t="n"/>
      <c r="BW5" s="1176" t="n"/>
      <c r="BX5" s="1176" t="n"/>
      <c r="BY5" s="1176" t="n"/>
      <c r="BZ5" s="1176" t="n"/>
      <c r="CA5" s="1176" t="n"/>
      <c r="CB5" s="1176" t="n"/>
      <c r="CC5" s="1176" t="n"/>
      <c r="CD5" s="1176" t="n"/>
      <c r="CE5" s="1176" t="n"/>
      <c r="CF5" s="1176" t="n"/>
      <c r="CG5" s="1176" t="n"/>
      <c r="CH5" s="1176" t="n"/>
      <c r="CI5" s="1176">
        <f>BK5+BM5+BO5+BQ5+BS5+BU5+BW5+BY5+CA5+CC5+CE5+CG5</f>
        <v/>
      </c>
      <c r="CJ5" s="1176">
        <f>BL5+BN5+BP5+BR5+BT5+BV5+BX5+BZ5+CB5+CD5+CF5+CH5</f>
        <v/>
      </c>
      <c r="CK5" s="1176">
        <f>CI5/2</f>
        <v/>
      </c>
      <c r="CL5" s="1179">
        <f>CJ5/2</f>
        <v/>
      </c>
      <c r="CM5" s="557">
        <f>CL5/$CL$15%</f>
        <v/>
      </c>
      <c r="CN5" s="556">
        <f>CM5-BJ5</f>
        <v/>
      </c>
      <c r="CO5" s="1180">
        <f>CL5/BG5*100-100</f>
        <v/>
      </c>
      <c r="CP5" s="1181">
        <f>CL5/BI5*100-100</f>
        <v/>
      </c>
      <c r="CQ5" s="1181">
        <f>CL5-BI5</f>
        <v/>
      </c>
      <c r="CR5" s="1181">
        <f>CL5-BG5</f>
        <v/>
      </c>
      <c r="CS5" s="1181">
        <f>CQ5/14</f>
        <v/>
      </c>
      <c r="CT5" s="1181">
        <f>CR5/14</f>
        <v/>
      </c>
      <c r="CU5" s="1182">
        <f>CT5*2</f>
        <v/>
      </c>
      <c r="CV5" s="1183">
        <f>BI5*12*108%</f>
        <v/>
      </c>
      <c r="CW5" s="1183">
        <f>CV5-(CL5*2)</f>
        <v/>
      </c>
      <c r="CX5" s="1184">
        <f>CW5/10</f>
        <v/>
      </c>
    </row>
    <row r="6" ht="27" customHeight="1">
      <c r="A6" s="143" t="n">
        <v>3</v>
      </c>
      <c r="B6" s="130" t="inlineStr">
        <is>
          <t>PyawBwe</t>
        </is>
      </c>
      <c r="C6" s="1167" t="n">
        <v>170238</v>
      </c>
      <c r="D6" s="1168" t="n">
        <v>109204.32</v>
      </c>
      <c r="E6" s="1167" t="n">
        <v>74498</v>
      </c>
      <c r="F6" s="1168" t="n">
        <v>47794.64</v>
      </c>
      <c r="G6" s="1171" t="n">
        <v>65554</v>
      </c>
      <c r="H6" s="1172" t="n">
        <v>42102.88</v>
      </c>
      <c r="I6" s="1167" t="n">
        <v>67660</v>
      </c>
      <c r="J6" s="1168" t="n">
        <v>43430.56</v>
      </c>
      <c r="K6" s="1167" t="n">
        <v>96651</v>
      </c>
      <c r="L6" s="1168" t="n">
        <v>62046</v>
      </c>
      <c r="M6" s="1167" t="n">
        <v>90192</v>
      </c>
      <c r="N6" s="1168" t="n">
        <v>58125.53999999999</v>
      </c>
      <c r="O6" s="1167" t="n">
        <v>84396</v>
      </c>
      <c r="P6" s="1168" t="n">
        <v>54019.92</v>
      </c>
      <c r="Q6" s="1167" t="n">
        <v>101960</v>
      </c>
      <c r="R6" s="1168" t="n">
        <v>65657.36</v>
      </c>
      <c r="S6" s="1167" t="n">
        <v>107924</v>
      </c>
      <c r="T6" s="1168" t="n">
        <v>69214.87999999999</v>
      </c>
      <c r="U6" s="1167" t="n">
        <v>96135</v>
      </c>
      <c r="V6" s="1168" t="n">
        <v>61941.74</v>
      </c>
      <c r="W6" s="1167" t="n">
        <v>120546</v>
      </c>
      <c r="X6" s="1168" t="n">
        <v>77360.64000000001</v>
      </c>
      <c r="Y6" s="1167" t="n">
        <v>123764</v>
      </c>
      <c r="Z6" s="1168" t="n">
        <v>79928.95999999999</v>
      </c>
      <c r="AA6" s="1173">
        <f>(C6+E6+G6+I6+K6+M6+O6+Q6+S6+U6+W6)/11</f>
        <v/>
      </c>
      <c r="AB6" s="1168">
        <f>(D6+F6+H6+J6+L6+N6+P6+R6+T6+V6+X6)/11</f>
        <v/>
      </c>
      <c r="AC6" s="1174">
        <f>(C6+E6+G6+I6+K6+M6+O6+Q6+S6+U6+W6+Y6)/12</f>
        <v/>
      </c>
      <c r="AD6" s="1175">
        <f>(D6+F6+H6+J6+L6+N6+P6+R6+T6+V6+X6+Z6)/12</f>
        <v/>
      </c>
      <c r="AE6" s="139">
        <f>AD6/$AD$15%</f>
        <v/>
      </c>
      <c r="AF6" s="1176" t="n">
        <v>124810</v>
      </c>
      <c r="AG6" s="1176" t="n">
        <v>80790.40000000004</v>
      </c>
      <c r="AH6" s="1176" t="n">
        <v>112556</v>
      </c>
      <c r="AI6" s="1176" t="n">
        <v>72950.72000000003</v>
      </c>
      <c r="AJ6" s="1176" t="n">
        <v>140474</v>
      </c>
      <c r="AK6" s="1176" t="n">
        <v>94063.03999999999</v>
      </c>
      <c r="AL6" s="1176" t="n">
        <v>99650</v>
      </c>
      <c r="AM6" s="1176" t="n">
        <v>65613.92</v>
      </c>
      <c r="AN6" s="1176" t="n">
        <v>125493</v>
      </c>
      <c r="AO6" s="1176" t="n">
        <v>81712.56000000003</v>
      </c>
      <c r="AP6" s="1176" t="n">
        <v>117388</v>
      </c>
      <c r="AQ6" s="1176" t="n">
        <v>76063.59999999998</v>
      </c>
      <c r="AR6" s="1176" t="n">
        <v>102118</v>
      </c>
      <c r="AS6" s="1176" t="n">
        <v>67226.56000000001</v>
      </c>
      <c r="AT6" s="1176" t="n">
        <v>103610</v>
      </c>
      <c r="AU6" s="1176" t="n">
        <v>67743.67999999999</v>
      </c>
      <c r="AV6" s="1176" t="n">
        <v>88610</v>
      </c>
      <c r="AW6" s="1176" t="n">
        <v>58556.48000000002</v>
      </c>
      <c r="AX6" s="1176" t="n">
        <v>122032</v>
      </c>
      <c r="AY6" s="1176" t="n">
        <v>79956.39999999999</v>
      </c>
      <c r="AZ6" s="1176" t="n">
        <v>128298</v>
      </c>
      <c r="BA6" s="1176" t="n">
        <v>83945.52000000002</v>
      </c>
      <c r="BB6" s="1176" t="n">
        <v>123988</v>
      </c>
      <c r="BC6" s="1176" t="n">
        <v>81845.44000000002</v>
      </c>
      <c r="BD6" s="1176">
        <f>AF6+AH6+AJ6+AL6+AN6+AP6+AR6+AT6+AV6+AX6+AZ6+BB6</f>
        <v/>
      </c>
      <c r="BE6" s="1176">
        <f>AG6+AI6+AK6+AM6+AO6+AQ6+AS6+AU6+AW6+AY6+BA6+BC6</f>
        <v/>
      </c>
      <c r="BF6" s="1176">
        <f>(AF6+AH6)/2</f>
        <v/>
      </c>
      <c r="BG6" s="1177">
        <f>(AG6+AI6)/2</f>
        <v/>
      </c>
      <c r="BH6" s="1178">
        <f>BD6/12</f>
        <v/>
      </c>
      <c r="BI6" s="1179">
        <f>BE6/12</f>
        <v/>
      </c>
      <c r="BJ6" s="141">
        <f>BI6/$BI$15%</f>
        <v/>
      </c>
      <c r="BK6" s="1176" t="n">
        <v>103606</v>
      </c>
      <c r="BL6" s="1176" t="n">
        <v>68727.52000000002</v>
      </c>
      <c r="BM6" s="1176" t="n">
        <v>88786</v>
      </c>
      <c r="BN6" s="1176" t="n">
        <v>58781.92000000001</v>
      </c>
      <c r="BO6" s="1176" t="n"/>
      <c r="BP6" s="1176" t="n"/>
      <c r="BQ6" s="1176" t="n"/>
      <c r="BR6" s="1176" t="n"/>
      <c r="BS6" s="1176" t="n"/>
      <c r="BT6" s="1176" t="n"/>
      <c r="BU6" s="1176" t="n"/>
      <c r="BV6" s="1176" t="n"/>
      <c r="BW6" s="1176" t="n"/>
      <c r="BX6" s="1176" t="n"/>
      <c r="BY6" s="1176" t="n"/>
      <c r="BZ6" s="1176" t="n"/>
      <c r="CA6" s="1176" t="n"/>
      <c r="CB6" s="1176" t="n"/>
      <c r="CC6" s="1176" t="n"/>
      <c r="CD6" s="1176" t="n"/>
      <c r="CE6" s="1176" t="n"/>
      <c r="CF6" s="1176" t="n"/>
      <c r="CG6" s="1176" t="n"/>
      <c r="CH6" s="1176" t="n"/>
      <c r="CI6" s="1176">
        <f>BK6+BM6+BO6+BQ6+BS6+BU6+BW6+BY6+CA6+CC6+CE6+CG6</f>
        <v/>
      </c>
      <c r="CJ6" s="1176">
        <f>BL6+BN6+BP6+BR6+BT6+BV6+BX6+BZ6+CB6+CD6+CF6+CH6</f>
        <v/>
      </c>
      <c r="CK6" s="1176">
        <f>CI6/2</f>
        <v/>
      </c>
      <c r="CL6" s="1179">
        <f>CJ6/2</f>
        <v/>
      </c>
      <c r="CM6" s="557">
        <f>CL6/$CL$15%</f>
        <v/>
      </c>
      <c r="CN6" s="556">
        <f>CM6-BJ6</f>
        <v/>
      </c>
      <c r="CO6" s="1180">
        <f>CL6/BG6*100-100</f>
        <v/>
      </c>
      <c r="CP6" s="1181">
        <f>CL6/BI6*100-100</f>
        <v/>
      </c>
      <c r="CQ6" s="1181">
        <f>CL6-BI6</f>
        <v/>
      </c>
      <c r="CR6" s="1181">
        <f>CL6-BG6</f>
        <v/>
      </c>
      <c r="CS6" s="1181">
        <f>CQ6/14</f>
        <v/>
      </c>
      <c r="CT6" s="1181">
        <f>CR6/14</f>
        <v/>
      </c>
      <c r="CU6" s="1182">
        <f>CT6*2</f>
        <v/>
      </c>
      <c r="CV6" s="1183">
        <f>BI6*12*108%</f>
        <v/>
      </c>
      <c r="CW6" s="1183">
        <f>CV6-(CL6*2)</f>
        <v/>
      </c>
      <c r="CX6" s="1184">
        <f>CW6/10</f>
        <v/>
      </c>
    </row>
    <row r="7" ht="27" customHeight="1">
      <c r="A7" s="143" t="n">
        <v>4</v>
      </c>
      <c r="B7" s="674" t="inlineStr">
        <is>
          <t>Want Twin</t>
        </is>
      </c>
      <c r="C7" s="1167" t="n">
        <v>98895</v>
      </c>
      <c r="D7" s="1168" t="n">
        <v>64353.72</v>
      </c>
      <c r="E7" s="1167" t="n">
        <v>88847</v>
      </c>
      <c r="F7" s="1168" t="n">
        <v>57733.82</v>
      </c>
      <c r="G7" s="1171" t="n">
        <v>92353</v>
      </c>
      <c r="H7" s="1172" t="n">
        <v>60208</v>
      </c>
      <c r="I7" s="1171" t="n">
        <v>84002</v>
      </c>
      <c r="J7" s="1172" t="n">
        <v>54657.92</v>
      </c>
      <c r="K7" s="1171" t="n">
        <v>97640</v>
      </c>
      <c r="L7" s="1172" t="n">
        <v>63293.35999999999</v>
      </c>
      <c r="M7" s="1171" t="n">
        <v>79718</v>
      </c>
      <c r="N7" s="1172" t="n">
        <v>51793.52</v>
      </c>
      <c r="O7" s="1171" t="n">
        <v>106356</v>
      </c>
      <c r="P7" s="1172" t="n">
        <v>68766.48000000001</v>
      </c>
      <c r="Q7" s="1171" t="n">
        <v>98519</v>
      </c>
      <c r="R7" s="1172" t="n">
        <v>64135.52</v>
      </c>
      <c r="S7" s="1171" t="n">
        <v>92194</v>
      </c>
      <c r="T7" s="1172" t="n">
        <v>59668.60000000001</v>
      </c>
      <c r="U7" s="1171" t="n">
        <v>122816</v>
      </c>
      <c r="V7" s="1172" t="n">
        <v>79750.26000000002</v>
      </c>
      <c r="W7" s="1171" t="n">
        <v>123596</v>
      </c>
      <c r="X7" s="1172" t="n">
        <v>80606.48</v>
      </c>
      <c r="Y7" s="1171" t="n">
        <v>133710</v>
      </c>
      <c r="Z7" s="1172" t="n">
        <v>86996.87999999999</v>
      </c>
      <c r="AA7" s="1173">
        <f>(C7+E7+G7+I7+K7+M7+O7+Q7+S7+U7+W7)/11</f>
        <v/>
      </c>
      <c r="AB7" s="1168">
        <f>(D7+F7+H7+J7+L7+N7+P7+R7+T7+V7+X7)/11</f>
        <v/>
      </c>
      <c r="AC7" s="1174">
        <f>(C7+E7+G7+I7+K7+M7+O7+Q7+S7+U7+W7+Y7)/12</f>
        <v/>
      </c>
      <c r="AD7" s="1175">
        <f>(D7+F7+H7+J7+L7+N7+P7+R7+T7+V7+X7+Z7)/12</f>
        <v/>
      </c>
      <c r="AE7" s="139">
        <f>AD7/$AD$15%</f>
        <v/>
      </c>
      <c r="AF7" s="1176" t="n">
        <v>121257</v>
      </c>
      <c r="AG7" s="1176" t="n">
        <v>79375.32000000001</v>
      </c>
      <c r="AH7" s="1176" t="n">
        <v>102976</v>
      </c>
      <c r="AI7" s="1176" t="n">
        <v>67630.72000000004</v>
      </c>
      <c r="AJ7" s="1176" t="n">
        <v>172705</v>
      </c>
      <c r="AK7" s="1176" t="n">
        <v>112072.6</v>
      </c>
      <c r="AL7" s="1174" t="n">
        <v>98169</v>
      </c>
      <c r="AM7" s="1174" t="n">
        <v>64360.13999999998</v>
      </c>
      <c r="AN7" s="1174" t="n">
        <v>109072</v>
      </c>
      <c r="AO7" s="1174" t="n">
        <v>71152.29999999993</v>
      </c>
      <c r="AP7" s="1174" t="n">
        <v>104102</v>
      </c>
      <c r="AQ7" s="1174" t="n">
        <v>68080.88000000002</v>
      </c>
      <c r="AR7" s="1174" t="n">
        <v>111468</v>
      </c>
      <c r="AS7" s="1174" t="n">
        <v>73472.40000000007</v>
      </c>
      <c r="AT7" s="1174" t="n">
        <v>115998</v>
      </c>
      <c r="AU7" s="1174" t="n">
        <v>76069.43999999996</v>
      </c>
      <c r="AV7" s="1174" t="n">
        <v>101637</v>
      </c>
      <c r="AW7" s="1174" t="n">
        <v>67569.71999999999</v>
      </c>
      <c r="AX7" s="1174" t="n">
        <v>106609</v>
      </c>
      <c r="AY7" s="1174" t="n">
        <v>70354.95999999998</v>
      </c>
      <c r="AZ7" s="1174" t="n">
        <v>98541</v>
      </c>
      <c r="BA7" s="1174" t="n">
        <v>65446.20000000002</v>
      </c>
      <c r="BB7" s="1174" t="n">
        <v>117214</v>
      </c>
      <c r="BC7" s="1174" t="n">
        <v>77714.56000000004</v>
      </c>
      <c r="BD7" s="1176">
        <f>AF7+AH7+AJ7+AL7+AN7+AP7+AR7+AT7+AV7+AX7+AZ7+BB7</f>
        <v/>
      </c>
      <c r="BE7" s="1176">
        <f>AG7+AI7+AK7+AM7+AO7+AQ7+AS7+AU7+AW7+AY7+BA7+BC7</f>
        <v/>
      </c>
      <c r="BF7" s="1176">
        <f>(AF7+AH7)/2</f>
        <v/>
      </c>
      <c r="BG7" s="1177">
        <f>(AG7+AI7)/2</f>
        <v/>
      </c>
      <c r="BH7" s="1178">
        <f>BD7/12</f>
        <v/>
      </c>
      <c r="BI7" s="1179">
        <f>BE7/12</f>
        <v/>
      </c>
      <c r="BJ7" s="141">
        <f>BI7/$BI$15%</f>
        <v/>
      </c>
      <c r="BK7" s="1176" t="n">
        <v>98732</v>
      </c>
      <c r="BL7" s="1176" t="n">
        <v>67023.67999999995</v>
      </c>
      <c r="BM7" s="1176" t="n">
        <v>107762</v>
      </c>
      <c r="BN7" s="1176" t="n">
        <v>71280.80000000008</v>
      </c>
      <c r="BO7" s="1176" t="n"/>
      <c r="BP7" s="1176" t="n"/>
      <c r="BQ7" s="1174" t="n"/>
      <c r="BR7" s="1174" t="n"/>
      <c r="BS7" s="1174" t="n"/>
      <c r="BT7" s="1174" t="n"/>
      <c r="BU7" s="1174" t="n"/>
      <c r="BV7" s="1174" t="n"/>
      <c r="BW7" s="1174" t="n"/>
      <c r="BX7" s="1174" t="n"/>
      <c r="BY7" s="1174" t="n"/>
      <c r="BZ7" s="1174" t="n"/>
      <c r="CA7" s="1174" t="n"/>
      <c r="CB7" s="1174" t="n"/>
      <c r="CC7" s="1174" t="n"/>
      <c r="CD7" s="1174" t="n"/>
      <c r="CE7" s="1174" t="n"/>
      <c r="CF7" s="1174" t="n"/>
      <c r="CG7" s="1174" t="n"/>
      <c r="CH7" s="1174" t="n"/>
      <c r="CI7" s="1176">
        <f>BK7+BM7+BO7+BQ7+BS7+BU7+BW7+BY7+CA7+CC7+CE7+CG7</f>
        <v/>
      </c>
      <c r="CJ7" s="1176">
        <f>BL7+BN7+BP7+BR7+BT7+BV7+BX7+BZ7+CB7+CD7+CF7+CH7</f>
        <v/>
      </c>
      <c r="CK7" s="1176">
        <f>CI7/2</f>
        <v/>
      </c>
      <c r="CL7" s="1179">
        <f>CJ7/2</f>
        <v/>
      </c>
      <c r="CM7" s="557">
        <f>CL7/$CL$15%</f>
        <v/>
      </c>
      <c r="CN7" s="556">
        <f>CM7-BJ7</f>
        <v/>
      </c>
      <c r="CO7" s="1180">
        <f>CL7/BG7*100-100</f>
        <v/>
      </c>
      <c r="CP7" s="1181">
        <f>CL7/BI7*100-100</f>
        <v/>
      </c>
      <c r="CQ7" s="1181">
        <f>CL7-BI7</f>
        <v/>
      </c>
      <c r="CR7" s="1181">
        <f>CL7-BG7</f>
        <v/>
      </c>
      <c r="CS7" s="1181">
        <f>CQ7/14</f>
        <v/>
      </c>
      <c r="CT7" s="1181">
        <f>CR7/14</f>
        <v/>
      </c>
      <c r="CU7" s="1182">
        <f>CT7*2</f>
        <v/>
      </c>
      <c r="CV7" s="1183">
        <f>BI7*12*108%</f>
        <v/>
      </c>
      <c r="CW7" s="1183">
        <f>CV7-(CL7*2)</f>
        <v/>
      </c>
      <c r="CX7" s="1184">
        <f>CW7/10</f>
        <v/>
      </c>
    </row>
    <row r="8" ht="27" customHeight="1">
      <c r="A8" s="143" t="n">
        <v>5</v>
      </c>
      <c r="B8" s="674" t="inlineStr">
        <is>
          <t>Mahaling</t>
        </is>
      </c>
      <c r="C8" s="268" t="n">
        <v>53257</v>
      </c>
      <c r="D8" s="269" t="n">
        <v>34859.2</v>
      </c>
      <c r="E8" s="268" t="n">
        <v>57559</v>
      </c>
      <c r="F8" s="269" t="n">
        <v>37357.72</v>
      </c>
      <c r="G8" s="268" t="n">
        <v>44266</v>
      </c>
      <c r="H8" s="269" t="n">
        <v>28882.96</v>
      </c>
      <c r="I8" s="268" t="n">
        <v>44376</v>
      </c>
      <c r="J8" s="269" t="n">
        <v>29363.28</v>
      </c>
      <c r="K8" s="268" t="n">
        <v>47462</v>
      </c>
      <c r="L8" s="269" t="n">
        <v>30405.2</v>
      </c>
      <c r="M8" s="268" t="n">
        <v>47850</v>
      </c>
      <c r="N8" s="269" t="n">
        <v>30863.64</v>
      </c>
      <c r="O8" s="268" t="n">
        <v>36940</v>
      </c>
      <c r="P8" s="269" t="n">
        <v>24151.36</v>
      </c>
      <c r="Q8" s="268" t="n">
        <v>52250</v>
      </c>
      <c r="R8" s="269" t="n">
        <v>33931.52</v>
      </c>
      <c r="S8" s="268" t="n">
        <v>43494</v>
      </c>
      <c r="T8" s="269" t="n">
        <v>28668.84</v>
      </c>
      <c r="U8" s="268" t="n">
        <v>40590</v>
      </c>
      <c r="V8" s="269" t="n">
        <v>26327.28</v>
      </c>
      <c r="W8" s="268" t="n">
        <v>72966</v>
      </c>
      <c r="X8" s="269" t="n">
        <v>47547.12</v>
      </c>
      <c r="Y8" s="268" t="n">
        <v>84266</v>
      </c>
      <c r="Z8" s="269" t="n">
        <v>55449.92000000001</v>
      </c>
      <c r="AA8" s="1173">
        <f>(C8+E8+G8+I8+K8+M8+O8+Q8+S8+U8+W8)/11</f>
        <v/>
      </c>
      <c r="AB8" s="1168">
        <f>(D8+F8+H8+J8+L8+N8+P8+R8+T8+V8+X8)/11</f>
        <v/>
      </c>
      <c r="AC8" s="1174">
        <f>(C8+E8+G8+I8+K8+M8+O8+Q8+S8+U8+W8+Y8)/12</f>
        <v/>
      </c>
      <c r="AD8" s="1175">
        <f>(D8+F8+H8+J8+L8+N8+P8+R8+T8+V8+X8+Z8)/12</f>
        <v/>
      </c>
      <c r="AE8" s="139">
        <f>AD8/$AD$15%</f>
        <v/>
      </c>
      <c r="AF8" s="1176" t="n">
        <v>72384</v>
      </c>
      <c r="AG8" s="1176" t="n">
        <v>47186.88000000002</v>
      </c>
      <c r="AH8" s="1176" t="n">
        <v>73604</v>
      </c>
      <c r="AI8" s="1176" t="n">
        <v>48058.39999999999</v>
      </c>
      <c r="AJ8" s="1176" t="n">
        <v>89488</v>
      </c>
      <c r="AK8" s="1176" t="n">
        <v>59433.52</v>
      </c>
      <c r="AL8" s="1176" t="n">
        <v>73784</v>
      </c>
      <c r="AM8" s="1176" t="n">
        <v>47479.39999999999</v>
      </c>
      <c r="AN8" s="1176" t="n">
        <v>52660</v>
      </c>
      <c r="AO8" s="1176" t="n">
        <v>33983.2</v>
      </c>
      <c r="AP8" s="1176" t="n">
        <v>78604</v>
      </c>
      <c r="AQ8" s="1176" t="n">
        <v>52190.8</v>
      </c>
      <c r="AR8" s="1176" t="n">
        <v>44890</v>
      </c>
      <c r="AS8" s="1176" t="n">
        <v>29517.99999999999</v>
      </c>
      <c r="AT8" s="1176" t="n">
        <v>53780</v>
      </c>
      <c r="AU8" s="1176" t="n">
        <v>35513.59999999999</v>
      </c>
      <c r="AV8" s="1176" t="n">
        <v>53268</v>
      </c>
      <c r="AW8" s="1176" t="n">
        <v>35894.39999999999</v>
      </c>
      <c r="AX8" s="1176" t="n">
        <v>53598</v>
      </c>
      <c r="AY8" s="1176" t="n">
        <v>36118.55999999999</v>
      </c>
      <c r="AZ8" s="1174" t="n">
        <v>75914</v>
      </c>
      <c r="BA8" s="1174" t="n">
        <v>49677.2</v>
      </c>
      <c r="BB8" s="1174" t="n">
        <v>59430</v>
      </c>
      <c r="BC8" s="1174" t="n">
        <v>40238.40000000001</v>
      </c>
      <c r="BD8" s="1176">
        <f>AF8+AH8+AJ8+AL8+AN8+AP8+AR8+AT8+AV8+AX8+AZ8+BB8</f>
        <v/>
      </c>
      <c r="BE8" s="1176">
        <f>AG8+AI8+AK8+AM8+AO8+AQ8+AS8+AU8+AW8+AY8+BA8+BC8</f>
        <v/>
      </c>
      <c r="BF8" s="1176">
        <f>(AF8+AH8)/2</f>
        <v/>
      </c>
      <c r="BG8" s="1177">
        <f>(AG8+AI8)/2</f>
        <v/>
      </c>
      <c r="BH8" s="1178">
        <f>BD8/12</f>
        <v/>
      </c>
      <c r="BI8" s="1179">
        <f>BE8/12</f>
        <v/>
      </c>
      <c r="BJ8" s="141">
        <f>BI8/$BI$15%</f>
        <v/>
      </c>
      <c r="BK8" s="1176" t="n">
        <v>65364</v>
      </c>
      <c r="BL8" s="1176" t="n">
        <v>43015.2</v>
      </c>
      <c r="BM8" s="1176" t="n">
        <v>65314</v>
      </c>
      <c r="BN8" s="1176" t="n">
        <v>43141.59999999999</v>
      </c>
      <c r="BO8" s="1176" t="n"/>
      <c r="BP8" s="1176" t="n"/>
      <c r="BQ8" s="1176" t="n"/>
      <c r="BR8" s="1176" t="n"/>
      <c r="BS8" s="1176" t="n"/>
      <c r="BT8" s="1176" t="n"/>
      <c r="BU8" s="1176" t="n"/>
      <c r="BV8" s="1176" t="n"/>
      <c r="BW8" s="1176" t="n"/>
      <c r="BX8" s="1176" t="n"/>
      <c r="BY8" s="1176" t="n"/>
      <c r="BZ8" s="1176" t="n"/>
      <c r="CA8" s="1176" t="n"/>
      <c r="CB8" s="1176" t="n"/>
      <c r="CC8" s="1176" t="n"/>
      <c r="CD8" s="1176" t="n"/>
      <c r="CE8" s="1174" t="n"/>
      <c r="CF8" s="1174" t="n"/>
      <c r="CG8" s="1174" t="n"/>
      <c r="CH8" s="1174" t="n"/>
      <c r="CI8" s="1176">
        <f>BK8+BM8+BO8+BQ8+BS8+BU8+BW8+BY8+CA8+CC8+CE8+CG8</f>
        <v/>
      </c>
      <c r="CJ8" s="1176">
        <f>BL8+BN8+BP8+BR8+BT8+BV8+BX8+BZ8+CB8+CD8+CF8+CH8</f>
        <v/>
      </c>
      <c r="CK8" s="1176">
        <f>CI8/2</f>
        <v/>
      </c>
      <c r="CL8" s="1179">
        <f>CJ8/2</f>
        <v/>
      </c>
      <c r="CM8" s="557">
        <f>CL8/$CL$15%</f>
        <v/>
      </c>
      <c r="CN8" s="556">
        <f>CM8-BJ8</f>
        <v/>
      </c>
      <c r="CO8" s="1180">
        <f>CL8/BG8*100-100</f>
        <v/>
      </c>
      <c r="CP8" s="1181">
        <f>CL8/BI8*100-100</f>
        <v/>
      </c>
      <c r="CQ8" s="1181">
        <f>CL8-BI8</f>
        <v/>
      </c>
      <c r="CR8" s="1181">
        <f>CL8-BG8</f>
        <v/>
      </c>
      <c r="CS8" s="1181">
        <f>CQ8/14</f>
        <v/>
      </c>
      <c r="CT8" s="1181">
        <f>CR8/14</f>
        <v/>
      </c>
      <c r="CU8" s="1182">
        <f>CT8*2</f>
        <v/>
      </c>
      <c r="CV8" s="1183">
        <f>BI8*12*108%</f>
        <v/>
      </c>
      <c r="CW8" s="1183">
        <f>CV8-(CL8*2)</f>
        <v/>
      </c>
      <c r="CX8" s="1184">
        <f>CW8/10</f>
        <v/>
      </c>
    </row>
    <row r="9" ht="27" customHeight="1">
      <c r="A9" s="143" t="n">
        <v>6</v>
      </c>
      <c r="B9" s="130" t="inlineStr">
        <is>
          <t>Yamaethin</t>
        </is>
      </c>
      <c r="C9" s="268" t="n">
        <v>88120</v>
      </c>
      <c r="D9" s="269" t="n">
        <v>56634.16</v>
      </c>
      <c r="E9" s="268" t="n">
        <v>77247</v>
      </c>
      <c r="F9" s="269" t="n">
        <v>49585.92</v>
      </c>
      <c r="G9" s="268" t="n">
        <v>84128</v>
      </c>
      <c r="H9" s="269" t="n">
        <v>53865.67999999999</v>
      </c>
      <c r="I9" s="268" t="n">
        <v>73770</v>
      </c>
      <c r="J9" s="269" t="n">
        <v>47220</v>
      </c>
      <c r="K9" s="268" t="n">
        <v>78481</v>
      </c>
      <c r="L9" s="269" t="n">
        <v>50231.12000000001</v>
      </c>
      <c r="M9" s="268" t="n">
        <v>83370</v>
      </c>
      <c r="N9" s="269" t="n">
        <v>53354.40000000001</v>
      </c>
      <c r="O9" s="268" t="n">
        <v>90902</v>
      </c>
      <c r="P9" s="269" t="n">
        <v>58124.48</v>
      </c>
      <c r="Q9" s="268" t="n">
        <v>89002</v>
      </c>
      <c r="R9" s="269" t="n">
        <v>56813.68000000001</v>
      </c>
      <c r="S9" s="268" t="n">
        <v>96672</v>
      </c>
      <c r="T9" s="269" t="n">
        <v>61837.19999999999</v>
      </c>
      <c r="U9" s="268" t="n">
        <v>115257</v>
      </c>
      <c r="V9" s="269" t="n">
        <v>73743.87999999999</v>
      </c>
      <c r="W9" s="268" t="n">
        <v>19876</v>
      </c>
      <c r="X9" s="269" t="n">
        <v>12675.04</v>
      </c>
      <c r="Y9" s="268" t="n">
        <v>24829</v>
      </c>
      <c r="Z9" s="269" t="n">
        <v>15824.8</v>
      </c>
      <c r="AA9" s="1173">
        <f>(C9+E9+G9+I9+K9+M9+O9+Q9+S9+U9+W9)/11</f>
        <v/>
      </c>
      <c r="AB9" s="1168">
        <f>(D9+F9+H9+J9+L9+N9+P9+R9+T9+V9+X9)/11</f>
        <v/>
      </c>
      <c r="AC9" s="1174">
        <f>(C9+E9+G9+I9+K9+M9+O9+Q9+S9+U9+W9+Y9)/12</f>
        <v/>
      </c>
      <c r="AD9" s="1175">
        <f>(D9+F9+H9+J9+L9+N9+P9+R9+T9+V9+X9+Z9)/12</f>
        <v/>
      </c>
      <c r="AE9" s="139">
        <f>AD9/$AD$15%</f>
        <v/>
      </c>
      <c r="AF9" s="1176" t="n">
        <v>26950</v>
      </c>
      <c r="AG9" s="1176" t="n">
        <v>17476.96</v>
      </c>
      <c r="AH9" s="1176" t="n">
        <v>27775</v>
      </c>
      <c r="AI9" s="1176" t="n">
        <v>17899.96</v>
      </c>
      <c r="AJ9" s="1176" t="n">
        <v>29226</v>
      </c>
      <c r="AK9" s="1176" t="n">
        <v>20856.96</v>
      </c>
      <c r="AL9" s="1176" t="n">
        <v>19738</v>
      </c>
      <c r="AM9" s="1176" t="n">
        <v>12947.2</v>
      </c>
      <c r="AN9" s="1176" t="n">
        <v>22802</v>
      </c>
      <c r="AO9" s="1176" t="n">
        <v>14639.84</v>
      </c>
      <c r="AP9" s="1176" t="n">
        <v>16112</v>
      </c>
      <c r="AQ9" s="1176" t="n">
        <v>10622.24</v>
      </c>
      <c r="AR9" s="1176" t="n">
        <v>24958</v>
      </c>
      <c r="AS9" s="1176" t="n">
        <v>16216</v>
      </c>
      <c r="AT9" s="1176" t="n">
        <v>18990</v>
      </c>
      <c r="AU9" s="1176" t="n">
        <v>12657.6</v>
      </c>
      <c r="AV9" s="1176" t="n">
        <v>25892</v>
      </c>
      <c r="AW9" s="1176" t="n">
        <v>16641.2</v>
      </c>
      <c r="AX9" s="1176" t="n">
        <v>22330</v>
      </c>
      <c r="AY9" s="1176" t="n">
        <v>14778.4</v>
      </c>
      <c r="AZ9" s="1174" t="n">
        <v>21736</v>
      </c>
      <c r="BA9" s="1174" t="n">
        <v>14419.6</v>
      </c>
      <c r="BB9" s="1174" t="n">
        <v>25310</v>
      </c>
      <c r="BC9" s="1174" t="n">
        <v>16887.44</v>
      </c>
      <c r="BD9" s="1176">
        <f>AF9+AH9+AJ9+AL9+AN9+AP9+AR9+AT9+AV9+AX9+AZ9+BB9</f>
        <v/>
      </c>
      <c r="BE9" s="1176">
        <f>AG9+AI9+AK9+AM9+AO9+AQ9+AS9+AU9+AW9+AY9+BA9+BC9</f>
        <v/>
      </c>
      <c r="BF9" s="1176">
        <f>(AF9+AH9)/2</f>
        <v/>
      </c>
      <c r="BG9" s="1177">
        <f>(AG9+AI9)/2</f>
        <v/>
      </c>
      <c r="BH9" s="1178">
        <f>BD9/12</f>
        <v/>
      </c>
      <c r="BI9" s="1179">
        <f>BE9/12</f>
        <v/>
      </c>
      <c r="BJ9" s="141">
        <f>BI9/$BI$15%</f>
        <v/>
      </c>
      <c r="BK9" s="1176" t="n">
        <v>26618</v>
      </c>
      <c r="BL9" s="1176" t="n">
        <v>17964.31999999999</v>
      </c>
      <c r="BM9" s="1176" t="n">
        <v>26738</v>
      </c>
      <c r="BN9" s="1176" t="n">
        <v>17555.92</v>
      </c>
      <c r="BO9" s="1176" t="n"/>
      <c r="BP9" s="1176" t="n"/>
      <c r="BQ9" s="1176" t="n"/>
      <c r="BR9" s="1176" t="n"/>
      <c r="BS9" s="1176" t="n"/>
      <c r="BT9" s="1176" t="n"/>
      <c r="BU9" s="1176" t="n"/>
      <c r="BV9" s="1176" t="n"/>
      <c r="BW9" s="1176" t="n"/>
      <c r="BX9" s="1176" t="n"/>
      <c r="BY9" s="1176" t="n"/>
      <c r="BZ9" s="1176" t="n"/>
      <c r="CA9" s="1176" t="n"/>
      <c r="CB9" s="1176" t="n"/>
      <c r="CC9" s="1176" t="n"/>
      <c r="CD9" s="1176" t="n"/>
      <c r="CE9" s="1174" t="n"/>
      <c r="CF9" s="1174" t="n"/>
      <c r="CG9" s="1174" t="n"/>
      <c r="CH9" s="1174" t="n"/>
      <c r="CI9" s="1176">
        <f>BK9+BM9+BO9+BQ9+BS9+BU9+BW9+BY9+CA9+CC9+CE9+CG9</f>
        <v/>
      </c>
      <c r="CJ9" s="1176">
        <f>BL9+BN9+BP9+BR9+BT9+BV9+BX9+BZ9+CB9+CD9+CF9+CH9</f>
        <v/>
      </c>
      <c r="CK9" s="1176">
        <f>CI9/2</f>
        <v/>
      </c>
      <c r="CL9" s="1179">
        <f>CJ9/2</f>
        <v/>
      </c>
      <c r="CM9" s="557">
        <f>CL9/$CL$15%</f>
        <v/>
      </c>
      <c r="CN9" s="556">
        <f>CM9-BJ9</f>
        <v/>
      </c>
      <c r="CO9" s="1180">
        <f>CL9/BG9*100-100</f>
        <v/>
      </c>
      <c r="CP9" s="1181">
        <f>CL9/BI9*100-100</f>
        <v/>
      </c>
      <c r="CQ9" s="1181">
        <f>CL9-BI9</f>
        <v/>
      </c>
      <c r="CR9" s="1181">
        <f>CL9-BG9</f>
        <v/>
      </c>
      <c r="CS9" s="1181">
        <f>CQ9/14</f>
        <v/>
      </c>
      <c r="CT9" s="1181">
        <f>CR9/14</f>
        <v/>
      </c>
      <c r="CU9" s="1182">
        <f>CT9*2</f>
        <v/>
      </c>
      <c r="CV9" s="1183">
        <f>BI9*12*108%</f>
        <v/>
      </c>
      <c r="CW9" s="1183">
        <f>CV9-(CL9*2)</f>
        <v/>
      </c>
      <c r="CX9" s="1184">
        <f>CW9/10</f>
        <v/>
      </c>
    </row>
    <row r="10" ht="27" customHeight="1">
      <c r="A10" s="143" t="n">
        <v>7</v>
      </c>
      <c r="B10" s="130" t="inlineStr">
        <is>
          <t>Kyaukpadaung</t>
        </is>
      </c>
      <c r="C10" s="268" t="n">
        <v>92092</v>
      </c>
      <c r="D10" s="269" t="n">
        <v>59623.6</v>
      </c>
      <c r="E10" s="268" t="n">
        <v>86633</v>
      </c>
      <c r="F10" s="269" t="n">
        <v>56032.82000000001</v>
      </c>
      <c r="G10" s="268" t="n">
        <v>91326</v>
      </c>
      <c r="H10" s="269" t="n">
        <v>58656.24000000001</v>
      </c>
      <c r="I10" s="268" t="n">
        <v>99534</v>
      </c>
      <c r="J10" s="269" t="n">
        <v>64517.76</v>
      </c>
      <c r="K10" s="268" t="n">
        <v>120160</v>
      </c>
      <c r="L10" s="269" t="n">
        <v>76779.51999999999</v>
      </c>
      <c r="M10" s="268" t="n">
        <v>125112</v>
      </c>
      <c r="N10" s="269" t="n">
        <v>80877.04000000004</v>
      </c>
      <c r="O10" s="268" t="n">
        <v>107226</v>
      </c>
      <c r="P10" s="269" t="n">
        <v>69132.10000000001</v>
      </c>
      <c r="Q10" s="268" t="n">
        <v>113915</v>
      </c>
      <c r="R10" s="269" t="n">
        <v>73887.28</v>
      </c>
      <c r="S10" s="268" t="n">
        <v>116076</v>
      </c>
      <c r="T10" s="269" t="n">
        <v>75396.62000000001</v>
      </c>
      <c r="U10" s="268" t="n">
        <v>142301</v>
      </c>
      <c r="V10" s="269" t="n">
        <v>92219.70000000001</v>
      </c>
      <c r="W10" s="268" t="n">
        <v>125839</v>
      </c>
      <c r="X10" s="269" t="n">
        <v>81896.14</v>
      </c>
      <c r="Y10" s="268" t="n">
        <v>134749</v>
      </c>
      <c r="Z10" s="269" t="n">
        <v>89441.68000000001</v>
      </c>
      <c r="AA10" s="1173">
        <f>(C10+E10+G10+I10+K10+M10+O10+Q10+S10+U10+W10)/11</f>
        <v/>
      </c>
      <c r="AB10" s="1168">
        <f>(D10+F10+H10+J10+L10+N10+P10+R10+T10+V10+X10)/11</f>
        <v/>
      </c>
      <c r="AC10" s="1174">
        <f>(C10+E10+G10+I10+K10+M10+O10+Q10+S10+U10+W10+Y10)/12</f>
        <v/>
      </c>
      <c r="AD10" s="1175">
        <f>(D10+F10+H10+J10+L10+N10+P10+R10+T10+V10+X10+Z10)/12</f>
        <v/>
      </c>
      <c r="AE10" s="139">
        <f>AD10/$AD$15%</f>
        <v/>
      </c>
      <c r="AF10" s="1176" t="n">
        <v>140720</v>
      </c>
      <c r="AG10" s="1176" t="n">
        <v>92830.64000000007</v>
      </c>
      <c r="AH10" s="1176" t="n">
        <v>119242</v>
      </c>
      <c r="AI10" s="1176" t="n">
        <v>76066.48000000003</v>
      </c>
      <c r="AJ10" s="1176" t="n">
        <v>111430</v>
      </c>
      <c r="AK10" s="1176" t="n">
        <v>75932.79999999999</v>
      </c>
      <c r="AL10" s="1176" t="n">
        <v>129640</v>
      </c>
      <c r="AM10" s="1176" t="n">
        <v>83255.68000000002</v>
      </c>
      <c r="AN10" s="1176" t="n">
        <v>142342</v>
      </c>
      <c r="AO10" s="1176" t="n">
        <v>94764.84</v>
      </c>
      <c r="AP10" s="1176" t="n">
        <v>152574</v>
      </c>
      <c r="AQ10" s="1176" t="n">
        <v>99846.48000000001</v>
      </c>
      <c r="AR10" s="1176" t="n">
        <v>120600</v>
      </c>
      <c r="AS10" s="1176" t="n">
        <v>80598.47999999984</v>
      </c>
      <c r="AT10" s="1176" t="n">
        <v>149447</v>
      </c>
      <c r="AU10" s="1176" t="n">
        <v>99127.15999999989</v>
      </c>
      <c r="AV10" s="1176" t="n">
        <v>147026</v>
      </c>
      <c r="AW10" s="1176" t="n">
        <v>100454.24</v>
      </c>
      <c r="AX10" s="1176" t="n">
        <v>144199</v>
      </c>
      <c r="AY10" s="1176" t="n">
        <v>98587.60000000003</v>
      </c>
      <c r="AZ10" s="1174" t="n">
        <v>181990</v>
      </c>
      <c r="BA10" s="1174" t="n">
        <v>119403.28</v>
      </c>
      <c r="BB10" s="1174" t="n">
        <v>160582</v>
      </c>
      <c r="BC10" s="1174" t="n">
        <v>106776.4000000001</v>
      </c>
      <c r="BD10" s="1176">
        <f>AF10+AH10+AJ10+AL10+AN10+AP10+AR10+AT10+AV10+AX10+AZ10+BB10</f>
        <v/>
      </c>
      <c r="BE10" s="1176">
        <f>AG10+AI10+AK10+AM10+AO10+AQ10+AS10+AU10+AW10+AY10+BA10+BC10</f>
        <v/>
      </c>
      <c r="BF10" s="1176">
        <f>(AF10+AH10)/2</f>
        <v/>
      </c>
      <c r="BG10" s="1177">
        <f>(AG10+AI10)/2</f>
        <v/>
      </c>
      <c r="BH10" s="1178">
        <f>BD10/12</f>
        <v/>
      </c>
      <c r="BI10" s="1179">
        <f>BE10/12</f>
        <v/>
      </c>
      <c r="BJ10" s="141">
        <f>BI10/$BI$15%</f>
        <v/>
      </c>
      <c r="BK10" s="1176" t="n">
        <v>128272</v>
      </c>
      <c r="BL10" s="1176" t="n">
        <v>85297.84000000001</v>
      </c>
      <c r="BM10" s="1176" t="n">
        <v>100088</v>
      </c>
      <c r="BN10" s="1176" t="n">
        <v>68544.32000000001</v>
      </c>
      <c r="BO10" s="1176" t="n"/>
      <c r="BP10" s="1176" t="n"/>
      <c r="BQ10" s="1176" t="n"/>
      <c r="BR10" s="1176" t="n"/>
      <c r="BS10" s="1176" t="n"/>
      <c r="BT10" s="1176" t="n"/>
      <c r="BU10" s="1176" t="n"/>
      <c r="BV10" s="1176" t="n"/>
      <c r="BW10" s="1176" t="n"/>
      <c r="BX10" s="1176" t="n"/>
      <c r="BY10" s="1176" t="n"/>
      <c r="BZ10" s="1176" t="n"/>
      <c r="CA10" s="1176" t="n"/>
      <c r="CB10" s="1176" t="n"/>
      <c r="CC10" s="1176" t="n"/>
      <c r="CD10" s="1176" t="n"/>
      <c r="CE10" s="1174" t="n"/>
      <c r="CF10" s="1174" t="n"/>
      <c r="CG10" s="1174" t="n"/>
      <c r="CH10" s="1174" t="n"/>
      <c r="CI10" s="1176">
        <f>BK10+BM10+BO10+BQ10+BS10+BU10+BW10+BY10+CA10+CC10+CE10+CG10</f>
        <v/>
      </c>
      <c r="CJ10" s="1176">
        <f>BL10+BN10+BP10+BR10+BT10+BV10+BX10+BZ10+CB10+CD10+CF10+CH10</f>
        <v/>
      </c>
      <c r="CK10" s="1176">
        <f>CI10/2</f>
        <v/>
      </c>
      <c r="CL10" s="1179">
        <f>CJ10/2</f>
        <v/>
      </c>
      <c r="CM10" s="557">
        <f>CL10/$CL$15%</f>
        <v/>
      </c>
      <c r="CN10" s="556">
        <f>CM10-BJ10</f>
        <v/>
      </c>
      <c r="CO10" s="1180">
        <f>CL10/BG10*100-100</f>
        <v/>
      </c>
      <c r="CP10" s="1181">
        <f>CL10/BI10*100-100</f>
        <v/>
      </c>
      <c r="CQ10" s="1181">
        <f>CL10-BI10</f>
        <v/>
      </c>
      <c r="CR10" s="1181">
        <f>CL10-BG10</f>
        <v/>
      </c>
      <c r="CS10" s="1181">
        <f>CQ10/14</f>
        <v/>
      </c>
      <c r="CT10" s="1181">
        <f>CR10/14</f>
        <v/>
      </c>
      <c r="CU10" s="1182">
        <f>CT10*2</f>
        <v/>
      </c>
      <c r="CV10" s="1183">
        <f>BI10*12*108%</f>
        <v/>
      </c>
      <c r="CW10" s="1183">
        <f>CV10-(CL10*2)</f>
        <v/>
      </c>
      <c r="CX10" s="1184">
        <f>CW10/10</f>
        <v/>
      </c>
    </row>
    <row r="11" ht="27" customHeight="1">
      <c r="A11" s="143" t="n">
        <v>8</v>
      </c>
      <c r="B11" s="130" t="inlineStr">
        <is>
          <t>Taungthar</t>
        </is>
      </c>
      <c r="C11" s="268" t="n">
        <v>13020</v>
      </c>
      <c r="D11" s="269" t="n">
        <v>8332.799999999999</v>
      </c>
      <c r="E11" s="268" t="n">
        <v>15400</v>
      </c>
      <c r="F11" s="269" t="n">
        <v>9856</v>
      </c>
      <c r="G11" s="268" t="n">
        <v>14000</v>
      </c>
      <c r="H11" s="269" t="n">
        <v>8960</v>
      </c>
      <c r="I11" s="268" t="n">
        <v>16156</v>
      </c>
      <c r="J11" s="269" t="n">
        <v>10339.84</v>
      </c>
      <c r="K11" s="268" t="n">
        <v>13694</v>
      </c>
      <c r="L11" s="269" t="n">
        <v>8755.999999999998</v>
      </c>
      <c r="M11" s="268" t="n">
        <v>12640</v>
      </c>
      <c r="N11" s="269" t="n">
        <v>8089.6</v>
      </c>
      <c r="O11" s="268" t="n">
        <v>12650</v>
      </c>
      <c r="P11" s="269" t="n">
        <v>8096</v>
      </c>
      <c r="Q11" s="268" t="n">
        <v>11814</v>
      </c>
      <c r="R11" s="269" t="n">
        <v>7560.96</v>
      </c>
      <c r="S11" s="268" t="n">
        <v>18090</v>
      </c>
      <c r="T11" s="269" t="n">
        <v>11616</v>
      </c>
      <c r="U11" s="268" t="n">
        <v>19222</v>
      </c>
      <c r="V11" s="269" t="n">
        <v>12340.48</v>
      </c>
      <c r="W11" s="268" t="n">
        <v>13100</v>
      </c>
      <c r="X11" s="269" t="n">
        <v>8384</v>
      </c>
      <c r="Y11" s="268" t="n">
        <v>24200</v>
      </c>
      <c r="Z11" s="269" t="n">
        <v>15704</v>
      </c>
      <c r="AA11" s="1173">
        <f>(C11+E11+G11+I11+K11+M11+O11+Q11+S11+U11+W11)/11</f>
        <v/>
      </c>
      <c r="AB11" s="1168">
        <f>(D11+F11+H11+J11+L11+N11+P11+R11+T11+V11+X11)/11</f>
        <v/>
      </c>
      <c r="AC11" s="1174">
        <f>(C11+E11+G11+I11+K11+M11+O11+Q11+S11+U11+W11+Y11)/12</f>
        <v/>
      </c>
      <c r="AD11" s="1175">
        <f>(D11+F11+H11+J11+L11+N11+P11+R11+T11+V11+X11+Z11)/12</f>
        <v/>
      </c>
      <c r="AE11" s="139">
        <f>AD11/$AD$15%</f>
        <v/>
      </c>
      <c r="AF11" s="1176" t="n">
        <v>20980</v>
      </c>
      <c r="AG11" s="1176" t="n">
        <v>13960</v>
      </c>
      <c r="AH11" s="1176" t="n">
        <v>18740</v>
      </c>
      <c r="AI11" s="1176" t="n">
        <v>12512</v>
      </c>
      <c r="AJ11" s="1176" t="n">
        <v>14700</v>
      </c>
      <c r="AK11" s="1176" t="n">
        <v>9408</v>
      </c>
      <c r="AL11" s="1174" t="n">
        <v>15700</v>
      </c>
      <c r="AM11" s="1174" t="n">
        <v>10048</v>
      </c>
      <c r="AN11" s="1174" t="n">
        <v>15230</v>
      </c>
      <c r="AO11" s="1174" t="n">
        <v>9965.6</v>
      </c>
      <c r="AP11" s="1174" t="n">
        <v>16140</v>
      </c>
      <c r="AQ11" s="1174" t="n">
        <v>10329.6</v>
      </c>
      <c r="AR11" s="1174" t="n">
        <v>6300</v>
      </c>
      <c r="AS11" s="1174" t="n">
        <v>4032</v>
      </c>
      <c r="AT11" s="1174" t="n">
        <v>17040</v>
      </c>
      <c r="AU11" s="1174" t="n">
        <v>10992</v>
      </c>
      <c r="AV11" s="1174" t="n">
        <v>4240</v>
      </c>
      <c r="AW11" s="1174" t="n">
        <v>2972.8</v>
      </c>
      <c r="AX11" s="1174" t="n">
        <v>17338</v>
      </c>
      <c r="AY11" s="1174" t="n">
        <v>12910.72</v>
      </c>
      <c r="AZ11" s="1174" t="n">
        <v>13960</v>
      </c>
      <c r="BA11" s="1174" t="n">
        <v>9064</v>
      </c>
      <c r="BB11" s="1174" t="n">
        <v>34960</v>
      </c>
      <c r="BC11" s="1174" t="n">
        <v>22916.8</v>
      </c>
      <c r="BD11" s="1176">
        <f>AF11+AH11+AJ11+AL11+AN11+AP11+AR11+AT11+AV11+AX11+AZ11+BB11</f>
        <v/>
      </c>
      <c r="BE11" s="1176">
        <f>AG11+AI11+AK11+AM11+AO11+AQ11+AS11+AU11+AW11+AY11+BA11+BC11</f>
        <v/>
      </c>
      <c r="BF11" s="1176">
        <f>(AF11+AH11)/2</f>
        <v/>
      </c>
      <c r="BG11" s="1177">
        <f>(AG11+AI11)/2</f>
        <v/>
      </c>
      <c r="BH11" s="1178">
        <f>BD11/12</f>
        <v/>
      </c>
      <c r="BI11" s="1179">
        <f>BE11/12</f>
        <v/>
      </c>
      <c r="BJ11" s="141">
        <f>BI11/$BI$15%</f>
        <v/>
      </c>
      <c r="BK11" s="1176" t="n">
        <v>1200</v>
      </c>
      <c r="BL11" s="1176" t="n">
        <v>1200</v>
      </c>
      <c r="BM11" s="1176" t="n">
        <v>5900</v>
      </c>
      <c r="BN11" s="1176" t="n">
        <v>4640</v>
      </c>
      <c r="BO11" s="1176" t="n"/>
      <c r="BP11" s="1176" t="n"/>
      <c r="BQ11" s="1174" t="n"/>
      <c r="BR11" s="1174" t="n"/>
      <c r="BS11" s="1174" t="n"/>
      <c r="BT11" s="1174" t="n"/>
      <c r="BU11" s="1174" t="n"/>
      <c r="BV11" s="1174" t="n"/>
      <c r="BW11" s="1174" t="n"/>
      <c r="BX11" s="1174" t="n"/>
      <c r="BY11" s="1174" t="n"/>
      <c r="BZ11" s="1174" t="n"/>
      <c r="CA11" s="1174" t="n"/>
      <c r="CB11" s="1174" t="n"/>
      <c r="CC11" s="1174" t="n"/>
      <c r="CD11" s="1174" t="n"/>
      <c r="CE11" s="1174" t="n"/>
      <c r="CF11" s="1174" t="n"/>
      <c r="CG11" s="1174" t="n"/>
      <c r="CH11" s="1174" t="n"/>
      <c r="CI11" s="1176">
        <f>BK11+BM11+BO11+BQ11+BS11+BU11+BW11+BY11+CA11+CC11+CE11+CG11</f>
        <v/>
      </c>
      <c r="CJ11" s="1176">
        <f>BL11+BN11+BP11+BR11+BT11+BV11+BX11+BZ11+CB11+CD11+CF11+CH11</f>
        <v/>
      </c>
      <c r="CK11" s="1176">
        <f>CI11/2</f>
        <v/>
      </c>
      <c r="CL11" s="1179">
        <f>CJ11/2</f>
        <v/>
      </c>
      <c r="CM11" s="557">
        <f>CL11/$CL$15%</f>
        <v/>
      </c>
      <c r="CN11" s="556">
        <f>CM11-BJ11</f>
        <v/>
      </c>
      <c r="CO11" s="1180">
        <f>CL11/BG11*100-100</f>
        <v/>
      </c>
      <c r="CP11" s="1181">
        <f>CL11/BI11*100-100</f>
        <v/>
      </c>
      <c r="CQ11" s="1181">
        <f>CL11-BI11</f>
        <v/>
      </c>
      <c r="CR11" s="1181">
        <f>CL11-BG11</f>
        <v/>
      </c>
      <c r="CS11" s="1181">
        <f>CQ11/14</f>
        <v/>
      </c>
      <c r="CT11" s="1181">
        <f>CR11/14</f>
        <v/>
      </c>
      <c r="CU11" s="1182">
        <f>CT11*2</f>
        <v/>
      </c>
      <c r="CV11" s="1183">
        <f>BI11*12*108%</f>
        <v/>
      </c>
      <c r="CW11" s="1183">
        <f>CV11-(CL11*2)</f>
        <v/>
      </c>
      <c r="CX11" s="1184">
        <f>CW11/10</f>
        <v/>
      </c>
    </row>
    <row r="12" ht="27" customHeight="1">
      <c r="A12" s="143" t="n">
        <v>9</v>
      </c>
      <c r="B12" s="674" t="inlineStr">
        <is>
          <t>Myingyan</t>
        </is>
      </c>
      <c r="C12" s="268" t="n">
        <v>10196</v>
      </c>
      <c r="D12" s="269" t="n">
        <v>6807.199999999999</v>
      </c>
      <c r="E12" s="268" t="n">
        <v>19916</v>
      </c>
      <c r="F12" s="269" t="n">
        <v>12822.56</v>
      </c>
      <c r="G12" s="268" t="n">
        <v>22076</v>
      </c>
      <c r="H12" s="269" t="n">
        <v>14495.84</v>
      </c>
      <c r="I12" s="268" t="n">
        <v>17805</v>
      </c>
      <c r="J12" s="269" t="n">
        <v>11431.2</v>
      </c>
      <c r="K12" s="268" t="n">
        <v>18322</v>
      </c>
      <c r="L12" s="269" t="n">
        <v>11783.68</v>
      </c>
      <c r="M12" s="268" t="n">
        <v>10706</v>
      </c>
      <c r="N12" s="269" t="n">
        <v>6887.839999999999</v>
      </c>
      <c r="O12" s="268" t="n">
        <v>20292</v>
      </c>
      <c r="P12" s="269" t="n">
        <v>13058.88</v>
      </c>
      <c r="Q12" s="268" t="n">
        <v>17114</v>
      </c>
      <c r="R12" s="269" t="n">
        <v>11300.12</v>
      </c>
      <c r="S12" s="268" t="n">
        <v>17650</v>
      </c>
      <c r="T12" s="269" t="n">
        <v>11352.4</v>
      </c>
      <c r="U12" s="268" t="n">
        <v>14560</v>
      </c>
      <c r="V12" s="269" t="n">
        <v>9376.240000000002</v>
      </c>
      <c r="W12" s="268" t="n">
        <v>7736</v>
      </c>
      <c r="X12" s="269" t="n">
        <v>5102</v>
      </c>
      <c r="Y12" s="268" t="n">
        <v>16628</v>
      </c>
      <c r="Z12" s="269" t="n">
        <v>10749.92</v>
      </c>
      <c r="AA12" s="1173">
        <f>(C12+E12+G12+I12+K12+M12+O12+Q12+S12+U12+W12)/11</f>
        <v/>
      </c>
      <c r="AB12" s="1168">
        <f>(D12+F12+H12+J12+L12+N12+P12+R12+T12+V12+X12)/11</f>
        <v/>
      </c>
      <c r="AC12" s="1174">
        <f>(C12+E12+G12+I12+K12+M12+O12+Q12+S12+U12+W12+Y12)/12</f>
        <v/>
      </c>
      <c r="AD12" s="1175">
        <f>(D12+F12+H12+J12+L12+N12+P12+R12+T12+V12+X12+Z12)/12</f>
        <v/>
      </c>
      <c r="AE12" s="139">
        <f>AD12/$AD$15%</f>
        <v/>
      </c>
      <c r="AF12" s="1176" t="n">
        <v>15360</v>
      </c>
      <c r="AG12" s="1176" t="n">
        <v>9830.399999999998</v>
      </c>
      <c r="AH12" s="1176" t="n">
        <v>10820</v>
      </c>
      <c r="AI12" s="1176" t="n">
        <v>7032.8</v>
      </c>
      <c r="AJ12" s="1176" t="n">
        <v>16260</v>
      </c>
      <c r="AK12" s="1176" t="n">
        <v>10406.4</v>
      </c>
      <c r="AL12" s="1176" t="n">
        <v>2800</v>
      </c>
      <c r="AM12" s="1176" t="n">
        <v>1792</v>
      </c>
      <c r="AN12" s="1176" t="n">
        <v>24748</v>
      </c>
      <c r="AO12" s="1176" t="n">
        <v>16137.52</v>
      </c>
      <c r="AP12" s="1176" t="n">
        <v>14390</v>
      </c>
      <c r="AQ12" s="1176" t="n">
        <v>9227.599999999999</v>
      </c>
      <c r="AR12" s="1176" t="n">
        <v>12780</v>
      </c>
      <c r="AS12" s="1176" t="n">
        <v>8197.200000000001</v>
      </c>
      <c r="AT12" s="1176" t="n">
        <v>9066</v>
      </c>
      <c r="AU12" s="1176" t="n">
        <v>5809.440000000001</v>
      </c>
      <c r="AV12" s="1176" t="n">
        <v>7610</v>
      </c>
      <c r="AW12" s="1176" t="n">
        <v>4924.400000000001</v>
      </c>
      <c r="AX12" s="1176" t="n">
        <v>3500</v>
      </c>
      <c r="AY12" s="1176" t="n">
        <v>2240</v>
      </c>
      <c r="AZ12" s="1174" t="n">
        <v>5100</v>
      </c>
      <c r="BA12" s="1174" t="n">
        <v>3336</v>
      </c>
      <c r="BB12" s="1174" t="n">
        <v>8652</v>
      </c>
      <c r="BC12" s="1174" t="n">
        <v>5645.28</v>
      </c>
      <c r="BD12" s="1176">
        <f>AF12+AH12+AJ12+AL12+AN12+AP12+AR12+AT12+AV12+AX12+AZ12+BB12</f>
        <v/>
      </c>
      <c r="BE12" s="1176">
        <f>AG12+AI12+AK12+AM12+AO12+AQ12+AS12+AU12+AW12+AY12+BA12+BC12</f>
        <v/>
      </c>
      <c r="BF12" s="1176">
        <f>(AF12+AH12)/2</f>
        <v/>
      </c>
      <c r="BG12" s="1177">
        <f>(AG12+AI12)/2</f>
        <v/>
      </c>
      <c r="BH12" s="1178">
        <f>BD12/12</f>
        <v/>
      </c>
      <c r="BI12" s="1179">
        <f>BE12/12</f>
        <v/>
      </c>
      <c r="BJ12" s="141">
        <f>BI12/$BI$15%</f>
        <v/>
      </c>
      <c r="BK12" s="1176" t="n">
        <v>12430</v>
      </c>
      <c r="BL12" s="1176" t="n">
        <v>7991.2</v>
      </c>
      <c r="BM12" s="1176" t="n">
        <v>10600</v>
      </c>
      <c r="BN12" s="1176" t="n">
        <v>6838</v>
      </c>
      <c r="BO12" s="1176" t="n"/>
      <c r="BP12" s="1176" t="n"/>
      <c r="BQ12" s="1176" t="n"/>
      <c r="BR12" s="1176" t="n"/>
      <c r="BS12" s="1176" t="n"/>
      <c r="BT12" s="1176" t="n"/>
      <c r="BU12" s="1176" t="n"/>
      <c r="BV12" s="1176" t="n"/>
      <c r="BW12" s="1176" t="n"/>
      <c r="BX12" s="1176" t="n"/>
      <c r="BY12" s="1176" t="n"/>
      <c r="BZ12" s="1176" t="n"/>
      <c r="CA12" s="1176" t="n"/>
      <c r="CB12" s="1176" t="n"/>
      <c r="CC12" s="1176" t="n"/>
      <c r="CD12" s="1176" t="n"/>
      <c r="CE12" s="1174" t="n"/>
      <c r="CF12" s="1174" t="n"/>
      <c r="CG12" s="1174" t="n"/>
      <c r="CH12" s="1174" t="n"/>
      <c r="CI12" s="1176">
        <f>BK12+BM12+BO12+BQ12+BS12+BU12+BW12+BY12+CA12+CC12+CE12+CG12</f>
        <v/>
      </c>
      <c r="CJ12" s="1176">
        <f>BL12+BN12+BP12+BR12+BT12+BV12+BX12+BZ12+CB12+CD12+CF12+CH12</f>
        <v/>
      </c>
      <c r="CK12" s="1176">
        <f>CI12/2</f>
        <v/>
      </c>
      <c r="CL12" s="1179">
        <f>CJ12/2</f>
        <v/>
      </c>
      <c r="CM12" s="557">
        <f>CL12/$CL$15%</f>
        <v/>
      </c>
      <c r="CN12" s="556">
        <f>CM12-BJ12</f>
        <v/>
      </c>
      <c r="CO12" s="1180">
        <f>CL12/BG12*100-100</f>
        <v/>
      </c>
      <c r="CP12" s="1181">
        <f>CL12/BI12*100-100</f>
        <v/>
      </c>
      <c r="CQ12" s="1181">
        <f>CL12-BI12</f>
        <v/>
      </c>
      <c r="CR12" s="1181">
        <f>CL12-BG12</f>
        <v/>
      </c>
      <c r="CS12" s="1181">
        <f>CQ12/14</f>
        <v/>
      </c>
      <c r="CT12" s="1181">
        <f>CR12/14</f>
        <v/>
      </c>
      <c r="CU12" s="1182">
        <f>CT12*2</f>
        <v/>
      </c>
      <c r="CV12" s="1183">
        <f>BI12*12*108%</f>
        <v/>
      </c>
      <c r="CW12" s="1183">
        <f>CV12-(CL12*2)</f>
        <v/>
      </c>
      <c r="CX12" s="1184">
        <f>CW12/10</f>
        <v/>
      </c>
    </row>
    <row r="13" ht="27" customHeight="1">
      <c r="A13" s="143" t="n">
        <v>10</v>
      </c>
      <c r="B13" s="130" t="inlineStr">
        <is>
          <t>Bagan</t>
        </is>
      </c>
      <c r="C13" s="268" t="n">
        <v>9746</v>
      </c>
      <c r="D13" s="269" t="n">
        <v>6457.04</v>
      </c>
      <c r="E13" s="268" t="n">
        <v>15280</v>
      </c>
      <c r="F13" s="269" t="n">
        <v>10704.4</v>
      </c>
      <c r="G13" s="268" t="n">
        <v>9982</v>
      </c>
      <c r="H13" s="269" t="n">
        <v>6737.8</v>
      </c>
      <c r="I13" s="268" t="n">
        <v>15880</v>
      </c>
      <c r="J13" s="269" t="n">
        <v>12323.2</v>
      </c>
      <c r="K13" s="268" t="n">
        <v>17802</v>
      </c>
      <c r="L13" s="269" t="n">
        <v>11395.68</v>
      </c>
      <c r="M13" s="268" t="n">
        <v>18882</v>
      </c>
      <c r="N13" s="269" t="n">
        <v>12352.12</v>
      </c>
      <c r="O13" s="268" t="n">
        <v>27586</v>
      </c>
      <c r="P13" s="269" t="n">
        <v>18954.4</v>
      </c>
      <c r="Q13" s="268" t="n">
        <v>34428</v>
      </c>
      <c r="R13" s="269" t="n">
        <v>23240.52</v>
      </c>
      <c r="S13" s="268" t="n">
        <v>16298</v>
      </c>
      <c r="T13" s="269" t="n">
        <v>10564.88</v>
      </c>
      <c r="U13" s="268" t="n">
        <v>32650</v>
      </c>
      <c r="V13" s="269" t="n">
        <v>22733.8</v>
      </c>
      <c r="W13" s="268" t="n">
        <v>15229</v>
      </c>
      <c r="X13" s="269" t="n">
        <v>11002.24</v>
      </c>
      <c r="Y13" s="268" t="n">
        <v>27059</v>
      </c>
      <c r="Z13" s="269" t="n">
        <v>18678.32</v>
      </c>
      <c r="AA13" s="1173">
        <f>(C13+E13+G13+I13+K13+M13+O13+Q13+S13+U13+W13)/11</f>
        <v/>
      </c>
      <c r="AB13" s="1168">
        <f>(D13+F13+H13+J13+L13+N13+P13+R13+T13+V13+X13)/11</f>
        <v/>
      </c>
      <c r="AC13" s="1174">
        <f>(C13+E13+G13+I13+K13+M13+O13+Q13+S13+U13+W13+Y13)/12</f>
        <v/>
      </c>
      <c r="AD13" s="1175">
        <f>(D13+F13+H13+J13+L13+N13+P13+R13+T13+V13+X13+Z13)/12</f>
        <v/>
      </c>
      <c r="AE13" s="139">
        <f>AD13/$AD$15%</f>
        <v/>
      </c>
      <c r="AF13" s="1176" t="n">
        <v>17991</v>
      </c>
      <c r="AG13" s="1176" t="n">
        <v>11819.75999999999</v>
      </c>
      <c r="AH13" s="1176" t="n">
        <v>12551</v>
      </c>
      <c r="AI13" s="1176" t="n">
        <v>8736.559999999999</v>
      </c>
      <c r="AJ13" s="1176" t="n">
        <v>51722</v>
      </c>
      <c r="AK13" s="1176" t="n">
        <v>37107.92</v>
      </c>
      <c r="AL13" s="1176" t="n">
        <v>7248</v>
      </c>
      <c r="AM13" s="1176" t="n">
        <v>4652.160000000001</v>
      </c>
      <c r="AN13" s="1176" t="n">
        <v>13432</v>
      </c>
      <c r="AO13" s="1176" t="n">
        <v>9081.279999999995</v>
      </c>
      <c r="AP13" s="1176" t="n">
        <v>6406</v>
      </c>
      <c r="AQ13" s="1176" t="n">
        <v>4196.300000000001</v>
      </c>
      <c r="AR13" s="1176" t="n">
        <v>30534</v>
      </c>
      <c r="AS13" s="1176" t="n">
        <v>22794.24</v>
      </c>
      <c r="AT13" s="1176" t="n">
        <v>19225</v>
      </c>
      <c r="AU13" s="1176" t="n">
        <v>12910.91999999999</v>
      </c>
      <c r="AV13" s="1176" t="n">
        <v>27022</v>
      </c>
      <c r="AW13" s="1176" t="n">
        <v>21013.36</v>
      </c>
      <c r="AX13" s="1176" t="n">
        <v>32225</v>
      </c>
      <c r="AY13" s="1176" t="n">
        <v>26940.68</v>
      </c>
      <c r="AZ13" s="1174" t="n">
        <v>17660</v>
      </c>
      <c r="BA13" s="1174" t="n">
        <v>14564</v>
      </c>
      <c r="BB13" s="1174" t="n">
        <v>25332</v>
      </c>
      <c r="BC13" s="1174" t="n">
        <v>20067.84</v>
      </c>
      <c r="BD13" s="1176">
        <f>AF13+AH13+AJ13+AL13+AN13+AP13+AR13+AT13+AV13+AX13+AZ13+BB13</f>
        <v/>
      </c>
      <c r="BE13" s="1176">
        <f>AG13+AI13+AK13+AM13+AO13+AQ13+AS13+AU13+AW13+AY13+BA13+BC13</f>
        <v/>
      </c>
      <c r="BF13" s="1176">
        <f>(AF13+AH13)/2</f>
        <v/>
      </c>
      <c r="BG13" s="1177">
        <f>(AG13+AI13)/2</f>
        <v/>
      </c>
      <c r="BH13" s="1178">
        <f>BD13/12</f>
        <v/>
      </c>
      <c r="BI13" s="1179">
        <f>BE13/12</f>
        <v/>
      </c>
      <c r="BJ13" s="141">
        <f>BI13/$BI$15%</f>
        <v/>
      </c>
      <c r="BK13" s="1176" t="n">
        <v>9450</v>
      </c>
      <c r="BL13" s="1176" t="n">
        <v>7948.8</v>
      </c>
      <c r="BM13" s="1176" t="n">
        <v>19816</v>
      </c>
      <c r="BN13" s="1176" t="n">
        <v>15159.04</v>
      </c>
      <c r="BO13" s="1176" t="n"/>
      <c r="BP13" s="1176" t="n"/>
      <c r="BQ13" s="1176" t="n"/>
      <c r="BR13" s="1176" t="n"/>
      <c r="BS13" s="1176" t="n"/>
      <c r="BT13" s="1176" t="n"/>
      <c r="BU13" s="1176" t="n"/>
      <c r="BV13" s="1176" t="n"/>
      <c r="BW13" s="1176" t="n"/>
      <c r="BX13" s="1176" t="n"/>
      <c r="BY13" s="1176" t="n"/>
      <c r="BZ13" s="1176" t="n"/>
      <c r="CA13" s="1176" t="n"/>
      <c r="CB13" s="1176" t="n"/>
      <c r="CC13" s="1176" t="n"/>
      <c r="CD13" s="1176" t="n"/>
      <c r="CE13" s="1174" t="n"/>
      <c r="CF13" s="1174" t="n"/>
      <c r="CG13" s="1174" t="n"/>
      <c r="CH13" s="1174" t="n"/>
      <c r="CI13" s="1176">
        <f>BK13+BM13+BO13+BQ13+BS13+BU13+BW13+BY13+CA13+CC13+CE13+CG13</f>
        <v/>
      </c>
      <c r="CJ13" s="1176">
        <f>BL13+BN13+BP13+BR13+BT13+BV13+BX13+BZ13+CB13+CD13+CF13+CH13</f>
        <v/>
      </c>
      <c r="CK13" s="1176">
        <f>CI13/2</f>
        <v/>
      </c>
      <c r="CL13" s="1179">
        <f>CJ13/2</f>
        <v/>
      </c>
      <c r="CM13" s="557">
        <f>CL13/$CL$15%</f>
        <v/>
      </c>
      <c r="CN13" s="556">
        <f>CM13-BJ13</f>
        <v/>
      </c>
      <c r="CO13" s="1180">
        <f>CL13/BG13*100-100</f>
        <v/>
      </c>
      <c r="CP13" s="1181">
        <f>CL13/BI13*100-100</f>
        <v/>
      </c>
      <c r="CQ13" s="1181">
        <f>CL13-BI13</f>
        <v/>
      </c>
      <c r="CR13" s="1181">
        <f>CL13-BG13</f>
        <v/>
      </c>
      <c r="CS13" s="1181">
        <f>CQ13/14</f>
        <v/>
      </c>
      <c r="CT13" s="1181">
        <f>CR13/14</f>
        <v/>
      </c>
      <c r="CU13" s="1182">
        <f>CT13*2</f>
        <v/>
      </c>
      <c r="CV13" s="1183">
        <f>BI13*12*108%</f>
        <v/>
      </c>
      <c r="CW13" s="1183">
        <f>CV13-(CL13*2)</f>
        <v/>
      </c>
      <c r="CX13" s="1184">
        <f>CW13/10</f>
        <v/>
      </c>
    </row>
    <row r="14" ht="27" customHeight="1" thickBot="1">
      <c r="A14" s="223" t="n">
        <v>11</v>
      </c>
      <c r="B14" s="224" t="inlineStr">
        <is>
          <t>Pakokku</t>
        </is>
      </c>
      <c r="C14" s="273" t="n">
        <v>36400</v>
      </c>
      <c r="D14" s="271" t="n">
        <v>23296</v>
      </c>
      <c r="E14" s="273" t="n">
        <v>19600</v>
      </c>
      <c r="F14" s="271" t="n">
        <v>12544</v>
      </c>
      <c r="G14" s="273" t="n">
        <v>25072</v>
      </c>
      <c r="H14" s="271" t="n">
        <v>16109.5</v>
      </c>
      <c r="I14" s="273" t="n">
        <v>16690</v>
      </c>
      <c r="J14" s="271" t="n">
        <v>10681.6</v>
      </c>
      <c r="K14" s="273" t="n">
        <v>15386</v>
      </c>
      <c r="L14" s="271" t="n">
        <v>9847.040000000001</v>
      </c>
      <c r="M14" s="273" t="n">
        <v>28906</v>
      </c>
      <c r="N14" s="271" t="n">
        <v>18499.84</v>
      </c>
      <c r="O14" s="273" t="n">
        <v>24032</v>
      </c>
      <c r="P14" s="271" t="n">
        <v>15356.48</v>
      </c>
      <c r="Q14" s="273" t="n">
        <v>28711</v>
      </c>
      <c r="R14" s="271" t="n">
        <v>18410.14</v>
      </c>
      <c r="S14" s="273" t="n">
        <v>28966</v>
      </c>
      <c r="T14" s="271" t="n">
        <v>18510.4</v>
      </c>
      <c r="U14" s="273" t="n">
        <v>21174</v>
      </c>
      <c r="V14" s="271" t="n">
        <v>13551.36</v>
      </c>
      <c r="W14" s="273" t="n">
        <v>26600</v>
      </c>
      <c r="X14" s="271" t="n">
        <v>17024</v>
      </c>
      <c r="Y14" s="273" t="n">
        <v>22386</v>
      </c>
      <c r="Z14" s="271" t="n">
        <v>14327.04</v>
      </c>
      <c r="AA14" s="1185">
        <f>(C14+E14+G14+I14+K14+M14+O14+Q14+S14+U14+W14)/11</f>
        <v/>
      </c>
      <c r="AB14" s="1186">
        <f>(D14+F14+H14+J14+L14+N14+P14+R14+T14+V14+X14)/11</f>
        <v/>
      </c>
      <c r="AC14" s="1187">
        <f>(C14+E14+G14+I14+K14+M14+O14+Q14+S14+U14+W14+Y14)/12</f>
        <v/>
      </c>
      <c r="AD14" s="1188">
        <f>(D14+F14+H14+J14+L14+N14+P14+R14+T14+V14+X14+Z14)/12</f>
        <v/>
      </c>
      <c r="AE14" s="225">
        <f>AD14/$AD$15%</f>
        <v/>
      </c>
      <c r="AF14" s="1189" t="n">
        <v>31300</v>
      </c>
      <c r="AG14" s="1189" t="n">
        <v>20464</v>
      </c>
      <c r="AH14" s="1189" t="n">
        <v>23966</v>
      </c>
      <c r="AI14" s="1189" t="n">
        <v>16457.12</v>
      </c>
      <c r="AJ14" s="1189" t="n">
        <v>28720</v>
      </c>
      <c r="AK14" s="1189" t="n">
        <v>19720</v>
      </c>
      <c r="AL14" s="1189" t="n">
        <v>28780</v>
      </c>
      <c r="AM14" s="1189" t="n">
        <v>19715.2</v>
      </c>
      <c r="AN14" s="1189" t="n">
        <v>22568</v>
      </c>
      <c r="AO14" s="1189" t="n">
        <v>15303.2</v>
      </c>
      <c r="AP14" s="1189" t="n">
        <v>26150</v>
      </c>
      <c r="AQ14" s="1189" t="n">
        <v>16640</v>
      </c>
      <c r="AR14" s="1189" t="n">
        <v>19402</v>
      </c>
      <c r="AS14" s="1189" t="n">
        <v>13712.8</v>
      </c>
      <c r="AT14" s="1189" t="n">
        <v>24920</v>
      </c>
      <c r="AU14" s="1189" t="n">
        <v>16371.2</v>
      </c>
      <c r="AV14" s="1189" t="n">
        <v>28400</v>
      </c>
      <c r="AW14" s="1189" t="n">
        <v>23360</v>
      </c>
      <c r="AX14" s="1189" t="n">
        <v>20180</v>
      </c>
      <c r="AY14" s="1189" t="n">
        <v>13779.2</v>
      </c>
      <c r="AZ14" s="1187" t="n">
        <v>32280</v>
      </c>
      <c r="BA14" s="1187" t="n">
        <v>25104</v>
      </c>
      <c r="BB14" s="1187" t="n">
        <v>26616</v>
      </c>
      <c r="BC14" s="1187" t="n">
        <v>18762.24</v>
      </c>
      <c r="BD14" s="1189">
        <f>AF14+AH14+AJ14+AL14+AN14+AP14+AR14+AT14+AV14+AX14+AZ14+BB14</f>
        <v/>
      </c>
      <c r="BE14" s="1189">
        <f>AG14+AI14+AK14+AM14+AO14+AQ14+AS14+AU14+AW14+AY14+BA14+BC14</f>
        <v/>
      </c>
      <c r="BF14" s="1189">
        <f>(AF14+AH14)/2</f>
        <v/>
      </c>
      <c r="BG14" s="1190">
        <f>(AG14+AI14)/2</f>
        <v/>
      </c>
      <c r="BH14" s="1191">
        <f>BD14/12</f>
        <v/>
      </c>
      <c r="BI14" s="1192">
        <f>BE14/12</f>
        <v/>
      </c>
      <c r="BJ14" s="228">
        <f>BI14/$BI$15%</f>
        <v/>
      </c>
      <c r="BK14" s="1189" t="n">
        <v>21600</v>
      </c>
      <c r="BL14" s="1189" t="n">
        <v>14040</v>
      </c>
      <c r="BM14" s="1189" t="n">
        <v>3860</v>
      </c>
      <c r="BN14" s="1189" t="n">
        <v>2456</v>
      </c>
      <c r="BO14" s="1189" t="n"/>
      <c r="BP14" s="1189" t="n"/>
      <c r="BQ14" s="1189" t="n"/>
      <c r="BR14" s="1189" t="n"/>
      <c r="BS14" s="1189" t="n"/>
      <c r="BT14" s="1189" t="n"/>
      <c r="BU14" s="1189" t="n"/>
      <c r="BV14" s="1189" t="n"/>
      <c r="BW14" s="1189" t="n"/>
      <c r="BX14" s="1189" t="n"/>
      <c r="BY14" s="1189" t="n"/>
      <c r="BZ14" s="1189" t="n"/>
      <c r="CA14" s="1189" t="n"/>
      <c r="CB14" s="1189" t="n"/>
      <c r="CC14" s="1189" t="n"/>
      <c r="CD14" s="1189" t="n"/>
      <c r="CE14" s="1187" t="n"/>
      <c r="CF14" s="1187" t="n"/>
      <c r="CG14" s="1187" t="n"/>
      <c r="CH14" s="1187" t="n"/>
      <c r="CI14" s="1189">
        <f>BK14+BM14+BO14+BQ14+BS14+BU14+BW14+BY14+CA14+CC14+CE14+CG14</f>
        <v/>
      </c>
      <c r="CJ14" s="1189">
        <f>BL14+BN14+BP14+BR14+BT14+BV14+BX14+BZ14+CB14+CD14+CF14+CH14</f>
        <v/>
      </c>
      <c r="CK14" s="1189">
        <f>CI14/2</f>
        <v/>
      </c>
      <c r="CL14" s="1192">
        <f>CJ14/2</f>
        <v/>
      </c>
      <c r="CM14" s="559">
        <f>CL14/$CL$15%</f>
        <v/>
      </c>
      <c r="CN14" s="560">
        <f>CM14-BJ14</f>
        <v/>
      </c>
      <c r="CO14" s="1193">
        <f>CL14/BG14*100-100</f>
        <v/>
      </c>
      <c r="CP14" s="1194">
        <f>CL14/BI14*100-100</f>
        <v/>
      </c>
      <c r="CQ14" s="1194">
        <f>CL14-BI14</f>
        <v/>
      </c>
      <c r="CR14" s="1194">
        <f>CL14-BG14</f>
        <v/>
      </c>
      <c r="CS14" s="1194">
        <f>CQ14/14</f>
        <v/>
      </c>
      <c r="CT14" s="1194">
        <f>CR14/14</f>
        <v/>
      </c>
      <c r="CU14" s="1195">
        <f>CT14*2</f>
        <v/>
      </c>
      <c r="CV14" s="1196">
        <f>BI14*12*108%</f>
        <v/>
      </c>
      <c r="CW14" s="1196">
        <f>CV14-(CL14*2)</f>
        <v/>
      </c>
      <c r="CX14" s="1197">
        <f>CW14/10</f>
        <v/>
      </c>
    </row>
    <row r="15" ht="27" customFormat="1" customHeight="1" s="558" thickBot="1">
      <c r="A15" s="1198" t="n"/>
      <c r="B15" s="441" t="inlineStr">
        <is>
          <t>Regional Total</t>
        </is>
      </c>
      <c r="C15" s="1199">
        <f>SUM(C4:C14)</f>
        <v/>
      </c>
      <c r="D15" s="1200">
        <f>SUM(D4:D14)</f>
        <v/>
      </c>
      <c r="E15" s="1201">
        <f>SUM(E4:E14)</f>
        <v/>
      </c>
      <c r="F15" s="1202">
        <f>SUM(F4:F14)</f>
        <v/>
      </c>
      <c r="G15" s="1199">
        <f>SUM(G4:G14)</f>
        <v/>
      </c>
      <c r="H15" s="1200">
        <f>SUM(H4:H14)</f>
        <v/>
      </c>
      <c r="I15" s="1201">
        <f>SUM(I4:I14)</f>
        <v/>
      </c>
      <c r="J15" s="1200">
        <f>SUM(J4:J14)</f>
        <v/>
      </c>
      <c r="K15" s="1201">
        <f>SUM(K4:K14)</f>
        <v/>
      </c>
      <c r="L15" s="1200">
        <f>SUM(L4:L14)</f>
        <v/>
      </c>
      <c r="M15" s="1201">
        <f>SUM(M4:M14)</f>
        <v/>
      </c>
      <c r="N15" s="1200">
        <f>SUM(N4:N14)</f>
        <v/>
      </c>
      <c r="O15" s="1201">
        <f>SUM(O4:O14)</f>
        <v/>
      </c>
      <c r="P15" s="1200">
        <f>SUM(P4:P14)</f>
        <v/>
      </c>
      <c r="Q15" s="1201">
        <f>SUM(Q4:Q14)</f>
        <v/>
      </c>
      <c r="R15" s="1200">
        <f>SUM(R4:R14)</f>
        <v/>
      </c>
      <c r="S15" s="1201">
        <f>SUM(S4:S14)</f>
        <v/>
      </c>
      <c r="T15" s="1200">
        <f>SUM(T4:T14)</f>
        <v/>
      </c>
      <c r="U15" s="1201">
        <f>SUM(U4:U14)</f>
        <v/>
      </c>
      <c r="V15" s="1200">
        <f>SUM(V4:V14)</f>
        <v/>
      </c>
      <c r="W15" s="1201">
        <f>SUM(W4:W14)</f>
        <v/>
      </c>
      <c r="X15" s="1200">
        <f>SUM(X4:X14)</f>
        <v/>
      </c>
      <c r="Y15" s="1201">
        <f>SUM(Y4:Y14)</f>
        <v/>
      </c>
      <c r="Z15" s="1200">
        <f>SUM(Z4:Z14)</f>
        <v/>
      </c>
      <c r="AA15" s="1203">
        <f>(C15+E15+G15+I15+K15+M15+O15+Q15+S15+U15+W15)/11</f>
        <v/>
      </c>
      <c r="AB15" s="1204">
        <f>(D15+F15+H15+J15+L15+N15+P15+R15+T15+V15+X15)/11</f>
        <v/>
      </c>
      <c r="AC15" s="1205">
        <f>(C15+E15+G15+I15+K15+M15+O15+Q15+S15+U15+W15+Y15)/12</f>
        <v/>
      </c>
      <c r="AD15" s="1206">
        <f>(D15+F15+H15+J15+L15+N15+P15+R15+T15+V15+X15+Z15)/12</f>
        <v/>
      </c>
      <c r="AE15" s="1207">
        <f>SUM(AE4:AE14)</f>
        <v/>
      </c>
      <c r="AF15" s="1208">
        <f>SUM(AF4:AF14)</f>
        <v/>
      </c>
      <c r="AG15" s="1208">
        <f>SUM(AG4:AG14)</f>
        <v/>
      </c>
      <c r="AH15" s="1208">
        <f>SUM(AH4:AH14)</f>
        <v/>
      </c>
      <c r="AI15" s="1208">
        <f>SUM(AI4:AI14)</f>
        <v/>
      </c>
      <c r="AJ15" s="1208">
        <f>SUM(AJ4:AJ14)</f>
        <v/>
      </c>
      <c r="AK15" s="1208">
        <f>SUM(AK4:AK14)</f>
        <v/>
      </c>
      <c r="AL15" s="1208">
        <f>SUM(AL4:AL14)</f>
        <v/>
      </c>
      <c r="AM15" s="1208">
        <f>SUM(AM4:AM14)</f>
        <v/>
      </c>
      <c r="AN15" s="1208">
        <f>SUM(AN4:AN14)</f>
        <v/>
      </c>
      <c r="AO15" s="1208">
        <f>SUM(AO4:AO14)</f>
        <v/>
      </c>
      <c r="AP15" s="1208">
        <f>SUM(AP4:AP14)</f>
        <v/>
      </c>
      <c r="AQ15" s="1208">
        <f>SUM(AQ4:AQ14)</f>
        <v/>
      </c>
      <c r="AR15" s="1208">
        <f>SUM(AR4:AR14)</f>
        <v/>
      </c>
      <c r="AS15" s="1208">
        <f>SUM(AS4:AS14)</f>
        <v/>
      </c>
      <c r="AT15" s="1208">
        <f>SUM(AT4:AT14)</f>
        <v/>
      </c>
      <c r="AU15" s="1208">
        <f>SUM(AU4:AU14)</f>
        <v/>
      </c>
      <c r="AV15" s="1208">
        <f>SUM(AV4:AV14)</f>
        <v/>
      </c>
      <c r="AW15" s="1208">
        <f>SUM(AW4:AW14)</f>
        <v/>
      </c>
      <c r="AX15" s="1208">
        <f>SUM(AX4:AX14)</f>
        <v/>
      </c>
      <c r="AY15" s="1208">
        <f>SUM(AY4:AY14)</f>
        <v/>
      </c>
      <c r="AZ15" s="1208">
        <f>SUM(AZ4:AZ14)</f>
        <v/>
      </c>
      <c r="BA15" s="1208">
        <f>SUM(BA4:BA14)</f>
        <v/>
      </c>
      <c r="BB15" s="1208">
        <f>SUM(BB4:BB14)</f>
        <v/>
      </c>
      <c r="BC15" s="1208">
        <f>SUM(BC4:BC14)</f>
        <v/>
      </c>
      <c r="BD15" s="1208">
        <f>SUM(BD4:BD14)</f>
        <v/>
      </c>
      <c r="BE15" s="1208">
        <f>SUM(BE4:BE14)</f>
        <v/>
      </c>
      <c r="BF15" s="1208">
        <f>SUM(BF4:BF14)</f>
        <v/>
      </c>
      <c r="BG15" s="1209">
        <f>SUM(BG4:BG14)</f>
        <v/>
      </c>
      <c r="BH15" s="1208">
        <f>SUM(BH4:BH14)</f>
        <v/>
      </c>
      <c r="BI15" s="1209">
        <f>SUM(BI4:BI14)</f>
        <v/>
      </c>
      <c r="BJ15" s="448">
        <f>BI15/$BI$15%</f>
        <v/>
      </c>
      <c r="BK15" s="1208">
        <f>SUM(BK4:BK14)</f>
        <v/>
      </c>
      <c r="BL15" s="1208">
        <f>SUM(BL4:BL14)</f>
        <v/>
      </c>
      <c r="BM15" s="1208">
        <f>SUM(BM4:BM14)</f>
        <v/>
      </c>
      <c r="BN15" s="1208">
        <f>SUM(BN4:BN14)</f>
        <v/>
      </c>
      <c r="BO15" s="1208">
        <f>SUM(BO4:BO14)</f>
        <v/>
      </c>
      <c r="BP15" s="1208">
        <f>SUM(BP4:BP14)</f>
        <v/>
      </c>
      <c r="BQ15" s="1208">
        <f>SUM(BQ4:BQ14)</f>
        <v/>
      </c>
      <c r="BR15" s="1208">
        <f>SUM(BR4:BR14)</f>
        <v/>
      </c>
      <c r="BS15" s="1208">
        <f>SUM(BS4:BS14)</f>
        <v/>
      </c>
      <c r="BT15" s="1208">
        <f>SUM(BT4:BT14)</f>
        <v/>
      </c>
      <c r="BU15" s="1208">
        <f>SUM(BU4:BU14)</f>
        <v/>
      </c>
      <c r="BV15" s="1208">
        <f>SUM(BV4:BV14)</f>
        <v/>
      </c>
      <c r="BW15" s="1208">
        <f>SUM(BW4:BW14)</f>
        <v/>
      </c>
      <c r="BX15" s="1208">
        <f>SUM(BX4:BX14)</f>
        <v/>
      </c>
      <c r="BY15" s="1208">
        <f>SUM(BY4:BY14)</f>
        <v/>
      </c>
      <c r="BZ15" s="1208">
        <f>SUM(BZ4:BZ14)</f>
        <v/>
      </c>
      <c r="CA15" s="1208">
        <f>SUM(CA4:CA14)</f>
        <v/>
      </c>
      <c r="CB15" s="1208">
        <f>SUM(CB4:CB14)</f>
        <v/>
      </c>
      <c r="CC15" s="1208">
        <f>SUM(CC4:CC14)</f>
        <v/>
      </c>
      <c r="CD15" s="1208">
        <f>SUM(CD4:CD14)</f>
        <v/>
      </c>
      <c r="CE15" s="1208">
        <f>SUM(CE4:CE14)</f>
        <v/>
      </c>
      <c r="CF15" s="1208">
        <f>SUM(CF4:CF14)</f>
        <v/>
      </c>
      <c r="CG15" s="1208">
        <f>SUM(CG4:CG14)</f>
        <v/>
      </c>
      <c r="CH15" s="1208">
        <f>SUM(CH4:CH14)</f>
        <v/>
      </c>
      <c r="CI15" s="1208">
        <f>SUM(CI4:CI14)</f>
        <v/>
      </c>
      <c r="CJ15" s="1208">
        <f>SUM(CJ4:CJ14)</f>
        <v/>
      </c>
      <c r="CK15" s="1208">
        <f>SUM(CK4:CK14)</f>
        <v/>
      </c>
      <c r="CL15" s="1209">
        <f>SUM(CL4:CL14)</f>
        <v/>
      </c>
      <c r="CM15" s="1205">
        <f>CL15/$CL$15%</f>
        <v/>
      </c>
      <c r="CN15" s="566">
        <f>CM15-BJ15</f>
        <v/>
      </c>
      <c r="CO15" s="1210">
        <f>CL15/BG15*100-100</f>
        <v/>
      </c>
      <c r="CP15" s="1211">
        <f>CL15/BI15*100-100</f>
        <v/>
      </c>
      <c r="CQ15" s="1212">
        <f>CL15-BI15</f>
        <v/>
      </c>
      <c r="CR15" s="1212">
        <f>CL15-BG15</f>
        <v/>
      </c>
      <c r="CS15" s="1212">
        <f>CQ15/14</f>
        <v/>
      </c>
      <c r="CT15" s="1212">
        <f>CR15/14</f>
        <v/>
      </c>
      <c r="CU15" s="1213">
        <f>CT15*2</f>
        <v/>
      </c>
      <c r="CV15" s="1214">
        <f>BI15*12*108%</f>
        <v/>
      </c>
      <c r="CW15" s="1214">
        <f>CV15-(CL15*2)</f>
        <v/>
      </c>
      <c r="CX15" s="1215">
        <f>CW15/10</f>
        <v/>
      </c>
    </row>
    <row r="16"/>
    <row r="17">
      <c r="BH17" s="1216" t="n"/>
    </row>
    <row r="18"/>
    <row r="19"/>
    <row r="20">
      <c r="BH20" s="1216" t="n"/>
      <c r="BI20" s="1216" t="n"/>
    </row>
  </sheetData>
  <mergeCells count="54">
    <mergeCell ref="CQ1:CT1"/>
    <mergeCell ref="G2:H2"/>
    <mergeCell ref="CU1:CU2"/>
    <mergeCell ref="I2:J2"/>
    <mergeCell ref="AJ2:AK2"/>
    <mergeCell ref="AL2:AM2"/>
    <mergeCell ref="BU2:BV2"/>
    <mergeCell ref="M2:N2"/>
    <mergeCell ref="S2:T2"/>
    <mergeCell ref="U2:V2"/>
    <mergeCell ref="BD2:BE2"/>
    <mergeCell ref="CM1:CM2"/>
    <mergeCell ref="Y2:Z2"/>
    <mergeCell ref="AV2:AW2"/>
    <mergeCell ref="BM2:BN2"/>
    <mergeCell ref="BH2:BI2"/>
    <mergeCell ref="BO2:BP2"/>
    <mergeCell ref="AX2:AY2"/>
    <mergeCell ref="BW2:BX2"/>
    <mergeCell ref="BY2:BZ2"/>
    <mergeCell ref="B1:B2"/>
    <mergeCell ref="CA2:CB2"/>
    <mergeCell ref="CG2:CH2"/>
    <mergeCell ref="CI2:CJ2"/>
    <mergeCell ref="CK2:CL2"/>
    <mergeCell ref="CS2:CT2"/>
    <mergeCell ref="C2:D2"/>
    <mergeCell ref="E2:F2"/>
    <mergeCell ref="K2:L2"/>
    <mergeCell ref="CV2:CX2"/>
    <mergeCell ref="AF2:AG2"/>
    <mergeCell ref="AN2:AO2"/>
    <mergeCell ref="BQ2:BR2"/>
    <mergeCell ref="AF1:BI1"/>
    <mergeCell ref="AP2:AQ2"/>
    <mergeCell ref="O2:P2"/>
    <mergeCell ref="Q2:R2"/>
    <mergeCell ref="W2:X2"/>
    <mergeCell ref="CN1:CN2"/>
    <mergeCell ref="AH2:AI2"/>
    <mergeCell ref="AA2:AB2"/>
    <mergeCell ref="AR2:AS2"/>
    <mergeCell ref="BS2:BT2"/>
    <mergeCell ref="AT2:AU2"/>
    <mergeCell ref="BK2:BL2"/>
    <mergeCell ref="AC2:AD2"/>
    <mergeCell ref="AZ2:BA2"/>
    <mergeCell ref="BB2:BC2"/>
    <mergeCell ref="CC2:CD2"/>
    <mergeCell ref="CE2:CF2"/>
    <mergeCell ref="BF2:BG2"/>
    <mergeCell ref="CQ2:CR2"/>
    <mergeCell ref="BJ1:BJ2"/>
    <mergeCell ref="A1:A2"/>
  </mergeCells>
  <pageMargins left="0" right="0" top="0" bottom="0" header="0.3" footer="0.3"/>
  <pageSetup orientation="portrait" paperSize="5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AZ61"/>
  <sheetViews>
    <sheetView zoomScale="80" zoomScaleNormal="80" workbookViewId="0">
      <pane xSplit="4" ySplit="2" topLeftCell="AE47" activePane="bottomRight" state="frozen"/>
      <selection pane="topRight" activeCell="E1" sqref="E1"/>
      <selection pane="bottomLeft" activeCell="A3" sqref="A3"/>
      <selection pane="bottomRight" activeCell="BA71" sqref="BA71"/>
    </sheetView>
  </sheetViews>
  <sheetFormatPr baseColWidth="8" defaultColWidth="9.109375" defaultRowHeight="19.95" customHeight="1"/>
  <cols>
    <col width="3" bestFit="1" customWidth="1" style="229" min="1" max="1"/>
    <col width="26.109375" customWidth="1" style="229" min="2" max="2"/>
    <col width="5.5546875" bestFit="1" customWidth="1" style="229" min="3" max="3"/>
    <col width="7.88671875" bestFit="1" customWidth="1" style="229" min="4" max="4"/>
    <col width="9" customWidth="1" style="229" min="5" max="6"/>
    <col width="9" customWidth="1" style="291" min="7" max="8"/>
    <col width="9" customWidth="1" style="229" min="9" max="10"/>
    <col width="9" customWidth="1" style="291" min="11" max="12"/>
    <col width="9" customWidth="1" style="229" min="13" max="14"/>
    <col width="9" customWidth="1" style="291" min="15" max="16"/>
    <col width="9" customWidth="1" style="229" min="17" max="18"/>
    <col width="9" customWidth="1" style="291" min="19" max="20"/>
    <col width="9" customWidth="1" style="229" min="21" max="22"/>
    <col width="9" customWidth="1" style="291" min="23" max="24"/>
    <col width="9" customWidth="1" style="229" min="25" max="26"/>
    <col width="9" customWidth="1" style="291" min="27" max="28"/>
    <col width="9" customWidth="1" style="229" min="29" max="30"/>
    <col width="9" customWidth="1" style="291" min="31" max="32"/>
    <col width="10.44140625" bestFit="1" customWidth="1" style="229" min="33" max="33"/>
    <col width="9" customWidth="1" style="229" min="34" max="34"/>
    <col width="9" customWidth="1" style="291" min="35" max="36"/>
    <col width="9" customWidth="1" style="229" min="37" max="38"/>
    <col width="9" customWidth="1" style="291" min="39" max="40"/>
    <col width="9" customWidth="1" style="229" min="41" max="42"/>
    <col width="9" customWidth="1" style="291" min="43" max="44"/>
    <col width="9" customWidth="1" style="229" min="45" max="46"/>
    <col width="9" customWidth="1" style="291" min="47" max="48"/>
    <col width="9.6640625" customWidth="1" style="229" min="49" max="49"/>
    <col width="9.88671875" customWidth="1" style="229" min="50" max="50"/>
    <col width="10.5546875" customWidth="1" style="291" min="51" max="51"/>
    <col width="12.109375" bestFit="1" customWidth="1" style="229" min="52" max="52"/>
    <col width="9.109375" customWidth="1" style="229" min="53" max="16384"/>
  </cols>
  <sheetData>
    <row r="1" ht="40.5" customHeight="1" thickBot="1">
      <c r="A1" s="908" t="inlineStr">
        <is>
          <t>Sr</t>
        </is>
      </c>
      <c r="B1" s="910" t="inlineStr">
        <is>
          <t>Product Name</t>
        </is>
      </c>
      <c r="C1" s="910" t="inlineStr">
        <is>
          <t>Ml</t>
        </is>
      </c>
      <c r="D1" s="912" t="inlineStr">
        <is>
          <t>Packing</t>
        </is>
      </c>
      <c r="E1" s="907" t="inlineStr">
        <is>
          <t>Meiktila</t>
        </is>
      </c>
      <c r="F1" s="1217" t="n"/>
      <c r="G1" s="1218" t="inlineStr">
        <is>
          <t>Growth Over Last Year</t>
        </is>
      </c>
      <c r="H1" s="1218" t="inlineStr">
        <is>
          <t>2026 Contribution</t>
        </is>
      </c>
      <c r="I1" s="1219" t="inlineStr">
        <is>
          <t>tarzi</t>
        </is>
      </c>
      <c r="J1" s="1217" t="n"/>
      <c r="K1" s="1218" t="inlineStr">
        <is>
          <t>Growth Over Last Year</t>
        </is>
      </c>
      <c r="L1" s="1218" t="inlineStr">
        <is>
          <t>2026 Contribution</t>
        </is>
      </c>
      <c r="M1" s="1219" t="inlineStr">
        <is>
          <t>Pyawbwe</t>
        </is>
      </c>
      <c r="N1" s="1217" t="n"/>
      <c r="O1" s="1218" t="inlineStr">
        <is>
          <t>Growth Over Last Year</t>
        </is>
      </c>
      <c r="P1" s="1218" t="inlineStr">
        <is>
          <t>2026 Contribution</t>
        </is>
      </c>
      <c r="Q1" s="1219" t="inlineStr">
        <is>
          <t>Wantwin</t>
        </is>
      </c>
      <c r="R1" s="1217" t="n"/>
      <c r="S1" s="1218" t="inlineStr">
        <is>
          <t>Growth Over Last Year</t>
        </is>
      </c>
      <c r="T1" s="1218" t="inlineStr">
        <is>
          <t>2026 Contribution</t>
        </is>
      </c>
      <c r="U1" s="1219" t="inlineStr">
        <is>
          <t>Mahlaing</t>
        </is>
      </c>
      <c r="V1" s="1217" t="n"/>
      <c r="W1" s="1218" t="inlineStr">
        <is>
          <t>Growth Over Last Year</t>
        </is>
      </c>
      <c r="X1" s="1218" t="inlineStr">
        <is>
          <t>2026 Contribution</t>
        </is>
      </c>
      <c r="Y1" s="1219" t="inlineStr">
        <is>
          <t>Yamethin</t>
        </is>
      </c>
      <c r="Z1" s="1217" t="n"/>
      <c r="AA1" s="1218" t="inlineStr">
        <is>
          <t>Growth Over Last Year</t>
        </is>
      </c>
      <c r="AB1" s="1218" t="inlineStr">
        <is>
          <t>2026 Contribution</t>
        </is>
      </c>
      <c r="AC1" s="1219" t="inlineStr">
        <is>
          <t>kyaukpandaung</t>
        </is>
      </c>
      <c r="AD1" s="1217" t="n"/>
      <c r="AE1" s="1218" t="inlineStr">
        <is>
          <t>Growth Over Last Year</t>
        </is>
      </c>
      <c r="AF1" s="1218" t="inlineStr">
        <is>
          <t>2026 Contribution</t>
        </is>
      </c>
      <c r="AG1" s="1219" t="inlineStr">
        <is>
          <t>Taugthar</t>
        </is>
      </c>
      <c r="AH1" s="1217" t="n"/>
      <c r="AI1" s="1218" t="inlineStr">
        <is>
          <t>Growth Over Last Year</t>
        </is>
      </c>
      <c r="AJ1" s="1218" t="inlineStr">
        <is>
          <t>2026 Contribution</t>
        </is>
      </c>
      <c r="AK1" s="1219" t="inlineStr">
        <is>
          <t>Myingan</t>
        </is>
      </c>
      <c r="AL1" s="1217" t="n"/>
      <c r="AM1" s="1218" t="inlineStr">
        <is>
          <t>Growth Over Last Year</t>
        </is>
      </c>
      <c r="AN1" s="1218" t="inlineStr">
        <is>
          <t>2026 Contribution</t>
        </is>
      </c>
      <c r="AO1" s="1219" t="inlineStr">
        <is>
          <t>Bagan</t>
        </is>
      </c>
      <c r="AP1" s="1217" t="n"/>
      <c r="AQ1" s="1218" t="inlineStr">
        <is>
          <t>Growth Over Last Year</t>
        </is>
      </c>
      <c r="AR1" s="1218" t="inlineStr">
        <is>
          <t>2026 Contribution</t>
        </is>
      </c>
      <c r="AS1" s="1219" t="inlineStr">
        <is>
          <t>Pakoku</t>
        </is>
      </c>
      <c r="AT1" s="1217" t="n"/>
      <c r="AU1" s="1218" t="inlineStr">
        <is>
          <t>Growth Over Last Year</t>
        </is>
      </c>
      <c r="AV1" s="1218" t="inlineStr">
        <is>
          <t>2026 Contribution</t>
        </is>
      </c>
      <c r="AW1" s="1219" t="inlineStr">
        <is>
          <t>Regional Total</t>
        </is>
      </c>
      <c r="AX1" s="1217" t="n"/>
      <c r="AY1" s="1218" t="inlineStr">
        <is>
          <t>Growth Over Last Year</t>
        </is>
      </c>
      <c r="AZ1" s="230" t="inlineStr">
        <is>
          <t>Brand Wise</t>
        </is>
      </c>
    </row>
    <row r="2" ht="19.95" customHeight="1" thickBot="1">
      <c r="A2" s="1164" t="n"/>
      <c r="B2" s="973" t="n"/>
      <c r="C2" s="973" t="n"/>
      <c r="D2" s="1220" t="n"/>
      <c r="E2" s="470" t="n">
        <v>2025</v>
      </c>
      <c r="F2" s="452" t="n">
        <v>2026</v>
      </c>
      <c r="G2" s="1221" t="n"/>
      <c r="H2" s="1221" t="n"/>
      <c r="I2" s="470" t="n">
        <v>2025</v>
      </c>
      <c r="J2" s="452" t="n">
        <v>2026</v>
      </c>
      <c r="K2" s="1221" t="n"/>
      <c r="L2" s="1221" t="n"/>
      <c r="M2" s="470" t="n">
        <v>2025</v>
      </c>
      <c r="N2" s="452" t="n">
        <v>2026</v>
      </c>
      <c r="O2" s="1221" t="n"/>
      <c r="P2" s="1221" t="n"/>
      <c r="Q2" s="470" t="n">
        <v>2025</v>
      </c>
      <c r="R2" s="452" t="n">
        <v>2026</v>
      </c>
      <c r="S2" s="1221" t="n"/>
      <c r="T2" s="1221" t="n"/>
      <c r="U2" s="470" t="n">
        <v>2025</v>
      </c>
      <c r="V2" s="452" t="n">
        <v>2026</v>
      </c>
      <c r="W2" s="1221" t="n"/>
      <c r="X2" s="1221" t="n"/>
      <c r="Y2" s="470" t="n">
        <v>2025</v>
      </c>
      <c r="Z2" s="452" t="n">
        <v>2026</v>
      </c>
      <c r="AA2" s="1221" t="n"/>
      <c r="AB2" s="1221" t="n"/>
      <c r="AC2" s="470" t="n">
        <v>2025</v>
      </c>
      <c r="AD2" s="452" t="n">
        <v>2026</v>
      </c>
      <c r="AE2" s="1221" t="n"/>
      <c r="AF2" s="1221" t="n"/>
      <c r="AG2" s="470" t="n">
        <v>2025</v>
      </c>
      <c r="AH2" s="452" t="n">
        <v>2026</v>
      </c>
      <c r="AI2" s="1221" t="n"/>
      <c r="AJ2" s="1221" t="n"/>
      <c r="AK2" s="470" t="n">
        <v>2025</v>
      </c>
      <c r="AL2" s="452" t="n">
        <v>2026</v>
      </c>
      <c r="AM2" s="1221" t="n"/>
      <c r="AN2" s="1221" t="n"/>
      <c r="AO2" s="470" t="n">
        <v>2025</v>
      </c>
      <c r="AP2" s="452" t="n">
        <v>2026</v>
      </c>
      <c r="AQ2" s="1221" t="n"/>
      <c r="AR2" s="1221" t="n"/>
      <c r="AS2" s="470" t="n">
        <v>2025</v>
      </c>
      <c r="AT2" s="452" t="n">
        <v>2026</v>
      </c>
      <c r="AU2" s="1221" t="n"/>
      <c r="AV2" s="1221" t="n"/>
      <c r="AW2" s="470" t="n">
        <v>2025</v>
      </c>
      <c r="AX2" s="452" t="n">
        <v>2026</v>
      </c>
      <c r="AY2" s="1221" t="n"/>
      <c r="AZ2" s="453" t="inlineStr">
        <is>
          <t>Contribution</t>
        </is>
      </c>
    </row>
    <row r="3" ht="19.95" customHeight="1">
      <c r="A3" s="478" t="n">
        <v>1</v>
      </c>
      <c r="B3" s="231" t="inlineStr">
        <is>
          <t>"Zay" Vodka 700-ml</t>
        </is>
      </c>
      <c r="C3" s="219" t="n">
        <v>0.7</v>
      </c>
      <c r="D3" s="479" t="inlineStr">
        <is>
          <t>1 * 12</t>
        </is>
      </c>
      <c r="E3" s="1222" t="n"/>
      <c r="F3" s="1223" t="n"/>
      <c r="G3" s="1224" t="n"/>
      <c r="H3" s="1225">
        <f>F3/$F$58%</f>
        <v/>
      </c>
      <c r="I3" s="1222" t="n"/>
      <c r="J3" s="1223" t="n"/>
      <c r="K3" s="1224" t="n"/>
      <c r="L3" s="1225">
        <f>J3/$J$58%</f>
        <v/>
      </c>
      <c r="M3" s="1222" t="n"/>
      <c r="N3" s="1223" t="n"/>
      <c r="O3" s="1224" t="n"/>
      <c r="P3" s="1225">
        <f>N3/$N$58%</f>
        <v/>
      </c>
      <c r="Q3" s="1222" t="n">
        <v>42</v>
      </c>
      <c r="R3" s="1223" t="n"/>
      <c r="S3" s="1224">
        <f>R3/Q3*100-100</f>
        <v/>
      </c>
      <c r="T3" s="1225">
        <f>R3/$R$58%</f>
        <v/>
      </c>
      <c r="U3" s="1222" t="n">
        <v>226.8</v>
      </c>
      <c r="V3" s="1223" t="n">
        <v>92.39999999999999</v>
      </c>
      <c r="W3" s="1224">
        <f>V3/U3*100-100</f>
        <v/>
      </c>
      <c r="X3" s="1225">
        <f>V3/$V$58%</f>
        <v/>
      </c>
      <c r="Y3" s="1222" t="n">
        <v>105</v>
      </c>
      <c r="Z3" s="1223" t="n"/>
      <c r="AA3" s="1224">
        <f>Z3/Y3*100-100</f>
        <v/>
      </c>
      <c r="AB3" s="1225">
        <f>Z3/$Z$58%</f>
        <v/>
      </c>
      <c r="AC3" s="1222" t="n">
        <v>105</v>
      </c>
      <c r="AD3" s="1223" t="n">
        <v>126</v>
      </c>
      <c r="AE3" s="1224">
        <f>AD3/AC3*100-100</f>
        <v/>
      </c>
      <c r="AF3" s="514">
        <f>AD3/$AD$58%</f>
        <v/>
      </c>
      <c r="AG3" s="1222" t="n"/>
      <c r="AH3" s="1223" t="n"/>
      <c r="AI3" s="1224" t="n"/>
      <c r="AJ3" s="1225">
        <f>AH3/$AH$58%</f>
        <v/>
      </c>
      <c r="AK3" s="1222" t="n">
        <v>630</v>
      </c>
      <c r="AL3" s="1223" t="n">
        <v>525</v>
      </c>
      <c r="AM3" s="1224">
        <f>AL3/AK3*100-100</f>
        <v/>
      </c>
      <c r="AN3" s="1225">
        <f>AL3/$AL$58%</f>
        <v/>
      </c>
      <c r="AO3" s="1222" t="n"/>
      <c r="AP3" s="1223" t="n"/>
      <c r="AQ3" s="1224" t="n"/>
      <c r="AR3" s="1225">
        <f>AP3/$AP$58%</f>
        <v/>
      </c>
      <c r="AS3" s="1222" t="n"/>
      <c r="AT3" s="1223" t="n"/>
      <c r="AU3" s="1224" t="n"/>
      <c r="AV3" s="1225">
        <f>AT3/$AT$58%</f>
        <v/>
      </c>
      <c r="AW3" s="1223">
        <f>E3+I3+M3+Q3+U3+Y3+AC3+AG3+AK3+AO3+AS3</f>
        <v/>
      </c>
      <c r="AX3" s="1223">
        <f>F3+J3+N3+R3+V3+Z3+AD3+AH3+AL3+AP3+AT3</f>
        <v/>
      </c>
      <c r="AY3" s="1224">
        <f>AX3/AW3*100-100</f>
        <v/>
      </c>
      <c r="AZ3" s="451">
        <f>AX3/$AX$58%</f>
        <v/>
      </c>
    </row>
    <row r="4" ht="19.95" customFormat="1" customHeight="1" s="310">
      <c r="A4" s="480" t="n"/>
      <c r="B4" s="315" t="inlineStr">
        <is>
          <t>Zay Vodka</t>
        </is>
      </c>
      <c r="C4" s="311" t="n"/>
      <c r="D4" s="481" t="n"/>
      <c r="E4" s="1226">
        <f>SUM(E3)</f>
        <v/>
      </c>
      <c r="F4" s="1227">
        <f>SUM(F3)</f>
        <v/>
      </c>
      <c r="G4" s="1228" t="n"/>
      <c r="H4" s="1225">
        <f>F4/$F$58%</f>
        <v/>
      </c>
      <c r="I4" s="1226">
        <f>SUM(I3)</f>
        <v/>
      </c>
      <c r="J4" s="1227">
        <f>SUM(J3)</f>
        <v/>
      </c>
      <c r="K4" s="1228" t="n"/>
      <c r="L4" s="1225">
        <f>J4/$J$58%</f>
        <v/>
      </c>
      <c r="M4" s="1226">
        <f>SUM(M3)</f>
        <v/>
      </c>
      <c r="N4" s="1227">
        <f>SUM(N3)</f>
        <v/>
      </c>
      <c r="O4" s="1228" t="n"/>
      <c r="P4" s="1225">
        <f>N4/$N$58%</f>
        <v/>
      </c>
      <c r="Q4" s="1226">
        <f>SUM(Q3)</f>
        <v/>
      </c>
      <c r="R4" s="1227">
        <f>SUM(R3)</f>
        <v/>
      </c>
      <c r="S4" s="1228">
        <f>R4/Q4*100-100</f>
        <v/>
      </c>
      <c r="T4" s="1225">
        <f>R4/$R$58%</f>
        <v/>
      </c>
      <c r="U4" s="1226">
        <f>SUM(U3)</f>
        <v/>
      </c>
      <c r="V4" s="1227">
        <f>SUM(V3)</f>
        <v/>
      </c>
      <c r="W4" s="1228">
        <f>V4/U4*100-100</f>
        <v/>
      </c>
      <c r="X4" s="1225">
        <f>V4/$V$58%</f>
        <v/>
      </c>
      <c r="Y4" s="1226">
        <f>SUM(Y3)</f>
        <v/>
      </c>
      <c r="Z4" s="1227">
        <f>SUM(Z3)</f>
        <v/>
      </c>
      <c r="AA4" s="1228">
        <f>Z4/Y4*100-100</f>
        <v/>
      </c>
      <c r="AB4" s="1225">
        <f>Z4/$Z$58%</f>
        <v/>
      </c>
      <c r="AC4" s="1226">
        <f>SUM(AC3)</f>
        <v/>
      </c>
      <c r="AD4" s="1227">
        <f>SUM(AD3)</f>
        <v/>
      </c>
      <c r="AE4" s="1228">
        <f>AD4/AC4*100-100</f>
        <v/>
      </c>
      <c r="AF4" s="514">
        <f>AD4/$AD$58%</f>
        <v/>
      </c>
      <c r="AG4" s="1226">
        <f>SUM(AG3)</f>
        <v/>
      </c>
      <c r="AH4" s="1227">
        <f>SUM(AH3)</f>
        <v/>
      </c>
      <c r="AI4" s="1228" t="n"/>
      <c r="AJ4" s="1225">
        <f>AH4/$AH$58%</f>
        <v/>
      </c>
      <c r="AK4" s="1226">
        <f>SUM(AK3)</f>
        <v/>
      </c>
      <c r="AL4" s="1227">
        <f>SUM(AL3)</f>
        <v/>
      </c>
      <c r="AM4" s="1228">
        <f>AL4/AK4*100-100</f>
        <v/>
      </c>
      <c r="AN4" s="1225">
        <f>AL4/$AL$58%</f>
        <v/>
      </c>
      <c r="AO4" s="1226">
        <f>SUM(AO3)</f>
        <v/>
      </c>
      <c r="AP4" s="1227">
        <f>SUM(AP3)</f>
        <v/>
      </c>
      <c r="AQ4" s="1228" t="n"/>
      <c r="AR4" s="1225">
        <f>AP4/$AP$58%</f>
        <v/>
      </c>
      <c r="AS4" s="1226">
        <f>SUM(AS3)</f>
        <v/>
      </c>
      <c r="AT4" s="1227">
        <f>SUM(AT3)</f>
        <v/>
      </c>
      <c r="AU4" s="1228" t="n"/>
      <c r="AV4" s="1225">
        <f>AT4/$AT$58%</f>
        <v/>
      </c>
      <c r="AW4" s="1223">
        <f>E4+I4+M4+Q4+U4+Y4+AC4+AG4+AK4+AO4+AS4</f>
        <v/>
      </c>
      <c r="AX4" s="1223">
        <f>F4+J4+N4+R4+V4+Z4+AD4+AH4+AL4+AP4+AT4</f>
        <v/>
      </c>
      <c r="AY4" s="1228">
        <f>AX4/AW4*100-100</f>
        <v/>
      </c>
      <c r="AZ4" s="451">
        <f>AX4/$AX$58%</f>
        <v/>
      </c>
    </row>
    <row r="5" ht="19.95" customHeight="1">
      <c r="A5" s="478" t="n">
        <v>2</v>
      </c>
      <c r="B5" s="231" t="inlineStr">
        <is>
          <t>"Zay" (1 Liter)</t>
        </is>
      </c>
      <c r="C5" s="219" t="n">
        <v>1</v>
      </c>
      <c r="D5" s="479" t="inlineStr">
        <is>
          <t>1 * 12</t>
        </is>
      </c>
      <c r="E5" s="1229" t="n"/>
      <c r="F5" s="1230" t="n"/>
      <c r="G5" s="1231" t="n"/>
      <c r="H5" s="1225">
        <f>F5/$F$58%</f>
        <v/>
      </c>
      <c r="I5" s="1229" t="n"/>
      <c r="J5" s="1230" t="n"/>
      <c r="K5" s="1231" t="n"/>
      <c r="L5" s="1225">
        <f>J5/$J$58%</f>
        <v/>
      </c>
      <c r="M5" s="1229" t="n"/>
      <c r="N5" s="1230" t="n"/>
      <c r="O5" s="1231" t="n"/>
      <c r="P5" s="1225">
        <f>N5/$N$58%</f>
        <v/>
      </c>
      <c r="Q5" s="1229" t="n"/>
      <c r="R5" s="1230" t="n"/>
      <c r="S5" s="1231" t="n"/>
      <c r="T5" s="1225">
        <f>R5/$R$58%</f>
        <v/>
      </c>
      <c r="U5" s="1229" t="n"/>
      <c r="V5" s="1230" t="n"/>
      <c r="W5" s="1231" t="n"/>
      <c r="X5" s="1225">
        <f>V5/$V$58%</f>
        <v/>
      </c>
      <c r="Y5" s="1229" t="n"/>
      <c r="Z5" s="1230" t="n"/>
      <c r="AA5" s="1231" t="n"/>
      <c r="AB5" s="1225">
        <f>Z5/$Z$58%</f>
        <v/>
      </c>
      <c r="AC5" s="1229" t="n"/>
      <c r="AD5" s="1230" t="n"/>
      <c r="AE5" s="1231" t="n"/>
      <c r="AF5" s="514">
        <f>AD5/$AD$58%</f>
        <v/>
      </c>
      <c r="AG5" s="1229" t="n"/>
      <c r="AH5" s="1230" t="n"/>
      <c r="AI5" s="1231" t="n"/>
      <c r="AJ5" s="1225">
        <f>AH5/$AH$58%</f>
        <v/>
      </c>
      <c r="AK5" s="1229" t="n"/>
      <c r="AL5" s="1230" t="n"/>
      <c r="AM5" s="1231" t="n"/>
      <c r="AN5" s="1225">
        <f>AL5/$AL$58%</f>
        <v/>
      </c>
      <c r="AO5" s="1229" t="n"/>
      <c r="AP5" s="1230" t="n"/>
      <c r="AQ5" s="1231" t="n"/>
      <c r="AR5" s="1225">
        <f>AP5/$AP$58%</f>
        <v/>
      </c>
      <c r="AS5" s="1229" t="n"/>
      <c r="AT5" s="1230" t="n"/>
      <c r="AU5" s="1231" t="n"/>
      <c r="AV5" s="1225">
        <f>AT5/$AT$58%</f>
        <v/>
      </c>
      <c r="AW5" s="1223">
        <f>E5+I5+M5+Q5+U5+Y5+AC5+AG5+AK5+AO5+AS5</f>
        <v/>
      </c>
      <c r="AX5" s="1223">
        <f>F5+J5+N5+R5+V5+Z5+AD5+AH5+AL5+AP5+AT5</f>
        <v/>
      </c>
      <c r="AY5" s="1231" t="n"/>
      <c r="AZ5" s="451">
        <f>AX5/$AX$58%</f>
        <v/>
      </c>
    </row>
    <row r="6" ht="19.95" customHeight="1">
      <c r="A6" s="478" t="n">
        <v>3</v>
      </c>
      <c r="B6" s="164" t="inlineStr">
        <is>
          <t>"Zay" - 640ml</t>
        </is>
      </c>
      <c r="C6" s="152" t="n">
        <v>0.64</v>
      </c>
      <c r="D6" s="482" t="inlineStr">
        <is>
          <t>1 * 14</t>
        </is>
      </c>
      <c r="E6" s="1229" t="n">
        <v>21975.36</v>
      </c>
      <c r="F6" s="1230" t="n">
        <v>18620.48</v>
      </c>
      <c r="G6" s="1231">
        <f>F6/E6*100-100</f>
        <v/>
      </c>
      <c r="H6" s="1225">
        <f>F6/$F$58%</f>
        <v/>
      </c>
      <c r="I6" s="1229" t="n">
        <v>492.8000000000001</v>
      </c>
      <c r="J6" s="1230" t="n">
        <v>313.6</v>
      </c>
      <c r="K6" s="1231">
        <f>J6/I6*100-100</f>
        <v/>
      </c>
      <c r="L6" s="1225">
        <f>J6/$J$58%</f>
        <v/>
      </c>
      <c r="M6" s="1229" t="n">
        <v>4.48</v>
      </c>
      <c r="N6" s="1230" t="n">
        <v>448</v>
      </c>
      <c r="O6" s="1231">
        <f>N6/M6*100-100</f>
        <v/>
      </c>
      <c r="P6" s="1225">
        <f>N6/$N$58%</f>
        <v/>
      </c>
      <c r="Q6" s="1229" t="n">
        <v>4968.32</v>
      </c>
      <c r="R6" s="1230" t="n">
        <v>5093.76</v>
      </c>
      <c r="S6" s="1231">
        <f>R6/Q6*100-100</f>
        <v/>
      </c>
      <c r="T6" s="1225">
        <f>R6/$R$58%</f>
        <v/>
      </c>
      <c r="U6" s="1229" t="n">
        <v>9072</v>
      </c>
      <c r="V6" s="1230" t="n">
        <v>8870.400000000001</v>
      </c>
      <c r="W6" s="1231">
        <f>V6/U6*100-100</f>
        <v/>
      </c>
      <c r="X6" s="1225">
        <f>V6/$V$58%</f>
        <v/>
      </c>
      <c r="Y6" s="1229" t="n">
        <v>3041.92</v>
      </c>
      <c r="Z6" s="1230" t="n">
        <v>2817.92</v>
      </c>
      <c r="AA6" s="1231">
        <f>Z6/Y6*100-100</f>
        <v/>
      </c>
      <c r="AB6" s="1225">
        <f>Z6/$Z$58%</f>
        <v/>
      </c>
      <c r="AC6" s="1229" t="n">
        <v>42201.6</v>
      </c>
      <c r="AD6" s="1230" t="n">
        <v>33219.2</v>
      </c>
      <c r="AE6" s="1231">
        <f>AD6/AC6*100-100</f>
        <v/>
      </c>
      <c r="AF6" s="514">
        <f>AD6/$AD$58%</f>
        <v/>
      </c>
      <c r="AG6" s="1229" t="n">
        <v>4032</v>
      </c>
      <c r="AH6" s="1230" t="n"/>
      <c r="AI6" s="1231">
        <f>AH6/AG6*100-100</f>
        <v/>
      </c>
      <c r="AJ6" s="1225">
        <f>AH6/$AH$58%</f>
        <v/>
      </c>
      <c r="AK6" s="1229" t="n">
        <v>5846.4</v>
      </c>
      <c r="AL6" s="1230" t="n">
        <v>2777.6</v>
      </c>
      <c r="AM6" s="1231">
        <f>AL6/AK6*100-100</f>
        <v/>
      </c>
      <c r="AN6" s="1225">
        <f>AL6/$AL$58%</f>
        <v/>
      </c>
      <c r="AO6" s="1229" t="n">
        <v>5469.820000000001</v>
      </c>
      <c r="AP6" s="1230" t="n">
        <v>4161.92</v>
      </c>
      <c r="AQ6" s="1231">
        <f>AP6/AO6*100-100</f>
        <v/>
      </c>
      <c r="AR6" s="1225">
        <f>AP6/$AP$58%</f>
        <v/>
      </c>
      <c r="AS6" s="1229" t="n">
        <v>10393.5</v>
      </c>
      <c r="AT6" s="1230" t="n">
        <v>3897.6</v>
      </c>
      <c r="AU6" s="1231">
        <f>AT6/AS6*100-100</f>
        <v/>
      </c>
      <c r="AV6" s="1225">
        <f>AT6/$AT$58%</f>
        <v/>
      </c>
      <c r="AW6" s="1223">
        <f>E6+I6+M6+Q6+U6+Y6+AC6+AG6+AK6+AO6+AS6</f>
        <v/>
      </c>
      <c r="AX6" s="1223">
        <f>F6+J6+N6+R6+V6+Z6+AD6+AH6+AL6+AP6+AT6</f>
        <v/>
      </c>
      <c r="AY6" s="1231">
        <f>AX6/AW6*100-100</f>
        <v/>
      </c>
      <c r="AZ6" s="451">
        <f>AX6/$AX$58%</f>
        <v/>
      </c>
    </row>
    <row r="7" ht="19.95" customFormat="1" customHeight="1" s="310">
      <c r="A7" s="480" t="n"/>
      <c r="B7" s="313" t="inlineStr">
        <is>
          <t>Zay</t>
        </is>
      </c>
      <c r="C7" s="314" t="n"/>
      <c r="D7" s="483" t="n"/>
      <c r="E7" s="1226">
        <f>SUM(E5:E6)</f>
        <v/>
      </c>
      <c r="F7" s="1227">
        <f>SUM(F5:F6)</f>
        <v/>
      </c>
      <c r="G7" s="1228">
        <f>F7/E7*100-100</f>
        <v/>
      </c>
      <c r="H7" s="1225">
        <f>F7/$F$58%</f>
        <v/>
      </c>
      <c r="I7" s="1226">
        <f>SUM(I5:I6)</f>
        <v/>
      </c>
      <c r="J7" s="1227">
        <f>SUM(J5:J6)</f>
        <v/>
      </c>
      <c r="K7" s="1228">
        <f>J7/I7*100-100</f>
        <v/>
      </c>
      <c r="L7" s="1225">
        <f>J7/$J$58%</f>
        <v/>
      </c>
      <c r="M7" s="1226">
        <f>SUM(M5:M6)</f>
        <v/>
      </c>
      <c r="N7" s="1227">
        <f>SUM(N5:N6)</f>
        <v/>
      </c>
      <c r="O7" s="1228">
        <f>N7/M7*100-100</f>
        <v/>
      </c>
      <c r="P7" s="1225">
        <f>N7/$N$58%</f>
        <v/>
      </c>
      <c r="Q7" s="1226">
        <f>SUM(Q5:Q6)</f>
        <v/>
      </c>
      <c r="R7" s="1227">
        <f>SUM(R5:R6)</f>
        <v/>
      </c>
      <c r="S7" s="1228">
        <f>R7/Q7*100-100</f>
        <v/>
      </c>
      <c r="T7" s="1225">
        <f>R7/$R$58%</f>
        <v/>
      </c>
      <c r="U7" s="1226">
        <f>SUM(U5:U6)</f>
        <v/>
      </c>
      <c r="V7" s="1227">
        <f>SUM(V5:V6)</f>
        <v/>
      </c>
      <c r="W7" s="1228">
        <f>V7/U7*100-100</f>
        <v/>
      </c>
      <c r="X7" s="1225">
        <f>V7/$V$58%</f>
        <v/>
      </c>
      <c r="Y7" s="1226">
        <f>SUM(Y5:Y6)</f>
        <v/>
      </c>
      <c r="Z7" s="1227">
        <f>SUM(Z5:Z6)</f>
        <v/>
      </c>
      <c r="AA7" s="1228">
        <f>Z7/Y7*100-100</f>
        <v/>
      </c>
      <c r="AB7" s="1225">
        <f>Z7/$Z$58%</f>
        <v/>
      </c>
      <c r="AC7" s="1226">
        <f>SUM(AC5:AC6)</f>
        <v/>
      </c>
      <c r="AD7" s="1227">
        <f>SUM(AD5:AD6)</f>
        <v/>
      </c>
      <c r="AE7" s="1228">
        <f>AD7/AC7*100-100</f>
        <v/>
      </c>
      <c r="AF7" s="514">
        <f>AD7/$AD$58%</f>
        <v/>
      </c>
      <c r="AG7" s="1226">
        <f>SUM(AG5:AG6)</f>
        <v/>
      </c>
      <c r="AH7" s="1227">
        <f>SUM(AH5:AH6)</f>
        <v/>
      </c>
      <c r="AI7" s="1228">
        <f>AH7/AG7*100-100</f>
        <v/>
      </c>
      <c r="AJ7" s="1225">
        <f>AH7/$AH$58%</f>
        <v/>
      </c>
      <c r="AK7" s="1226">
        <f>SUM(AK5:AK6)</f>
        <v/>
      </c>
      <c r="AL7" s="1227">
        <f>SUM(AL5:AL6)</f>
        <v/>
      </c>
      <c r="AM7" s="1228">
        <f>AL7/AK7*100-100</f>
        <v/>
      </c>
      <c r="AN7" s="1225">
        <f>AL7/$AL$58%</f>
        <v/>
      </c>
      <c r="AO7" s="1226">
        <f>SUM(AO5:AO6)</f>
        <v/>
      </c>
      <c r="AP7" s="1227">
        <f>SUM(AP5:AP6)</f>
        <v/>
      </c>
      <c r="AQ7" s="1228">
        <f>AP7/AO7*100-100</f>
        <v/>
      </c>
      <c r="AR7" s="1225">
        <f>AP7/$AP$58%</f>
        <v/>
      </c>
      <c r="AS7" s="1226">
        <f>SUM(AS5:AS6)</f>
        <v/>
      </c>
      <c r="AT7" s="1227">
        <f>SUM(AT5:AT6)</f>
        <v/>
      </c>
      <c r="AU7" s="1228">
        <f>AT7/AS7*100-100</f>
        <v/>
      </c>
      <c r="AV7" s="1225">
        <f>AT7/$AT$58%</f>
        <v/>
      </c>
      <c r="AW7" s="1223">
        <f>E7+I7+M7+Q7+U7+Y7+AC7+AG7+AK7+AO7+AS7</f>
        <v/>
      </c>
      <c r="AX7" s="1223">
        <f>F7+J7+N7+R7+V7+Z7+AD7+AH7+AL7+AP7+AT7</f>
        <v/>
      </c>
      <c r="AY7" s="1228">
        <f>AX7/AW7*100-100</f>
        <v/>
      </c>
      <c r="AZ7" s="451">
        <f>AX7/$AX$58%</f>
        <v/>
      </c>
    </row>
    <row r="8" ht="19.95" customHeight="1">
      <c r="A8" s="478" t="n">
        <v>4</v>
      </c>
      <c r="B8" s="164" t="inlineStr">
        <is>
          <t>Kaung Kyi (1 Liter)_25%</t>
        </is>
      </c>
      <c r="C8" s="152" t="n">
        <v>1</v>
      </c>
      <c r="D8" s="482" t="inlineStr">
        <is>
          <t>1 * 12</t>
        </is>
      </c>
      <c r="E8" s="1229" t="n">
        <v>10302</v>
      </c>
      <c r="F8" s="1230" t="n">
        <v>17290</v>
      </c>
      <c r="G8" s="1231">
        <f>F8/E8*100-100</f>
        <v/>
      </c>
      <c r="H8" s="1225">
        <f>F8/$F$58%</f>
        <v/>
      </c>
      <c r="I8" s="1229" t="n">
        <v>1146</v>
      </c>
      <c r="J8" s="1230" t="n">
        <v>804</v>
      </c>
      <c r="K8" s="1231">
        <f>J8/I8*100-100</f>
        <v/>
      </c>
      <c r="L8" s="1225">
        <f>J8/$J$58%</f>
        <v/>
      </c>
      <c r="M8" s="1229" t="n">
        <v>1290</v>
      </c>
      <c r="N8" s="1230" t="n">
        <v>4464</v>
      </c>
      <c r="O8" s="1231">
        <f>N8/M8*100-100</f>
        <v/>
      </c>
      <c r="P8" s="1225">
        <f>N8/$N$58%</f>
        <v/>
      </c>
      <c r="Q8" s="1229" t="n">
        <v>3930</v>
      </c>
      <c r="R8" s="1230" t="n">
        <v>7398</v>
      </c>
      <c r="S8" s="1231">
        <f>R8/Q8*100-100</f>
        <v/>
      </c>
      <c r="T8" s="1225">
        <f>R8/$R$58%</f>
        <v/>
      </c>
      <c r="U8" s="1229" t="n">
        <v>2250</v>
      </c>
      <c r="V8" s="1230" t="n">
        <v>3480</v>
      </c>
      <c r="W8" s="1231">
        <f>V8/U8*100-100</f>
        <v/>
      </c>
      <c r="X8" s="1225">
        <f>V8/$V$58%</f>
        <v/>
      </c>
      <c r="Y8" s="1229" t="n">
        <v>180</v>
      </c>
      <c r="Z8" s="1230" t="n">
        <v>1035</v>
      </c>
      <c r="AA8" s="1231">
        <f>Z8/Y8*100-100</f>
        <v/>
      </c>
      <c r="AB8" s="1225">
        <f>Z8/$Z$58%</f>
        <v/>
      </c>
      <c r="AC8" s="1229" t="n">
        <v>5001</v>
      </c>
      <c r="AD8" s="1230" t="n">
        <v>9708</v>
      </c>
      <c r="AE8" s="1231">
        <f>AD8/AC8*100-100</f>
        <v/>
      </c>
      <c r="AF8" s="514">
        <f>AD8/$AD$58%</f>
        <v/>
      </c>
      <c r="AG8" s="1229" t="n">
        <v>1260</v>
      </c>
      <c r="AH8" s="1230" t="n">
        <v>1800</v>
      </c>
      <c r="AI8" s="1231">
        <f>AH8/AG8*100-100</f>
        <v/>
      </c>
      <c r="AJ8" s="1225">
        <f>AH8/$AH$58%</f>
        <v/>
      </c>
      <c r="AK8" s="1229" t="n"/>
      <c r="AL8" s="1230" t="n"/>
      <c r="AM8" s="1231" t="n"/>
      <c r="AN8" s="1225">
        <f>AL8/$AL$58%</f>
        <v/>
      </c>
      <c r="AO8" s="1229" t="n">
        <v>1296</v>
      </c>
      <c r="AP8" s="1230" t="n">
        <v>1050</v>
      </c>
      <c r="AQ8" s="1231">
        <f>AP8/AO8*100-100</f>
        <v/>
      </c>
      <c r="AR8" s="1225">
        <f>AP8/$AP$58%</f>
        <v/>
      </c>
      <c r="AS8" s="1229" t="n">
        <v>360</v>
      </c>
      <c r="AT8" s="1230" t="n"/>
      <c r="AU8" s="1231" t="n"/>
      <c r="AV8" s="1225">
        <f>AT8/$AT$58%</f>
        <v/>
      </c>
      <c r="AW8" s="1223">
        <f>E8+I8+M8+Q8+U8+Y8+AC8+AG8+AK8+AO8+AS8</f>
        <v/>
      </c>
      <c r="AX8" s="1223">
        <f>F8+J8+N8+R8+V8+Z8+AD8+AH8+AL8+AP8+AT8</f>
        <v/>
      </c>
      <c r="AY8" s="1231">
        <f>AX8/AW8*100-100</f>
        <v/>
      </c>
      <c r="AZ8" s="451">
        <f>AX8/$AX$58%</f>
        <v/>
      </c>
    </row>
    <row r="9" ht="19.95" customHeight="1">
      <c r="A9" s="478" t="n">
        <v>5</v>
      </c>
      <c r="B9" s="164" t="inlineStr">
        <is>
          <t>Kaung Kyi (0.6 Liter)_25%</t>
        </is>
      </c>
      <c r="C9" s="152" t="n">
        <v>0.6</v>
      </c>
      <c r="D9" s="482" t="inlineStr">
        <is>
          <t>1 * 12</t>
        </is>
      </c>
      <c r="E9" s="1229" t="n">
        <v>201.6</v>
      </c>
      <c r="F9" s="1230" t="n"/>
      <c r="G9" s="1231">
        <f>F9/E9*100-100</f>
        <v/>
      </c>
      <c r="H9" s="1225">
        <f>F9/$F$58%</f>
        <v/>
      </c>
      <c r="I9" s="1229" t="n"/>
      <c r="J9" s="1230" t="n"/>
      <c r="K9" s="1231" t="n"/>
      <c r="L9" s="1225">
        <f>J9/$J$58%</f>
        <v/>
      </c>
      <c r="M9" s="1229" t="n"/>
      <c r="N9" s="1230" t="n"/>
      <c r="O9" s="1231" t="n"/>
      <c r="P9" s="1225">
        <f>N9/$N$58%</f>
        <v/>
      </c>
      <c r="Q9" s="1229" t="n">
        <v>226.8</v>
      </c>
      <c r="R9" s="1230" t="n">
        <v>64.8</v>
      </c>
      <c r="S9" s="1231">
        <f>R9/Q9*100-100</f>
        <v/>
      </c>
      <c r="T9" s="1225">
        <f>R9/$R$58%</f>
        <v/>
      </c>
      <c r="U9" s="1229" t="n"/>
      <c r="V9" s="1230" t="n"/>
      <c r="W9" s="1231" t="n"/>
      <c r="X9" s="1225">
        <f>V9/$V$58%</f>
        <v/>
      </c>
      <c r="Y9" s="1229" t="n"/>
      <c r="Z9" s="1230" t="n"/>
      <c r="AA9" s="1231" t="n"/>
      <c r="AB9" s="1225">
        <f>Z9/$Z$58%</f>
        <v/>
      </c>
      <c r="AC9" s="1229" t="n"/>
      <c r="AD9" s="1230" t="n"/>
      <c r="AE9" s="1231" t="n"/>
      <c r="AF9" s="514">
        <f>AD9/$AD$58%</f>
        <v/>
      </c>
      <c r="AG9" s="1229" t="n"/>
      <c r="AH9" s="1230" t="n"/>
      <c r="AI9" s="1231" t="n"/>
      <c r="AJ9" s="1225">
        <f>AH9/$AH$58%</f>
        <v/>
      </c>
      <c r="AK9" s="1229" t="n"/>
      <c r="AL9" s="1230" t="n"/>
      <c r="AM9" s="1231" t="n"/>
      <c r="AN9" s="1225">
        <f>AL9/$AL$58%</f>
        <v/>
      </c>
      <c r="AO9" s="1229" t="n"/>
      <c r="AP9" s="1230" t="n"/>
      <c r="AQ9" s="1231" t="n"/>
      <c r="AR9" s="1225">
        <f>AP9/$AP$58%</f>
        <v/>
      </c>
      <c r="AS9" s="1229" t="n"/>
      <c r="AT9" s="1230" t="n"/>
      <c r="AU9" s="1231" t="n"/>
      <c r="AV9" s="1225">
        <f>AT9/$AT$58%</f>
        <v/>
      </c>
      <c r="AW9" s="1223">
        <f>E9+I9+M9+Q9+U9+Y9+AC9+AG9+AK9+AO9+AS9</f>
        <v/>
      </c>
      <c r="AX9" s="1223">
        <f>F9+J9+N9+R9+V9+Z9+AD9+AH9+AL9+AP9+AT9</f>
        <v/>
      </c>
      <c r="AY9" s="1231">
        <f>AX9/AW9*100-100</f>
        <v/>
      </c>
      <c r="AZ9" s="451">
        <f>AX9/$AX$58%</f>
        <v/>
      </c>
    </row>
    <row r="10" ht="19.95" customHeight="1">
      <c r="A10" s="478" t="n">
        <v>6</v>
      </c>
      <c r="B10" s="164" t="inlineStr">
        <is>
          <t xml:space="preserve">Kaung Kyi </t>
        </is>
      </c>
      <c r="C10" s="152" t="n">
        <v>0.64</v>
      </c>
      <c r="D10" s="482" t="inlineStr">
        <is>
          <t>1 * 14</t>
        </is>
      </c>
      <c r="E10" s="1229" t="n">
        <v>22753.91999999999</v>
      </c>
      <c r="F10" s="1230" t="n">
        <v>18632.32</v>
      </c>
      <c r="G10" s="1231">
        <f>F10/E10*100-100</f>
        <v/>
      </c>
      <c r="H10" s="1225">
        <f>F10/$F$58%</f>
        <v/>
      </c>
      <c r="I10" s="1229" t="n">
        <v>478.4000000000001</v>
      </c>
      <c r="J10" s="1230" t="n">
        <v>318.08</v>
      </c>
      <c r="K10" s="1231">
        <f>J10/I10*100-100</f>
        <v/>
      </c>
      <c r="L10" s="1225">
        <f>J10/$J$58%</f>
        <v/>
      </c>
      <c r="M10" s="1229" t="n">
        <v>963.2</v>
      </c>
      <c r="N10" s="1230" t="n">
        <v>224</v>
      </c>
      <c r="O10" s="1231">
        <f>N10/M10*100-100</f>
        <v/>
      </c>
      <c r="P10" s="1225">
        <f>N10/$N$58%</f>
        <v/>
      </c>
      <c r="Q10" s="1229" t="n">
        <v>10581.76</v>
      </c>
      <c r="R10" s="1230" t="n">
        <v>7571.200000000001</v>
      </c>
      <c r="S10" s="1231">
        <f>R10/Q10*100-100</f>
        <v/>
      </c>
      <c r="T10" s="1225">
        <f>R10/$R$58%</f>
        <v/>
      </c>
      <c r="U10" s="1229" t="n">
        <v>2620.8</v>
      </c>
      <c r="V10" s="1230" t="n">
        <v>1948.8</v>
      </c>
      <c r="W10" s="1231">
        <f>V10/U10*100-100</f>
        <v/>
      </c>
      <c r="X10" s="1225">
        <f>V10/$V$58%</f>
        <v/>
      </c>
      <c r="Y10" s="1229" t="n">
        <v>224</v>
      </c>
      <c r="Z10" s="1230" t="n"/>
      <c r="AA10" s="1231">
        <f>Z10/Y10*100-100</f>
        <v/>
      </c>
      <c r="AB10" s="1225">
        <f>Z10/$Z$58%</f>
        <v/>
      </c>
      <c r="AC10" s="1229" t="n">
        <v>5125.120000000001</v>
      </c>
      <c r="AD10" s="1230" t="n">
        <v>6787.200000000001</v>
      </c>
      <c r="AE10" s="1231">
        <f>AD10/AC10*100-100</f>
        <v/>
      </c>
      <c r="AF10" s="514">
        <f>AD10/$AD$58%</f>
        <v/>
      </c>
      <c r="AG10" s="1229" t="n">
        <v>224</v>
      </c>
      <c r="AH10" s="1230" t="n">
        <v>224</v>
      </c>
      <c r="AI10" s="1231">
        <f>AH10/AG10*100-100</f>
        <v/>
      </c>
      <c r="AJ10" s="1225">
        <f>AH10/$AH$58%</f>
        <v/>
      </c>
      <c r="AK10" s="1229" t="n">
        <v>380.8000000000001</v>
      </c>
      <c r="AL10" s="1230" t="n">
        <v>694.4000000000001</v>
      </c>
      <c r="AM10" s="1231">
        <f>AL10/AK10*100-100</f>
        <v/>
      </c>
      <c r="AN10" s="1225">
        <f>AL10/$AL$58%</f>
        <v/>
      </c>
      <c r="AO10" s="1229" t="n">
        <v>448</v>
      </c>
      <c r="AP10" s="1230" t="n"/>
      <c r="AQ10" s="1231">
        <f>AP10/AO10*100-100</f>
        <v/>
      </c>
      <c r="AR10" s="1225">
        <f>AP10/$AP$58%</f>
        <v/>
      </c>
      <c r="AS10" s="1229" t="n"/>
      <c r="AT10" s="1230" t="n"/>
      <c r="AU10" s="1231" t="n"/>
      <c r="AV10" s="1225">
        <f>AT10/$AT$58%</f>
        <v/>
      </c>
      <c r="AW10" s="1223">
        <f>E10+I10+M10+Q10+U10+Y10+AC10+AG10+AK10+AO10+AS10</f>
        <v/>
      </c>
      <c r="AX10" s="1223">
        <f>F10+J10+N10+R10+V10+Z10+AD10+AH10+AL10+AP10+AT10</f>
        <v/>
      </c>
      <c r="AY10" s="1231">
        <f>AX10/AW10*100-100</f>
        <v/>
      </c>
      <c r="AZ10" s="451">
        <f>AX10/$AX$58%</f>
        <v/>
      </c>
    </row>
    <row r="11" ht="19.95" customFormat="1" customHeight="1" s="310">
      <c r="A11" s="480" t="n"/>
      <c r="B11" s="313" t="inlineStr">
        <is>
          <t>Kaung Kyi</t>
        </is>
      </c>
      <c r="C11" s="314" t="n"/>
      <c r="D11" s="483" t="n"/>
      <c r="E11" s="1226">
        <f>SUM(E8:E10)</f>
        <v/>
      </c>
      <c r="F11" s="1227">
        <f>SUM(F8:F10)</f>
        <v/>
      </c>
      <c r="G11" s="1228">
        <f>F11/E11*100-100</f>
        <v/>
      </c>
      <c r="H11" s="1225">
        <f>F11/$F$58%</f>
        <v/>
      </c>
      <c r="I11" s="1226">
        <f>SUM(I8:I10)</f>
        <v/>
      </c>
      <c r="J11" s="1227">
        <f>SUM(J8:J10)</f>
        <v/>
      </c>
      <c r="K11" s="1228">
        <f>J11/I11*100-100</f>
        <v/>
      </c>
      <c r="L11" s="596">
        <f>J11/$J$58%</f>
        <v/>
      </c>
      <c r="M11" s="1226">
        <f>SUM(M8:M10)</f>
        <v/>
      </c>
      <c r="N11" s="1227">
        <f>SUM(N8:N10)</f>
        <v/>
      </c>
      <c r="O11" s="1228">
        <f>N11/M11*100-100</f>
        <v/>
      </c>
      <c r="P11" s="1225">
        <f>N11/$N$58%</f>
        <v/>
      </c>
      <c r="Q11" s="1226">
        <f>SUM(Q8:Q10)</f>
        <v/>
      </c>
      <c r="R11" s="1227">
        <f>SUM(R8:R10)</f>
        <v/>
      </c>
      <c r="S11" s="1228">
        <f>R11/Q11*100-100</f>
        <v/>
      </c>
      <c r="T11" s="1225">
        <f>R11/$R$58%</f>
        <v/>
      </c>
      <c r="U11" s="1226">
        <f>SUM(U8:U10)</f>
        <v/>
      </c>
      <c r="V11" s="1227">
        <f>SUM(V8:V10)</f>
        <v/>
      </c>
      <c r="W11" s="1228">
        <f>V11/U11*100-100</f>
        <v/>
      </c>
      <c r="X11" s="1225">
        <f>V11/$V$58%</f>
        <v/>
      </c>
      <c r="Y11" s="1226">
        <f>SUM(Y8:Y10)</f>
        <v/>
      </c>
      <c r="Z11" s="1227">
        <f>SUM(Z8:Z10)</f>
        <v/>
      </c>
      <c r="AA11" s="1228">
        <f>Z11/Y11*100-100</f>
        <v/>
      </c>
      <c r="AB11" s="1225">
        <f>Z11/$Z$58%</f>
        <v/>
      </c>
      <c r="AC11" s="1226">
        <f>SUM(AC8:AC10)</f>
        <v/>
      </c>
      <c r="AD11" s="1227">
        <f>SUM(AD8:AD10)</f>
        <v/>
      </c>
      <c r="AE11" s="1228">
        <f>AD11/AC11*100-100</f>
        <v/>
      </c>
      <c r="AF11" s="514">
        <f>AD11/$AD$58%</f>
        <v/>
      </c>
      <c r="AG11" s="1226">
        <f>SUM(AG8:AG10)</f>
        <v/>
      </c>
      <c r="AH11" s="1227">
        <f>SUM(AH8:AH10)</f>
        <v/>
      </c>
      <c r="AI11" s="1228">
        <f>AH11/AG11*100-100</f>
        <v/>
      </c>
      <c r="AJ11" s="1225">
        <f>AH11/$AH$58%</f>
        <v/>
      </c>
      <c r="AK11" s="1226">
        <f>SUM(AK8:AK10)</f>
        <v/>
      </c>
      <c r="AL11" s="1227">
        <f>SUM(AL8:AL10)</f>
        <v/>
      </c>
      <c r="AM11" s="1228">
        <f>AL11/AK11*100-100</f>
        <v/>
      </c>
      <c r="AN11" s="1225">
        <f>AL11/$AL$58%</f>
        <v/>
      </c>
      <c r="AO11" s="1226">
        <f>SUM(AO8:AO10)</f>
        <v/>
      </c>
      <c r="AP11" s="1227">
        <f>SUM(AP8:AP10)</f>
        <v/>
      </c>
      <c r="AQ11" s="1228">
        <f>AP11/AO11*100-100</f>
        <v/>
      </c>
      <c r="AR11" s="1225">
        <f>AP11/$AP$58%</f>
        <v/>
      </c>
      <c r="AS11" s="1226">
        <f>SUM(AS8:AS10)</f>
        <v/>
      </c>
      <c r="AT11" s="1227">
        <f>SUM(AT8:AT10)</f>
        <v/>
      </c>
      <c r="AU11" s="1228">
        <f>AT11/AS11*100-100</f>
        <v/>
      </c>
      <c r="AV11" s="1225">
        <f>AT11/$AT$58%</f>
        <v/>
      </c>
      <c r="AW11" s="1223">
        <f>E11+I11+M11+Q11+U11+Y11+AC11+AG11+AK11+AO11+AS11</f>
        <v/>
      </c>
      <c r="AX11" s="1223">
        <f>F11+J11+N11+R11+V11+Z11+AD11+AH11+AL11+AP11+AT11</f>
        <v/>
      </c>
      <c r="AY11" s="1228">
        <f>AX11/AW11*100-100</f>
        <v/>
      </c>
      <c r="AZ11" s="451">
        <f>AX11/$AX$58%</f>
        <v/>
      </c>
    </row>
    <row r="12" ht="19.95" customHeight="1">
      <c r="A12" s="478" t="n">
        <v>7</v>
      </c>
      <c r="B12" s="164" t="inlineStr">
        <is>
          <t>မိုးနဲကွန်ကီကော်ဘူး(1 Liter)</t>
        </is>
      </c>
      <c r="C12" s="152" t="n">
        <v>1</v>
      </c>
      <c r="D12" s="482" t="inlineStr">
        <is>
          <t>1 * 12</t>
        </is>
      </c>
      <c r="E12" s="1229" t="n"/>
      <c r="F12" s="1230" t="n"/>
      <c r="G12" s="1231" t="n"/>
      <c r="H12" s="1225">
        <f>F12/$F$58%</f>
        <v/>
      </c>
      <c r="I12" s="1229" t="n"/>
      <c r="J12" s="1230" t="n"/>
      <c r="K12" s="1231" t="n"/>
      <c r="L12" s="1225">
        <f>J12/$J$58%</f>
        <v/>
      </c>
      <c r="M12" s="1229" t="n">
        <v>0</v>
      </c>
      <c r="N12" s="1230" t="n">
        <v>18</v>
      </c>
      <c r="O12" s="1231" t="n"/>
      <c r="P12" s="1225">
        <f>N12/$N$58%</f>
        <v/>
      </c>
      <c r="Q12" s="1229" t="n">
        <v>0</v>
      </c>
      <c r="R12" s="1230" t="n">
        <v>60</v>
      </c>
      <c r="S12" s="1231" t="n"/>
      <c r="T12" s="1225">
        <f>R12/$R$58%</f>
        <v/>
      </c>
      <c r="U12" s="1229" t="n"/>
      <c r="V12" s="1230" t="n"/>
      <c r="W12" s="1231" t="n"/>
      <c r="X12" s="1225">
        <f>V12/$V$58%</f>
        <v/>
      </c>
      <c r="Y12" s="1229" t="n">
        <v>0</v>
      </c>
      <c r="Z12" s="1230" t="n">
        <v>666</v>
      </c>
      <c r="AA12" s="1231" t="n"/>
      <c r="AB12" s="1225">
        <f>Z12/$Z$58%</f>
        <v/>
      </c>
      <c r="AC12" s="1229" t="n">
        <v>0</v>
      </c>
      <c r="AD12" s="1230" t="n">
        <v>450</v>
      </c>
      <c r="AE12" s="1231" t="n"/>
      <c r="AF12" s="514">
        <f>AD12/$AD$58%</f>
        <v/>
      </c>
      <c r="AG12" s="1229" t="n"/>
      <c r="AH12" s="1230" t="n"/>
      <c r="AI12" s="1231" t="n"/>
      <c r="AJ12" s="1225">
        <f>AH12/$AH$58%</f>
        <v/>
      </c>
      <c r="AK12" s="1229" t="n"/>
      <c r="AL12" s="1230" t="n"/>
      <c r="AM12" s="1231" t="n"/>
      <c r="AN12" s="1225">
        <f>AL12/$AL$58%</f>
        <v/>
      </c>
      <c r="AO12" s="1229" t="n"/>
      <c r="AP12" s="1230" t="n"/>
      <c r="AQ12" s="1231" t="n"/>
      <c r="AR12" s="1225">
        <f>AP12/$AP$58%</f>
        <v/>
      </c>
      <c r="AS12" s="1229" t="n"/>
      <c r="AT12" s="1230" t="n"/>
      <c r="AU12" s="1231" t="n"/>
      <c r="AV12" s="1225">
        <f>AT12/$AT$58%</f>
        <v/>
      </c>
      <c r="AW12" s="1223">
        <f>E12+I12+M12+Q12+U12+Y12+AC12+AG12+AK12+AO12+AS12</f>
        <v/>
      </c>
      <c r="AX12" s="1223">
        <f>F12+J12+N12+R12+V12+Z12+AD12+AH12+AL12+AP12+AT12</f>
        <v/>
      </c>
      <c r="AY12" s="1231" t="n"/>
      <c r="AZ12" s="451">
        <f>AX12/$AX$58%</f>
        <v/>
      </c>
    </row>
    <row r="13" ht="19.95" customHeight="1">
      <c r="A13" s="478" t="n">
        <v>8</v>
      </c>
      <c r="B13" s="164" t="inlineStr">
        <is>
          <t xml:space="preserve">Moe Nae Kon Ki </t>
        </is>
      </c>
      <c r="C13" s="152" t="n">
        <v>0.64</v>
      </c>
      <c r="D13" s="482" t="inlineStr">
        <is>
          <t>1 * 14</t>
        </is>
      </c>
      <c r="E13" s="1229" t="n">
        <v>9939.520000000004</v>
      </c>
      <c r="F13" s="1230" t="n">
        <v>8369.92</v>
      </c>
      <c r="G13" s="1231">
        <f>F13/E13*100-100</f>
        <v/>
      </c>
      <c r="H13" s="1225">
        <f>F13/$F$58%</f>
        <v/>
      </c>
      <c r="I13" s="1229" t="n">
        <v>784</v>
      </c>
      <c r="J13" s="1230" t="n">
        <v>555.52</v>
      </c>
      <c r="K13" s="1231">
        <f>J13/I13*100-100</f>
        <v/>
      </c>
      <c r="L13" s="1225">
        <f>J13/$J$58%</f>
        <v/>
      </c>
      <c r="M13" s="1229" t="n">
        <v>5510.399999999998</v>
      </c>
      <c r="N13" s="1230" t="n">
        <v>228.48</v>
      </c>
      <c r="O13" s="1231">
        <f>N13/M13*100-100</f>
        <v/>
      </c>
      <c r="P13" s="1225">
        <f>N13/$N$58%</f>
        <v/>
      </c>
      <c r="Q13" s="1229" t="n">
        <v>268.8000000000001</v>
      </c>
      <c r="R13" s="1230" t="n">
        <v>282.24</v>
      </c>
      <c r="S13" s="1231">
        <f>R13/Q13*100-100</f>
        <v/>
      </c>
      <c r="T13" s="1225">
        <f>R13/$R$58%</f>
        <v/>
      </c>
      <c r="U13" s="1229" t="n">
        <v>1935.36</v>
      </c>
      <c r="V13" s="1230" t="n">
        <v>1075.2</v>
      </c>
      <c r="W13" s="1231">
        <f>V13/U13*100-100</f>
        <v/>
      </c>
      <c r="X13" s="1225">
        <f>V13/$V$58%</f>
        <v/>
      </c>
      <c r="Y13" s="1229" t="n">
        <v>2997.12</v>
      </c>
      <c r="Z13" s="1230" t="n">
        <v>927.36</v>
      </c>
      <c r="AA13" s="1231">
        <f>Z13/Y13*100-100</f>
        <v/>
      </c>
      <c r="AB13" s="1225">
        <f>Z13/$Z$58%</f>
        <v/>
      </c>
      <c r="AC13" s="1229" t="n">
        <v>14331.52</v>
      </c>
      <c r="AD13" s="1230" t="n">
        <v>12987.52</v>
      </c>
      <c r="AE13" s="1231">
        <f>AD13/AC13*100-100</f>
        <v/>
      </c>
      <c r="AF13" s="514">
        <f>AD13/$AD$58%</f>
        <v/>
      </c>
      <c r="AG13" s="1229" t="n">
        <v>672</v>
      </c>
      <c r="AH13" s="1230" t="n">
        <v>448</v>
      </c>
      <c r="AI13" s="1231">
        <f>AH13/AG13*100-100</f>
        <v/>
      </c>
      <c r="AJ13" s="1225">
        <f>AH13/$AH$58%</f>
        <v/>
      </c>
      <c r="AK13" s="1229" t="n"/>
      <c r="AL13" s="1230" t="n"/>
      <c r="AM13" s="1231" t="n"/>
      <c r="AN13" s="1225">
        <f>AL13/$AL$58%</f>
        <v/>
      </c>
      <c r="AO13" s="1229" t="n">
        <v>297.84</v>
      </c>
      <c r="AP13" s="1230" t="n"/>
      <c r="AQ13" s="1231">
        <f>AP13/AO13*100-100</f>
        <v/>
      </c>
      <c r="AR13" s="1225">
        <f>AP13/$AP$58%</f>
        <v/>
      </c>
      <c r="AS13" s="1229" t="n"/>
      <c r="AT13" s="1230" t="n"/>
      <c r="AU13" s="1231" t="n"/>
      <c r="AV13" s="1225">
        <f>AT13/$AT$58%</f>
        <v/>
      </c>
      <c r="AW13" s="1223">
        <f>E13+I13+M13+Q13+U13+Y13+AC13+AG13+AK13+AO13+AS13</f>
        <v/>
      </c>
      <c r="AX13" s="1223">
        <f>F13+J13+N13+R13+V13+Z13+AD13+AH13+AL13+AP13+AT13</f>
        <v/>
      </c>
      <c r="AY13" s="1231">
        <f>AX13/AW13*100-100</f>
        <v/>
      </c>
      <c r="AZ13" s="451">
        <f>AX13/$AX$58%</f>
        <v/>
      </c>
    </row>
    <row r="14" ht="19.95" customFormat="1" customHeight="1" s="310">
      <c r="A14" s="480" t="n"/>
      <c r="B14" s="313" t="inlineStr">
        <is>
          <t xml:space="preserve">Moe Nae Kon Ki </t>
        </is>
      </c>
      <c r="C14" s="314" t="n"/>
      <c r="D14" s="483" t="n"/>
      <c r="E14" s="1226">
        <f>SUM(E12:E13)</f>
        <v/>
      </c>
      <c r="F14" s="1227">
        <f>SUM(F12:F13)</f>
        <v/>
      </c>
      <c r="G14" s="1228">
        <f>F14/E14*100-100</f>
        <v/>
      </c>
      <c r="H14" s="1225">
        <f>F14/$F$58%</f>
        <v/>
      </c>
      <c r="I14" s="1226">
        <f>SUM(I12:I13)</f>
        <v/>
      </c>
      <c r="J14" s="1227">
        <f>SUM(J12:J13)</f>
        <v/>
      </c>
      <c r="K14" s="1228">
        <f>J14/I14*100-100</f>
        <v/>
      </c>
      <c r="L14" s="1225">
        <f>J14/$J$58%</f>
        <v/>
      </c>
      <c r="M14" s="1226">
        <f>SUM(M12:M13)</f>
        <v/>
      </c>
      <c r="N14" s="1227">
        <f>SUM(N12:N13)</f>
        <v/>
      </c>
      <c r="O14" s="1228">
        <f>N14/M14*100-100</f>
        <v/>
      </c>
      <c r="P14" s="1225">
        <f>N14/$N$58%</f>
        <v/>
      </c>
      <c r="Q14" s="1226">
        <f>SUM(Q12:Q13)</f>
        <v/>
      </c>
      <c r="R14" s="1227">
        <f>SUM(R12:R13)</f>
        <v/>
      </c>
      <c r="S14" s="1228">
        <f>R14/Q14*100-100</f>
        <v/>
      </c>
      <c r="T14" s="1225">
        <f>R14/$R$58%</f>
        <v/>
      </c>
      <c r="U14" s="1226">
        <f>SUM(U12:U13)</f>
        <v/>
      </c>
      <c r="V14" s="1227">
        <f>SUM(V12:V13)</f>
        <v/>
      </c>
      <c r="W14" s="1228">
        <f>V14/U14*100-100</f>
        <v/>
      </c>
      <c r="X14" s="1225">
        <f>V14/$V$58%</f>
        <v/>
      </c>
      <c r="Y14" s="1226">
        <f>SUM(Y12:Y13)</f>
        <v/>
      </c>
      <c r="Z14" s="1227">
        <f>SUM(Z12:Z13)</f>
        <v/>
      </c>
      <c r="AA14" s="1228">
        <f>Z14/Y14*100-100</f>
        <v/>
      </c>
      <c r="AB14" s="1225">
        <f>Z14/$Z$58%</f>
        <v/>
      </c>
      <c r="AC14" s="1226">
        <f>SUM(AC12:AC13)</f>
        <v/>
      </c>
      <c r="AD14" s="1227">
        <f>SUM(AD12:AD13)</f>
        <v/>
      </c>
      <c r="AE14" s="1228">
        <f>AD14/AC14*100-100</f>
        <v/>
      </c>
      <c r="AF14" s="514">
        <f>AD14/$AD$58%</f>
        <v/>
      </c>
      <c r="AG14" s="1226">
        <f>SUM(AG12:AG13)</f>
        <v/>
      </c>
      <c r="AH14" s="1227">
        <f>SUM(AH12:AH13)</f>
        <v/>
      </c>
      <c r="AI14" s="1228">
        <f>AH14/AG14*100-100</f>
        <v/>
      </c>
      <c r="AJ14" s="1225">
        <f>AH14/$AH$58%</f>
        <v/>
      </c>
      <c r="AK14" s="1226">
        <f>SUM(AK12:AK13)</f>
        <v/>
      </c>
      <c r="AL14" s="1227">
        <f>SUM(AL12:AL13)</f>
        <v/>
      </c>
      <c r="AM14" s="1228" t="n"/>
      <c r="AN14" s="1225">
        <f>AL14/$AL$58%</f>
        <v/>
      </c>
      <c r="AO14" s="1226">
        <f>SUM(AO12:AO13)</f>
        <v/>
      </c>
      <c r="AP14" s="1227">
        <f>SUM(AP12:AP13)</f>
        <v/>
      </c>
      <c r="AQ14" s="1228">
        <f>AP14/AO14*100-100</f>
        <v/>
      </c>
      <c r="AR14" s="1225">
        <f>AP14/$AP$58%</f>
        <v/>
      </c>
      <c r="AS14" s="1226">
        <f>SUM(AS12:AS13)</f>
        <v/>
      </c>
      <c r="AT14" s="1227">
        <f>SUM(AT12:AT13)</f>
        <v/>
      </c>
      <c r="AU14" s="1228" t="n"/>
      <c r="AV14" s="1225">
        <f>AT14/$AT$58%</f>
        <v/>
      </c>
      <c r="AW14" s="1223">
        <f>E14+I14+M14+Q14+U14+Y14+AC14+AG14+AK14+AO14+AS14</f>
        <v/>
      </c>
      <c r="AX14" s="1223">
        <f>F14+J14+N14+R14+V14+Z14+AD14+AH14+AL14+AP14+AT14</f>
        <v/>
      </c>
      <c r="AY14" s="1228">
        <f>AX14/AW14*100-100</f>
        <v/>
      </c>
      <c r="AZ14" s="451">
        <f>AX14/$AX$58%</f>
        <v/>
      </c>
    </row>
    <row r="15" ht="19.95" customHeight="1">
      <c r="A15" s="478" t="n">
        <v>9</v>
      </c>
      <c r="B15" s="164" t="inlineStr">
        <is>
          <t>Zayawaddy Red(1 Liter)30%</t>
        </is>
      </c>
      <c r="C15" s="152" t="n">
        <v>1</v>
      </c>
      <c r="D15" s="482" t="inlineStr">
        <is>
          <t>1 * 12</t>
        </is>
      </c>
      <c r="E15" s="1229" t="n"/>
      <c r="F15" s="1230" t="n"/>
      <c r="G15" s="1231" t="n"/>
      <c r="H15" s="1225">
        <f>F15/$F$58%</f>
        <v/>
      </c>
      <c r="I15" s="1229" t="n"/>
      <c r="J15" s="1230" t="n"/>
      <c r="K15" s="1231" t="n"/>
      <c r="L15" s="1225">
        <f>J15/$J$58%</f>
        <v/>
      </c>
      <c r="M15" s="1229" t="n"/>
      <c r="N15" s="1230" t="n"/>
      <c r="O15" s="1231" t="n"/>
      <c r="P15" s="1225">
        <f>N15/$N$58%</f>
        <v/>
      </c>
      <c r="Q15" s="1229" t="n"/>
      <c r="R15" s="1230" t="n"/>
      <c r="S15" s="1231" t="n"/>
      <c r="T15" s="1225">
        <f>R15/$R$58%</f>
        <v/>
      </c>
      <c r="U15" s="1229" t="n"/>
      <c r="V15" s="1230" t="n"/>
      <c r="W15" s="1231" t="n"/>
      <c r="X15" s="1225">
        <f>V15/$V$58%</f>
        <v/>
      </c>
      <c r="Y15" s="1229" t="n"/>
      <c r="Z15" s="1230" t="n"/>
      <c r="AA15" s="1231" t="n"/>
      <c r="AB15" s="1225">
        <f>Z15/$Z$58%</f>
        <v/>
      </c>
      <c r="AC15" s="1229" t="n"/>
      <c r="AD15" s="1230" t="n"/>
      <c r="AE15" s="1231" t="n"/>
      <c r="AF15" s="514">
        <f>AD15/$AD$58%</f>
        <v/>
      </c>
      <c r="AG15" s="1229" t="n"/>
      <c r="AH15" s="1230" t="n"/>
      <c r="AI15" s="1231" t="n"/>
      <c r="AJ15" s="1225">
        <f>AH15/$AH$58%</f>
        <v/>
      </c>
      <c r="AK15" s="1229" t="n"/>
      <c r="AL15" s="1230" t="n"/>
      <c r="AM15" s="1231" t="n"/>
      <c r="AN15" s="1225">
        <f>AL15/$AL$58%</f>
        <v/>
      </c>
      <c r="AO15" s="1229" t="n"/>
      <c r="AP15" s="1230" t="n"/>
      <c r="AQ15" s="1231" t="n"/>
      <c r="AR15" s="1225">
        <f>AP15/$AP$58%</f>
        <v/>
      </c>
      <c r="AS15" s="1229" t="n"/>
      <c r="AT15" s="1230" t="n"/>
      <c r="AU15" s="1231" t="n"/>
      <c r="AV15" s="1225">
        <f>AT15/$AT$58%</f>
        <v/>
      </c>
      <c r="AW15" s="1223">
        <f>E15+I15+M15+Q15+U15+Y15+AC15+AG15+AK15+AO15+AS15</f>
        <v/>
      </c>
      <c r="AX15" s="1223">
        <f>F15+J15+N15+R15+V15+Z15+AD15+AH15+AL15+AP15+AT15</f>
        <v/>
      </c>
      <c r="AY15" s="1231" t="n"/>
      <c r="AZ15" s="451">
        <f>AX15/$AX$58%</f>
        <v/>
      </c>
    </row>
    <row r="16" ht="19.95" customHeight="1">
      <c r="A16" s="478" t="n">
        <v>10</v>
      </c>
      <c r="B16" s="164" t="inlineStr">
        <is>
          <t xml:space="preserve">Zayawaddy Red </t>
        </is>
      </c>
      <c r="C16" s="152" t="n">
        <v>0.7</v>
      </c>
      <c r="D16" s="482" t="inlineStr">
        <is>
          <t>1 * 12</t>
        </is>
      </c>
      <c r="E16" s="1229" t="n">
        <v>399</v>
      </c>
      <c r="F16" s="1230" t="n">
        <v>231</v>
      </c>
      <c r="G16" s="1231">
        <f>F16/E16*100-100</f>
        <v/>
      </c>
      <c r="H16" s="1225">
        <f>F16/$F$58%</f>
        <v/>
      </c>
      <c r="I16" s="1229" t="n">
        <v>294</v>
      </c>
      <c r="J16" s="1230" t="n"/>
      <c r="K16" s="1231">
        <f>J16/I16*100-100</f>
        <v/>
      </c>
      <c r="L16" s="1225">
        <f>J16/$J$58%</f>
        <v/>
      </c>
      <c r="M16" s="1229" t="n">
        <v>2016</v>
      </c>
      <c r="N16" s="1230" t="n">
        <v>1470</v>
      </c>
      <c r="O16" s="1231">
        <f>N16/M16*100-100</f>
        <v/>
      </c>
      <c r="P16" s="1225">
        <f>N16/$N$58%</f>
        <v/>
      </c>
      <c r="Q16" s="1229" t="n">
        <v>0</v>
      </c>
      <c r="R16" s="1230" t="n">
        <v>21</v>
      </c>
      <c r="S16" s="1231" t="n"/>
      <c r="T16" s="1225">
        <f>R16/$R$58%</f>
        <v/>
      </c>
      <c r="U16" s="1229" t="n">
        <v>16.8</v>
      </c>
      <c r="V16" s="1230" t="n">
        <v>8.399999999999999</v>
      </c>
      <c r="W16" s="1231">
        <f>V16/U16*100-100</f>
        <v/>
      </c>
      <c r="X16" s="1225">
        <f>V16/$V$58%</f>
        <v/>
      </c>
      <c r="Y16" s="1229" t="n">
        <v>4.199999999999999</v>
      </c>
      <c r="Z16" s="1230" t="n"/>
      <c r="AA16" s="1231">
        <f>Z16/Y16*100-100</f>
        <v/>
      </c>
      <c r="AB16" s="1225">
        <f>Z16/$Z$58%</f>
        <v/>
      </c>
      <c r="AC16" s="1229" t="n">
        <v>336</v>
      </c>
      <c r="AD16" s="1230" t="n">
        <v>441</v>
      </c>
      <c r="AE16" s="1231">
        <f>AD16/AC16*100-100</f>
        <v/>
      </c>
      <c r="AF16" s="514">
        <f>AD16/$AD$58%</f>
        <v/>
      </c>
      <c r="AG16" s="1229" t="n"/>
      <c r="AH16" s="1230" t="n"/>
      <c r="AI16" s="1231" t="n"/>
      <c r="AJ16" s="1225">
        <f>AH16/$AH$58%</f>
        <v/>
      </c>
      <c r="AK16" s="1229" t="n"/>
      <c r="AL16" s="1230" t="n"/>
      <c r="AM16" s="1231" t="n"/>
      <c r="AN16" s="1225">
        <f>AL16/$AL$58%</f>
        <v/>
      </c>
      <c r="AO16" s="1229" t="n"/>
      <c r="AP16" s="1230" t="n"/>
      <c r="AQ16" s="1231" t="n"/>
      <c r="AR16" s="1225">
        <f>AP16/$AP$58%</f>
        <v/>
      </c>
      <c r="AS16" s="1229" t="n"/>
      <c r="AT16" s="1230" t="n"/>
      <c r="AU16" s="1231" t="n"/>
      <c r="AV16" s="1225">
        <f>AT16/$AT$58%</f>
        <v/>
      </c>
      <c r="AW16" s="1223">
        <f>E16+I16+M16+Q16+U16+Y16+AC16+AG16+AK16+AO16+AS16</f>
        <v/>
      </c>
      <c r="AX16" s="1223">
        <f>F16+J16+N16+R16+V16+Z16+AD16+AH16+AL16+AP16+AT16</f>
        <v/>
      </c>
      <c r="AY16" s="1231">
        <f>AX16/AW16*100-100</f>
        <v/>
      </c>
      <c r="AZ16" s="451">
        <f>AX16/$AX$58%</f>
        <v/>
      </c>
    </row>
    <row r="17" ht="19.95" customHeight="1">
      <c r="A17" s="478" t="n">
        <v>11</v>
      </c>
      <c r="B17" s="164" t="inlineStr">
        <is>
          <t>Zeyawaddy Rum (43%)</t>
        </is>
      </c>
      <c r="C17" s="152" t="n">
        <v>0.68</v>
      </c>
      <c r="D17" s="482" t="inlineStr">
        <is>
          <t>1 * 12</t>
        </is>
      </c>
      <c r="E17" s="1229" t="n">
        <v>4.08</v>
      </c>
      <c r="F17" s="1230" t="n"/>
      <c r="G17" s="1231">
        <f>F17/E17*100-100</f>
        <v/>
      </c>
      <c r="H17" s="1225">
        <f>F17/$F$58%</f>
        <v/>
      </c>
      <c r="I17" s="1229" t="n"/>
      <c r="J17" s="1230" t="n"/>
      <c r="K17" s="1231" t="n"/>
      <c r="L17" s="1225">
        <f>J17/$J$58%</f>
        <v/>
      </c>
      <c r="M17" s="1229" t="n"/>
      <c r="N17" s="1230" t="n"/>
      <c r="O17" s="1231" t="n"/>
      <c r="P17" s="1225">
        <f>N17/$N$58%</f>
        <v/>
      </c>
      <c r="Q17" s="1229" t="n">
        <v>0</v>
      </c>
      <c r="R17" s="1230" t="n">
        <v>32.64</v>
      </c>
      <c r="S17" s="1231" t="n"/>
      <c r="T17" s="1225">
        <f>R17/$R$58%</f>
        <v/>
      </c>
      <c r="U17" s="1229" t="n"/>
      <c r="V17" s="1230" t="n"/>
      <c r="W17" s="1231" t="n"/>
      <c r="X17" s="1225">
        <f>V17/$V$58%</f>
        <v/>
      </c>
      <c r="Y17" s="1229" t="n"/>
      <c r="Z17" s="1230" t="n"/>
      <c r="AA17" s="1231" t="n"/>
      <c r="AB17" s="1225">
        <f>Z17/$Z$58%</f>
        <v/>
      </c>
      <c r="AC17" s="1229" t="n">
        <v>236.64</v>
      </c>
      <c r="AD17" s="1230" t="n"/>
      <c r="AE17" s="1231">
        <f>AD17/AC17*100-100</f>
        <v/>
      </c>
      <c r="AF17" s="514">
        <f>AD17/$AD$58%</f>
        <v/>
      </c>
      <c r="AG17" s="1229" t="n"/>
      <c r="AH17" s="1230" t="n"/>
      <c r="AI17" s="1231" t="n"/>
      <c r="AJ17" s="1225">
        <f>AH17/$AH$58%</f>
        <v/>
      </c>
      <c r="AK17" s="1229" t="n"/>
      <c r="AL17" s="1230" t="n"/>
      <c r="AM17" s="1231" t="n"/>
      <c r="AN17" s="1225">
        <f>AL17/$AL$58%</f>
        <v/>
      </c>
      <c r="AO17" s="1229" t="n">
        <v>4</v>
      </c>
      <c r="AP17" s="1230" t="n"/>
      <c r="AQ17" s="1231">
        <f>AP17/AO17*100-100</f>
        <v/>
      </c>
      <c r="AR17" s="1225">
        <f>AP17/$AP$58%</f>
        <v/>
      </c>
      <c r="AS17" s="1229" t="n"/>
      <c r="AT17" s="1230" t="n"/>
      <c r="AU17" s="1231" t="n"/>
      <c r="AV17" s="1225">
        <f>AT17/$AT$58%</f>
        <v/>
      </c>
      <c r="AW17" s="1223">
        <f>E17+I17+M17+Q17+U17+Y17+AC17+AG17+AK17+AO17+AS17</f>
        <v/>
      </c>
      <c r="AX17" s="1223">
        <f>F17+J17+N17+R17+V17+Z17+AD17+AH17+AL17+AP17+AT17</f>
        <v/>
      </c>
      <c r="AY17" s="1231">
        <f>AX17/AW17*100-100</f>
        <v/>
      </c>
      <c r="AZ17" s="451">
        <f>AX17/$AX$58%</f>
        <v/>
      </c>
    </row>
    <row r="18" ht="19.95" customHeight="1">
      <c r="A18" s="478" t="n">
        <v>12</v>
      </c>
      <c r="B18" s="164" t="inlineStr">
        <is>
          <t xml:space="preserve">Zayawaddy Red </t>
        </is>
      </c>
      <c r="C18" s="152" t="n">
        <v>0.64</v>
      </c>
      <c r="D18" s="482" t="inlineStr">
        <is>
          <t>1 * 14</t>
        </is>
      </c>
      <c r="E18" s="1229" t="n">
        <v>10000.32</v>
      </c>
      <c r="F18" s="1230" t="n">
        <v>9555.84</v>
      </c>
      <c r="G18" s="1231">
        <f>F18/E18*100-100</f>
        <v/>
      </c>
      <c r="H18" s="1225">
        <f>F18/$F$58%</f>
        <v/>
      </c>
      <c r="I18" s="1229" t="n">
        <v>2244.48</v>
      </c>
      <c r="J18" s="1230" t="n">
        <v>1644.16</v>
      </c>
      <c r="K18" s="1231">
        <f>J18/I18*100-100</f>
        <v/>
      </c>
      <c r="L18" s="1225">
        <f>J18/$J$58%</f>
        <v/>
      </c>
      <c r="M18" s="1229" t="n">
        <v>10648.96</v>
      </c>
      <c r="N18" s="1230" t="n">
        <v>10796.8</v>
      </c>
      <c r="O18" s="1231">
        <f>N18/M18*100-100</f>
        <v/>
      </c>
      <c r="P18" s="1225">
        <f>N18/$N$58%</f>
        <v/>
      </c>
      <c r="Q18" s="1229" t="n"/>
      <c r="R18" s="1230" t="n"/>
      <c r="S18" s="1231" t="n"/>
      <c r="T18" s="1225">
        <f>R18/$R$58%</f>
        <v/>
      </c>
      <c r="U18" s="1229" t="n">
        <v>2401.28</v>
      </c>
      <c r="V18" s="1230" t="n">
        <v>3046.4</v>
      </c>
      <c r="W18" s="1231">
        <f>V18/U18*100-100</f>
        <v/>
      </c>
      <c r="X18" s="1225">
        <f>V18/$V$58%</f>
        <v/>
      </c>
      <c r="Y18" s="1229" t="n"/>
      <c r="Z18" s="1230" t="n"/>
      <c r="AA18" s="1231" t="n"/>
      <c r="AB18" s="1225">
        <f>Z18/$Z$58%</f>
        <v/>
      </c>
      <c r="AC18" s="1229" t="n"/>
      <c r="AD18" s="1230" t="n"/>
      <c r="AE18" s="1231" t="n"/>
      <c r="AF18" s="514">
        <f>AD18/$AD$58%</f>
        <v/>
      </c>
      <c r="AG18" s="1229" t="n">
        <v>5152</v>
      </c>
      <c r="AH18" s="1230" t="n"/>
      <c r="AI18" s="1231">
        <f>AH18/AG18*100-100</f>
        <v/>
      </c>
      <c r="AJ18" s="1225">
        <f>AH18/$AH$58%</f>
        <v/>
      </c>
      <c r="AK18" s="1229" t="n"/>
      <c r="AL18" s="1230" t="n"/>
      <c r="AM18" s="1231" t="n"/>
      <c r="AN18" s="1225">
        <f>AL18/$AL$58%</f>
        <v/>
      </c>
      <c r="AO18" s="1229" t="n"/>
      <c r="AP18" s="1230" t="n"/>
      <c r="AQ18" s="1231" t="n"/>
      <c r="AR18" s="1225">
        <f>AP18/$AP$58%</f>
        <v/>
      </c>
      <c r="AS18" s="1229" t="n">
        <v>2607.36</v>
      </c>
      <c r="AT18" s="1230" t="n">
        <v>2240</v>
      </c>
      <c r="AU18" s="1231">
        <f>AT18/AS18*100-100</f>
        <v/>
      </c>
      <c r="AV18" s="1225">
        <f>AT18/$AT$58%</f>
        <v/>
      </c>
      <c r="AW18" s="1223">
        <f>E18+I18+M18+Q18+U18+Y18+AC18+AG18+AK18+AO18+AS18</f>
        <v/>
      </c>
      <c r="AX18" s="1223">
        <f>F18+J18+N18+R18+V18+Z18+AD18+AH18+AL18+AP18+AT18</f>
        <v/>
      </c>
      <c r="AY18" s="1231">
        <f>AX18/AW18*100-100</f>
        <v/>
      </c>
      <c r="AZ18" s="451">
        <f>AX18/$AX$58%</f>
        <v/>
      </c>
    </row>
    <row r="19" ht="19.95" customHeight="1">
      <c r="A19" s="478" t="n">
        <v>13</v>
      </c>
      <c r="B19" s="164" t="inlineStr">
        <is>
          <t>ဇေယျဝတီ Red (ပု)</t>
        </is>
      </c>
      <c r="C19" s="152" t="n">
        <v>0.64</v>
      </c>
      <c r="D19" s="482" t="inlineStr">
        <is>
          <t>1 * 14</t>
        </is>
      </c>
      <c r="E19" s="1229" t="n"/>
      <c r="F19" s="1230" t="n"/>
      <c r="G19" s="1231" t="n"/>
      <c r="H19" s="1225">
        <f>F19/$F$58%</f>
        <v/>
      </c>
      <c r="I19" s="1229" t="n"/>
      <c r="J19" s="1230" t="n"/>
      <c r="K19" s="1231" t="n"/>
      <c r="L19" s="1225">
        <f>J19/$J$58%</f>
        <v/>
      </c>
      <c r="M19" s="1229" t="n"/>
      <c r="N19" s="1230" t="n"/>
      <c r="O19" s="1231" t="n"/>
      <c r="P19" s="1225">
        <f>N19/$N$58%</f>
        <v/>
      </c>
      <c r="Q19" s="1229" t="n">
        <v>604.8</v>
      </c>
      <c r="R19" s="1230" t="n">
        <v>842.24</v>
      </c>
      <c r="S19" s="1231">
        <f>R19/Q19*100-100</f>
        <v/>
      </c>
      <c r="T19" s="1225">
        <f>R19/$R$58%</f>
        <v/>
      </c>
      <c r="U19" s="1229" t="n"/>
      <c r="V19" s="1230" t="n"/>
      <c r="W19" s="1231" t="n"/>
      <c r="X19" s="1225">
        <f>V19/$V$58%</f>
        <v/>
      </c>
      <c r="Y19" s="1229" t="n"/>
      <c r="Z19" s="1230" t="n"/>
      <c r="AA19" s="1231" t="n"/>
      <c r="AB19" s="1225">
        <f>Z19/$Z$58%</f>
        <v/>
      </c>
      <c r="AC19" s="1229" t="n">
        <v>232.96</v>
      </c>
      <c r="AD19" s="1230" t="n">
        <v>246.4</v>
      </c>
      <c r="AE19" s="1231">
        <f>AD19/AC19*100-100</f>
        <v/>
      </c>
      <c r="AF19" s="514">
        <f>AD19/$AD$58%</f>
        <v/>
      </c>
      <c r="AG19" s="1229" t="n">
        <v>672</v>
      </c>
      <c r="AH19" s="1230" t="n">
        <v>448</v>
      </c>
      <c r="AI19" s="1231">
        <f>AH19/AG19*100-100</f>
        <v/>
      </c>
      <c r="AJ19" s="1225">
        <f>AH19/$AH$58%</f>
        <v/>
      </c>
      <c r="AK19" s="1229" t="n"/>
      <c r="AL19" s="1230" t="n"/>
      <c r="AM19" s="1231" t="n"/>
      <c r="AN19" s="1225">
        <f>AL19/$AL$58%</f>
        <v/>
      </c>
      <c r="AO19" s="1229" t="n">
        <v>44.8</v>
      </c>
      <c r="AP19" s="1230" t="n"/>
      <c r="AQ19" s="1231">
        <f>AP19/AO19*100-100</f>
        <v/>
      </c>
      <c r="AR19" s="1225">
        <f>AP19/$AP$58%</f>
        <v/>
      </c>
      <c r="AS19" s="1229" t="n">
        <v>134.5</v>
      </c>
      <c r="AT19" s="1230" t="n"/>
      <c r="AU19" s="1231">
        <f>AT19/AS19*100-100</f>
        <v/>
      </c>
      <c r="AV19" s="1225">
        <f>AT19/$AT$58%</f>
        <v/>
      </c>
      <c r="AW19" s="1223">
        <f>E19+I19+M19+Q19+U19+Y19+AC19+AG19+AK19+AO19+AS19</f>
        <v/>
      </c>
      <c r="AX19" s="1223">
        <f>F19+J19+N19+R19+V19+Z19+AD19+AH19+AL19+AP19+AT19</f>
        <v/>
      </c>
      <c r="AY19" s="1231">
        <f>AX19/AW19*100-100</f>
        <v/>
      </c>
      <c r="AZ19" s="451">
        <f>AX19/$AX$58%</f>
        <v/>
      </c>
    </row>
    <row r="20" ht="19.95" customFormat="1" customHeight="1" s="310">
      <c r="A20" s="480" t="n"/>
      <c r="B20" s="313" t="inlineStr">
        <is>
          <t>Zayawaddy</t>
        </is>
      </c>
      <c r="C20" s="314" t="n"/>
      <c r="D20" s="483" t="n"/>
      <c r="E20" s="1226">
        <f>SUM(E15:E19)</f>
        <v/>
      </c>
      <c r="F20" s="1227">
        <f>SUM(F15:F19)</f>
        <v/>
      </c>
      <c r="G20" s="1228">
        <f>F20/E20*100-100</f>
        <v/>
      </c>
      <c r="H20" s="1225">
        <f>F20/$F$58%</f>
        <v/>
      </c>
      <c r="I20" s="1226">
        <f>SUM(I15:I19)</f>
        <v/>
      </c>
      <c r="J20" s="1227">
        <f>SUM(J15:J19)</f>
        <v/>
      </c>
      <c r="K20" s="1228">
        <f>J20/I20*100-100</f>
        <v/>
      </c>
      <c r="L20" s="1225">
        <f>J20/$J$58%</f>
        <v/>
      </c>
      <c r="M20" s="1226">
        <f>SUM(M15:M19)</f>
        <v/>
      </c>
      <c r="N20" s="1227">
        <f>SUM(N15:N19)</f>
        <v/>
      </c>
      <c r="O20" s="1228">
        <f>N20/M20*100-100</f>
        <v/>
      </c>
      <c r="P20" s="1225">
        <f>N20/$N$58%</f>
        <v/>
      </c>
      <c r="Q20" s="1226">
        <f>SUM(Q15:Q19)</f>
        <v/>
      </c>
      <c r="R20" s="1227">
        <f>SUM(R15:R19)</f>
        <v/>
      </c>
      <c r="S20" s="1228">
        <f>R20/Q20*100-100</f>
        <v/>
      </c>
      <c r="T20" s="1225">
        <f>R20/$R$58%</f>
        <v/>
      </c>
      <c r="U20" s="1226">
        <f>SUM(U15:U19)</f>
        <v/>
      </c>
      <c r="V20" s="1227">
        <f>SUM(V15:V19)</f>
        <v/>
      </c>
      <c r="W20" s="1228">
        <f>V20/U20*100-100</f>
        <v/>
      </c>
      <c r="X20" s="1225">
        <f>V20/$V$58%</f>
        <v/>
      </c>
      <c r="Y20" s="1226">
        <f>SUM(Y15:Y19)</f>
        <v/>
      </c>
      <c r="Z20" s="1227">
        <f>SUM(Z15:Z19)</f>
        <v/>
      </c>
      <c r="AA20" s="1228">
        <f>Z20/Y20*100-100</f>
        <v/>
      </c>
      <c r="AB20" s="1225">
        <f>Z20/$Z$58%</f>
        <v/>
      </c>
      <c r="AC20" s="1226">
        <f>SUM(AC15:AC19)</f>
        <v/>
      </c>
      <c r="AD20" s="1227">
        <f>SUM(AD15:AD19)</f>
        <v/>
      </c>
      <c r="AE20" s="1228">
        <f>AD20/AC20*100-100</f>
        <v/>
      </c>
      <c r="AF20" s="514">
        <f>AD20/$AD$58%</f>
        <v/>
      </c>
      <c r="AG20" s="1226">
        <f>SUM(AG15:AG19)</f>
        <v/>
      </c>
      <c r="AH20" s="1227">
        <f>SUM(AH15:AH19)</f>
        <v/>
      </c>
      <c r="AI20" s="1228">
        <f>AH20/AG20*100-100</f>
        <v/>
      </c>
      <c r="AJ20" s="1225">
        <f>AH20/$AH$58%</f>
        <v/>
      </c>
      <c r="AK20" s="1226">
        <f>SUM(AK15:AK19)</f>
        <v/>
      </c>
      <c r="AL20" s="1227">
        <f>SUM(AL15:AL19)</f>
        <v/>
      </c>
      <c r="AM20" s="1228" t="n"/>
      <c r="AN20" s="1225">
        <f>AL20/$AL$58%</f>
        <v/>
      </c>
      <c r="AO20" s="1226">
        <f>SUM(AO15:AO19)</f>
        <v/>
      </c>
      <c r="AP20" s="1227">
        <f>SUM(AP15:AP19)</f>
        <v/>
      </c>
      <c r="AQ20" s="1228">
        <f>AP20/AO20*100-100</f>
        <v/>
      </c>
      <c r="AR20" s="1225">
        <f>AP20/$AP$58%</f>
        <v/>
      </c>
      <c r="AS20" s="1226">
        <f>SUM(AS15:AS19)</f>
        <v/>
      </c>
      <c r="AT20" s="1227">
        <f>SUM(AT15:AT19)</f>
        <v/>
      </c>
      <c r="AU20" s="1228">
        <f>AT20/AS20*100-100</f>
        <v/>
      </c>
      <c r="AV20" s="1225">
        <f>AT20/$AT$58%</f>
        <v/>
      </c>
      <c r="AW20" s="1223">
        <f>E20+I20+M20+Q20+U20+Y20+AC20+AG20+AK20+AO20+AS20</f>
        <v/>
      </c>
      <c r="AX20" s="1223">
        <f>F20+J20+N20+R20+V20+Z20+AD20+AH20+AL20+AP20+AT20</f>
        <v/>
      </c>
      <c r="AY20" s="1228">
        <f>AX20/AW20*100-100</f>
        <v/>
      </c>
      <c r="AZ20" s="451">
        <f>AX20/$AX$58%</f>
        <v/>
      </c>
    </row>
    <row r="21" ht="19.95" customHeight="1">
      <c r="A21" s="478" t="n">
        <v>14</v>
      </c>
      <c r="B21" s="164" t="inlineStr">
        <is>
          <t>မြန်မာရှောက်ပျား(1 Liter)</t>
        </is>
      </c>
      <c r="C21" s="152" t="n">
        <v>1</v>
      </c>
      <c r="D21" s="482" t="inlineStr">
        <is>
          <t>1 * 12</t>
        </is>
      </c>
      <c r="E21" s="1229" t="n">
        <v>0</v>
      </c>
      <c r="F21" s="1058" t="n"/>
      <c r="G21" s="1228" t="n"/>
      <c r="H21" s="1225">
        <f>F21/$F$58%</f>
        <v/>
      </c>
      <c r="I21" s="1229" t="n">
        <v>0</v>
      </c>
      <c r="J21" s="1058" t="n"/>
      <c r="K21" s="1228" t="n"/>
      <c r="L21" s="1225">
        <f>J21/$J$58%</f>
        <v/>
      </c>
      <c r="M21" s="1229" t="n">
        <v>0</v>
      </c>
      <c r="N21" s="1058" t="n">
        <v>198</v>
      </c>
      <c r="O21" s="1228" t="n"/>
      <c r="P21" s="1225">
        <f>N21/$N$58%</f>
        <v/>
      </c>
      <c r="Q21" s="1229" t="n">
        <v>0</v>
      </c>
      <c r="R21" s="1058" t="n"/>
      <c r="S21" s="1228" t="n"/>
      <c r="T21" s="1225">
        <f>R21/$R$58%</f>
        <v/>
      </c>
      <c r="U21" s="1229" t="n">
        <v>0</v>
      </c>
      <c r="V21" s="1058" t="n"/>
      <c r="W21" s="1228" t="n"/>
      <c r="X21" s="1225">
        <f>V21/$V$58%</f>
        <v/>
      </c>
      <c r="Y21" s="1229" t="n">
        <v>0</v>
      </c>
      <c r="Z21" s="1058" t="n">
        <v>45</v>
      </c>
      <c r="AA21" s="1228" t="n"/>
      <c r="AB21" s="1225">
        <f>Z21/$Z$58%</f>
        <v/>
      </c>
      <c r="AC21" s="1229" t="n">
        <v>0</v>
      </c>
      <c r="AD21" s="1058" t="n"/>
      <c r="AE21" s="1228" t="n"/>
      <c r="AF21" s="514">
        <f>AD21/$AD$58%</f>
        <v/>
      </c>
      <c r="AG21" s="1229" t="n">
        <v>0</v>
      </c>
      <c r="AH21" s="1058" t="n"/>
      <c r="AI21" s="1228" t="n"/>
      <c r="AJ21" s="1225">
        <f>AH21/$AH$58%</f>
        <v/>
      </c>
      <c r="AK21" s="1229" t="n">
        <v>0</v>
      </c>
      <c r="AL21" s="1058" t="n"/>
      <c r="AM21" s="1228" t="n"/>
      <c r="AN21" s="1225">
        <f>AL21/$AL$58%</f>
        <v/>
      </c>
      <c r="AO21" s="1229" t="n">
        <v>0</v>
      </c>
      <c r="AP21" s="1058" t="n"/>
      <c r="AQ21" s="1228" t="n"/>
      <c r="AR21" s="1225">
        <f>AP21/$AP$58%</f>
        <v/>
      </c>
      <c r="AS21" s="1229" t="n">
        <v>0</v>
      </c>
      <c r="AT21" s="1058" t="n"/>
      <c r="AU21" s="1228" t="n"/>
      <c r="AV21" s="1225">
        <f>AT21/$AT$58%</f>
        <v/>
      </c>
      <c r="AW21" s="1223">
        <f>E21+I21+M21+Q21+U21+Y21+AC21+AG21+AK21+AO21+AS21</f>
        <v/>
      </c>
      <c r="AX21" s="1223">
        <f>F21+J21+N21+R21+V21+Z21+AD21+AH21+AL21+AP21+AT21</f>
        <v/>
      </c>
      <c r="AY21" s="1228" t="n"/>
      <c r="AZ21" s="451">
        <f>AX21/$AX$58%</f>
        <v/>
      </c>
    </row>
    <row r="22" ht="19.95" customHeight="1">
      <c r="A22" s="478" t="n">
        <v>15</v>
      </c>
      <c r="B22" s="164" t="inlineStr">
        <is>
          <t>မြန်မာရှောက်ပျား</t>
        </is>
      </c>
      <c r="C22" s="152" t="n">
        <v>0.64</v>
      </c>
      <c r="D22" s="482" t="inlineStr">
        <is>
          <t>1 * 14</t>
        </is>
      </c>
      <c r="E22" s="1229" t="n">
        <v>32905.60000000001</v>
      </c>
      <c r="F22" s="1230" t="n">
        <v>30504.96</v>
      </c>
      <c r="G22" s="1231">
        <f>F22/E22*100-100</f>
        <v/>
      </c>
      <c r="H22" s="1225">
        <f>F22/$F$58%</f>
        <v/>
      </c>
      <c r="I22" s="1229" t="n">
        <v>403.2</v>
      </c>
      <c r="J22" s="1230" t="n">
        <v>134.4</v>
      </c>
      <c r="K22" s="1231">
        <f>J22/I22*100-100</f>
        <v/>
      </c>
      <c r="L22" s="1225">
        <f>J22/$J$58%</f>
        <v/>
      </c>
      <c r="M22" s="1229" t="n">
        <v>37909.75999999999</v>
      </c>
      <c r="N22" s="1230" t="n">
        <v>29200.64</v>
      </c>
      <c r="O22" s="1231">
        <f>N22/M22*100-100</f>
        <v/>
      </c>
      <c r="P22" s="1225">
        <f>N22/$N$58%</f>
        <v/>
      </c>
      <c r="Q22" s="1229" t="n">
        <v>16311.68</v>
      </c>
      <c r="R22" s="1230" t="n">
        <v>14255.36</v>
      </c>
      <c r="S22" s="1231">
        <f>R22/Q22*100-100</f>
        <v/>
      </c>
      <c r="T22" s="1225">
        <f>R22/$R$58%</f>
        <v/>
      </c>
      <c r="U22" s="1229" t="n">
        <v>1097.6</v>
      </c>
      <c r="V22" s="1230" t="n">
        <v>582.4</v>
      </c>
      <c r="W22" s="1231">
        <f>V22/U22*100-100</f>
        <v/>
      </c>
      <c r="X22" s="1225">
        <f>V22/$V$58%</f>
        <v/>
      </c>
      <c r="Y22" s="1229" t="n">
        <v>1895.04</v>
      </c>
      <c r="Z22" s="1230" t="n">
        <v>2240</v>
      </c>
      <c r="AA22" s="1231">
        <f>Z22/Y22*100-100</f>
        <v/>
      </c>
      <c r="AB22" s="1225">
        <f>Z22/$Z$58%</f>
        <v/>
      </c>
      <c r="AC22" s="1229" t="n">
        <v>44.8</v>
      </c>
      <c r="AD22" s="1230" t="n"/>
      <c r="AE22" s="1231">
        <f>AD22/AC22*100-100</f>
        <v/>
      </c>
      <c r="AF22" s="514">
        <f>AD22/$AD$58%</f>
        <v/>
      </c>
      <c r="AG22" s="1229" t="n"/>
      <c r="AH22" s="1230" t="n"/>
      <c r="AI22" s="1231" t="n"/>
      <c r="AJ22" s="1225">
        <f>AH22/$AH$58%</f>
        <v/>
      </c>
      <c r="AK22" s="1229" t="n"/>
      <c r="AL22" s="1230" t="n"/>
      <c r="AM22" s="1231" t="n"/>
      <c r="AN22" s="1225">
        <f>AL22/$AL$58%</f>
        <v/>
      </c>
      <c r="AO22" s="1229" t="n"/>
      <c r="AP22" s="1230" t="n"/>
      <c r="AQ22" s="1231" t="n"/>
      <c r="AR22" s="1225">
        <f>AP22/$AP$58%</f>
        <v/>
      </c>
      <c r="AS22" s="1229" t="n"/>
      <c r="AT22" s="1230" t="n"/>
      <c r="AU22" s="1231" t="n"/>
      <c r="AV22" s="1225">
        <f>AT22/$AT$58%</f>
        <v/>
      </c>
      <c r="AW22" s="1223">
        <f>E22+I22+M22+Q22+U22+Y22+AC22+AG22+AK22+AO22+AS22</f>
        <v/>
      </c>
      <c r="AX22" s="1223">
        <f>F22+J22+N22+R22+V22+Z22+AD22+AH22+AL22+AP22+AT22</f>
        <v/>
      </c>
      <c r="AY22" s="1231">
        <f>AX22/AW22*100-100</f>
        <v/>
      </c>
      <c r="AZ22" s="451">
        <f>AX22/$AX$58%</f>
        <v/>
      </c>
    </row>
    <row r="23" ht="19.95" customFormat="1" customHeight="1" s="310">
      <c r="A23" s="480" t="n"/>
      <c r="B23" s="313" t="inlineStr">
        <is>
          <t>Myanmar shoukpyar</t>
        </is>
      </c>
      <c r="C23" s="314" t="n"/>
      <c r="D23" s="483" t="n"/>
      <c r="E23" s="1226">
        <f>SUM(E21:E22)</f>
        <v/>
      </c>
      <c r="F23" s="1226">
        <f>SUM(F21:F22)</f>
        <v/>
      </c>
      <c r="G23" s="1228">
        <f>F23/E23*100-100</f>
        <v/>
      </c>
      <c r="H23" s="1225">
        <f>F23/$F$58%</f>
        <v/>
      </c>
      <c r="I23" s="1226">
        <f>SUM(I21:I22)</f>
        <v/>
      </c>
      <c r="J23" s="1226">
        <f>SUM(J21:J22)</f>
        <v/>
      </c>
      <c r="K23" s="1228">
        <f>J23/I23*100-100</f>
        <v/>
      </c>
      <c r="L23" s="1225">
        <f>J23/$J$58%</f>
        <v/>
      </c>
      <c r="M23" s="1226">
        <f>SUM(M21:M22)</f>
        <v/>
      </c>
      <c r="N23" s="1226">
        <f>SUM(N21:N22)</f>
        <v/>
      </c>
      <c r="O23" s="1228">
        <f>N23/M23*100-100</f>
        <v/>
      </c>
      <c r="P23" s="1225">
        <f>N23/$N$58%</f>
        <v/>
      </c>
      <c r="Q23" s="1226">
        <f>SUM(Q21:Q22)</f>
        <v/>
      </c>
      <c r="R23" s="1226">
        <f>SUM(R21:R22)</f>
        <v/>
      </c>
      <c r="S23" s="1228">
        <f>R23/Q23*100-100</f>
        <v/>
      </c>
      <c r="T23" s="1225">
        <f>R23/$R$58%</f>
        <v/>
      </c>
      <c r="U23" s="1226">
        <f>SUM(U21:U22)</f>
        <v/>
      </c>
      <c r="V23" s="1226">
        <f>SUM(V21:V22)</f>
        <v/>
      </c>
      <c r="W23" s="1228">
        <f>V23/U23*100-100</f>
        <v/>
      </c>
      <c r="X23" s="1225">
        <f>V23/$V$58%</f>
        <v/>
      </c>
      <c r="Y23" s="1226">
        <f>SUM(Y21:Y22)</f>
        <v/>
      </c>
      <c r="Z23" s="1226">
        <f>SUM(Z21:Z22)</f>
        <v/>
      </c>
      <c r="AA23" s="1228">
        <f>Z23/Y23*100-100</f>
        <v/>
      </c>
      <c r="AB23" s="1225">
        <f>Z23/$Z$58%</f>
        <v/>
      </c>
      <c r="AC23" s="1226">
        <f>SUM(AC21:AC22)</f>
        <v/>
      </c>
      <c r="AD23" s="1226">
        <f>SUM(AD21:AD22)</f>
        <v/>
      </c>
      <c r="AE23" s="1228">
        <f>AD23/AC23*100-100</f>
        <v/>
      </c>
      <c r="AF23" s="514">
        <f>AD23/$AD$58%</f>
        <v/>
      </c>
      <c r="AG23" s="1226">
        <f>SUM(AG21:AG22)</f>
        <v/>
      </c>
      <c r="AH23" s="1226">
        <f>SUM(AH21:AH22)</f>
        <v/>
      </c>
      <c r="AI23" s="1228" t="n"/>
      <c r="AJ23" s="1225">
        <f>AH23/$AH$58%</f>
        <v/>
      </c>
      <c r="AK23" s="1226">
        <f>SUM(AK21:AK22)</f>
        <v/>
      </c>
      <c r="AL23" s="1226">
        <f>SUM(AL21:AL22)</f>
        <v/>
      </c>
      <c r="AM23" s="1228" t="n"/>
      <c r="AN23" s="1225">
        <f>AL23/$AL$58%</f>
        <v/>
      </c>
      <c r="AO23" s="1226">
        <f>SUM(AO21:AO22)</f>
        <v/>
      </c>
      <c r="AP23" s="1226">
        <f>SUM(AP21:AP22)</f>
        <v/>
      </c>
      <c r="AQ23" s="1228" t="n"/>
      <c r="AR23" s="1225">
        <f>AP23/$AP$58%</f>
        <v/>
      </c>
      <c r="AS23" s="1226">
        <f>SUM(AS21:AS22)</f>
        <v/>
      </c>
      <c r="AT23" s="1226">
        <f>SUM(AT21:AT22)</f>
        <v/>
      </c>
      <c r="AU23" s="1228" t="n"/>
      <c r="AV23" s="1225">
        <f>AT23/$AT$58%</f>
        <v/>
      </c>
      <c r="AW23" s="1223">
        <f>E23+I23+M23+Q23+U23+Y23+AC23+AG23+AK23+AO23+AS23</f>
        <v/>
      </c>
      <c r="AX23" s="1223">
        <f>F23+J23+N23+R23+V23+Z23+AD23+AH23+AL23+AP23+AT23</f>
        <v/>
      </c>
      <c r="AY23" s="1228">
        <f>AX23/AW23*100-100</f>
        <v/>
      </c>
      <c r="AZ23" s="451">
        <f>AX23/$AX$58%</f>
        <v/>
      </c>
    </row>
    <row r="24" ht="19.95" customHeight="1">
      <c r="A24" s="478" t="n">
        <v>16</v>
      </c>
      <c r="B24" s="164" t="inlineStr">
        <is>
          <t>သံပုရာအရက်</t>
        </is>
      </c>
      <c r="C24" s="152" t="n">
        <v>0.64</v>
      </c>
      <c r="D24" s="482" t="inlineStr">
        <is>
          <t>1 * 14</t>
        </is>
      </c>
      <c r="E24" s="1229" t="n">
        <v>11120.32000000001</v>
      </c>
      <c r="F24" s="1230" t="n">
        <v>10482.24</v>
      </c>
      <c r="G24" s="1231">
        <f>F24/E24*100-100</f>
        <v/>
      </c>
      <c r="H24" s="1225">
        <f>F24/$F$58%</f>
        <v/>
      </c>
      <c r="I24" s="1229" t="n">
        <v>573.4400000000001</v>
      </c>
      <c r="J24" s="1230" t="n">
        <v>112</v>
      </c>
      <c r="K24" s="1231">
        <f>J24/I24*100-100</f>
        <v/>
      </c>
      <c r="L24" s="1225">
        <f>J24/$J$58%</f>
        <v/>
      </c>
      <c r="M24" s="1229" t="n">
        <v>4166.4</v>
      </c>
      <c r="N24" s="1230" t="n">
        <v>4054.4</v>
      </c>
      <c r="O24" s="1231">
        <f>N24/M24*100-100</f>
        <v/>
      </c>
      <c r="P24" s="1225">
        <f>N24/$N$58%</f>
        <v/>
      </c>
      <c r="Q24" s="1229" t="n">
        <v>10814.72</v>
      </c>
      <c r="R24" s="1230" t="n">
        <v>8928.639999999999</v>
      </c>
      <c r="S24" s="1231">
        <f>R24/Q24*100-100</f>
        <v/>
      </c>
      <c r="T24" s="1225">
        <f>R24/$R$58%</f>
        <v/>
      </c>
      <c r="U24" s="1229" t="n">
        <v>8960</v>
      </c>
      <c r="V24" s="1230" t="n">
        <v>7347.200000000001</v>
      </c>
      <c r="W24" s="1231">
        <f>V24/U24*100-100</f>
        <v/>
      </c>
      <c r="X24" s="1225">
        <f>V24/$V$58%</f>
        <v/>
      </c>
      <c r="Y24" s="1229" t="n">
        <v>5756.8</v>
      </c>
      <c r="Z24" s="1230" t="n">
        <v>4614.4</v>
      </c>
      <c r="AA24" s="1231">
        <f>Z24/Y24*100-100</f>
        <v/>
      </c>
      <c r="AB24" s="1225">
        <f>Z24/$Z$58%</f>
        <v/>
      </c>
      <c r="AC24" s="1229" t="n"/>
      <c r="AD24" s="1230" t="n"/>
      <c r="AE24" s="1231" t="n"/>
      <c r="AF24" s="514">
        <f>AD24/$AD$58%</f>
        <v/>
      </c>
      <c r="AG24" s="1229" t="n"/>
      <c r="AH24" s="1230" t="n"/>
      <c r="AI24" s="1231" t="n"/>
      <c r="AJ24" s="1225">
        <f>AH24/$AH$58%</f>
        <v/>
      </c>
      <c r="AK24" s="1229" t="n"/>
      <c r="AL24" s="1230" t="n"/>
      <c r="AM24" s="1231" t="n"/>
      <c r="AN24" s="1225">
        <f>AL24/$AL$58%</f>
        <v/>
      </c>
      <c r="AO24" s="1229" t="n"/>
      <c r="AP24" s="1230" t="n"/>
      <c r="AQ24" s="1231" t="n"/>
      <c r="AR24" s="1225">
        <f>AP24/$AP$58%</f>
        <v/>
      </c>
      <c r="AS24" s="1229" t="n"/>
      <c r="AT24" s="1230" t="n"/>
      <c r="AU24" s="1231" t="n"/>
      <c r="AV24" s="1225">
        <f>AT24/$AT$58%</f>
        <v/>
      </c>
      <c r="AW24" s="1223">
        <f>E24+I24+M24+Q24+U24+Y24+AC24+AG24+AK24+AO24+AS24</f>
        <v/>
      </c>
      <c r="AX24" s="1223">
        <f>F24+J24+N24+R24+V24+Z24+AD24+AH24+AL24+AP24+AT24</f>
        <v/>
      </c>
      <c r="AY24" s="1231">
        <f>AX24/AW24*100-100</f>
        <v/>
      </c>
      <c r="AZ24" s="451">
        <f>AX24/$AX$58%</f>
        <v/>
      </c>
    </row>
    <row r="25" ht="19.95" customFormat="1" customHeight="1" s="310">
      <c r="A25" s="480" t="n"/>
      <c r="B25" s="313" t="inlineStr">
        <is>
          <t>Lime</t>
        </is>
      </c>
      <c r="C25" s="314" t="n"/>
      <c r="D25" s="483" t="n"/>
      <c r="E25" s="1226">
        <f>SUM(E24)</f>
        <v/>
      </c>
      <c r="F25" s="1227">
        <f>SUM(F24)</f>
        <v/>
      </c>
      <c r="G25" s="1228">
        <f>F25/E25*100-100</f>
        <v/>
      </c>
      <c r="H25" s="1225">
        <f>F25/$F$58%</f>
        <v/>
      </c>
      <c r="I25" s="1226">
        <f>SUM(I24)</f>
        <v/>
      </c>
      <c r="J25" s="1227">
        <f>SUM(J24)</f>
        <v/>
      </c>
      <c r="K25" s="1228">
        <f>J25/I25*100-100</f>
        <v/>
      </c>
      <c r="L25" s="1225">
        <f>J25/$J$58%</f>
        <v/>
      </c>
      <c r="M25" s="1226">
        <f>SUM(M24)</f>
        <v/>
      </c>
      <c r="N25" s="1227">
        <f>SUM(N24)</f>
        <v/>
      </c>
      <c r="O25" s="1228">
        <f>N25/M25*100-100</f>
        <v/>
      </c>
      <c r="P25" s="1225">
        <f>N25/$N$58%</f>
        <v/>
      </c>
      <c r="Q25" s="1226">
        <f>SUM(Q24)</f>
        <v/>
      </c>
      <c r="R25" s="1227">
        <f>SUM(R24)</f>
        <v/>
      </c>
      <c r="S25" s="1228">
        <f>R25/Q25*100-100</f>
        <v/>
      </c>
      <c r="T25" s="1225">
        <f>R25/$R$58%</f>
        <v/>
      </c>
      <c r="U25" s="1226">
        <f>SUM(U24)</f>
        <v/>
      </c>
      <c r="V25" s="1227">
        <f>SUM(V24)</f>
        <v/>
      </c>
      <c r="W25" s="1228">
        <f>V25/U25*100-100</f>
        <v/>
      </c>
      <c r="X25" s="1225">
        <f>V25/$V$58%</f>
        <v/>
      </c>
      <c r="Y25" s="1226">
        <f>SUM(Y24)</f>
        <v/>
      </c>
      <c r="Z25" s="1227">
        <f>SUM(Z24)</f>
        <v/>
      </c>
      <c r="AA25" s="1228">
        <f>Z25/Y25*100-100</f>
        <v/>
      </c>
      <c r="AB25" s="1225">
        <f>Z25/$Z$58%</f>
        <v/>
      </c>
      <c r="AC25" s="1226">
        <f>SUM(AC24)</f>
        <v/>
      </c>
      <c r="AD25" s="1227">
        <f>SUM(AD24)</f>
        <v/>
      </c>
      <c r="AE25" s="1228" t="n"/>
      <c r="AF25" s="514">
        <f>AD25/$AD$58%</f>
        <v/>
      </c>
      <c r="AG25" s="1226">
        <f>SUM(AG24)</f>
        <v/>
      </c>
      <c r="AH25" s="1227">
        <f>SUM(AH24)</f>
        <v/>
      </c>
      <c r="AI25" s="1228" t="n"/>
      <c r="AJ25" s="1225">
        <f>AH25/$AH$58%</f>
        <v/>
      </c>
      <c r="AK25" s="1226">
        <f>SUM(AK24)</f>
        <v/>
      </c>
      <c r="AL25" s="1227">
        <f>SUM(AL24)</f>
        <v/>
      </c>
      <c r="AM25" s="1228" t="n"/>
      <c r="AN25" s="1225">
        <f>AL25/$AL$58%</f>
        <v/>
      </c>
      <c r="AO25" s="1226">
        <f>SUM(AO24)</f>
        <v/>
      </c>
      <c r="AP25" s="1227">
        <f>SUM(AP24)</f>
        <v/>
      </c>
      <c r="AQ25" s="1228" t="n"/>
      <c r="AR25" s="1225">
        <f>AP25/$AP$58%</f>
        <v/>
      </c>
      <c r="AS25" s="1226">
        <f>SUM(AS24)</f>
        <v/>
      </c>
      <c r="AT25" s="1227">
        <f>SUM(AT24)</f>
        <v/>
      </c>
      <c r="AU25" s="1228" t="n"/>
      <c r="AV25" s="1225">
        <f>AT25/$AT$58%</f>
        <v/>
      </c>
      <c r="AW25" s="1223">
        <f>E25+I25+M25+Q25+U25+Y25+AC25+AG25+AK25+AO25+AS25</f>
        <v/>
      </c>
      <c r="AX25" s="1223">
        <f>F25+J25+N25+R25+V25+Z25+AD25+AH25+AL25+AP25+AT25</f>
        <v/>
      </c>
      <c r="AY25" s="1228">
        <f>AX25/AW25*100-100</f>
        <v/>
      </c>
      <c r="AZ25" s="451">
        <f>AX25/$AX$58%</f>
        <v/>
      </c>
    </row>
    <row r="26" ht="19.95" customHeight="1">
      <c r="A26" s="478" t="n">
        <v>17</v>
      </c>
      <c r="B26" s="233" t="inlineStr">
        <is>
          <t>2 in 1 မန်ကျည်း</t>
        </is>
      </c>
      <c r="C26" s="152" t="n">
        <v>0.64</v>
      </c>
      <c r="D26" s="482" t="inlineStr">
        <is>
          <t>1 * 14</t>
        </is>
      </c>
      <c r="E26" s="1229" t="n"/>
      <c r="F26" s="1230" t="n"/>
      <c r="G26" s="1231" t="n"/>
      <c r="H26" s="1225">
        <f>F26/$F$58%</f>
        <v/>
      </c>
      <c r="I26" s="1229" t="n"/>
      <c r="J26" s="1230" t="n"/>
      <c r="K26" s="1231" t="n"/>
      <c r="L26" s="1225">
        <f>J26/$J$58%</f>
        <v/>
      </c>
      <c r="M26" s="1229" t="n"/>
      <c r="N26" s="1230" t="n"/>
      <c r="O26" s="1231" t="n"/>
      <c r="P26" s="1225">
        <f>N26/$N$58%</f>
        <v/>
      </c>
      <c r="Q26" s="1229" t="n">
        <v>1568</v>
      </c>
      <c r="R26" s="1230" t="n">
        <v>927.36</v>
      </c>
      <c r="S26" s="1231">
        <f>R26/Q26*100-100</f>
        <v/>
      </c>
      <c r="T26" s="1225">
        <f>R26/$R$58%</f>
        <v/>
      </c>
      <c r="U26" s="1229" t="n"/>
      <c r="V26" s="1230" t="n"/>
      <c r="W26" s="1231" t="n"/>
      <c r="X26" s="1225">
        <f>V26/$V$58%</f>
        <v/>
      </c>
      <c r="Y26" s="1229" t="n"/>
      <c r="Z26" s="1230" t="n"/>
      <c r="AA26" s="1231" t="n"/>
      <c r="AB26" s="1225">
        <f>Z26/$Z$58%</f>
        <v/>
      </c>
      <c r="AC26" s="1229" t="n"/>
      <c r="AD26" s="1230" t="n"/>
      <c r="AE26" s="1231" t="n"/>
      <c r="AF26" s="514">
        <f>AD26/$AD$58%</f>
        <v/>
      </c>
      <c r="AG26" s="1229" t="n"/>
      <c r="AH26" s="1230" t="n"/>
      <c r="AI26" s="1231" t="n"/>
      <c r="AJ26" s="1225">
        <f>AH26/$AH$58%</f>
        <v/>
      </c>
      <c r="AK26" s="1229" t="n"/>
      <c r="AL26" s="1230" t="n"/>
      <c r="AM26" s="1231" t="n"/>
      <c r="AN26" s="1225">
        <f>AL26/$AL$58%</f>
        <v/>
      </c>
      <c r="AO26" s="1229" t="n">
        <v>537.5</v>
      </c>
      <c r="AP26" s="1230" t="n">
        <v>268.8</v>
      </c>
      <c r="AQ26" s="1231">
        <f>AP26/AO26*100-100</f>
        <v/>
      </c>
      <c r="AR26" s="1225">
        <f>AP26/$AP$58%</f>
        <v/>
      </c>
      <c r="AS26" s="1229" t="n">
        <v>1142.4</v>
      </c>
      <c r="AT26" s="1230" t="n">
        <v>1702.4</v>
      </c>
      <c r="AU26" s="1231">
        <f>AT26/AS26*100-100</f>
        <v/>
      </c>
      <c r="AV26" s="1225">
        <f>AT26/$AT$58%</f>
        <v/>
      </c>
      <c r="AW26" s="1223">
        <f>E26+I26+M26+Q26+U26+Y26+AC26+AG26+AK26+AO26+AS26</f>
        <v/>
      </c>
      <c r="AX26" s="1223">
        <f>F26+J26+N26+R26+V26+Z26+AD26+AH26+AL26+AP26+AT26</f>
        <v/>
      </c>
      <c r="AY26" s="1231">
        <f>AX26/AW26*100-100</f>
        <v/>
      </c>
      <c r="AZ26" s="451">
        <f>AX26/$AX$58%</f>
        <v/>
      </c>
    </row>
    <row r="27" ht="19.95" customFormat="1" customHeight="1" s="310">
      <c r="A27" s="480" t="n"/>
      <c r="B27" s="316" t="inlineStr">
        <is>
          <t>2 in 1  Magi</t>
        </is>
      </c>
      <c r="C27" s="314" t="n"/>
      <c r="D27" s="483" t="n"/>
      <c r="E27" s="1226">
        <f>SUM(E26)</f>
        <v/>
      </c>
      <c r="F27" s="1227">
        <f>SUM(F26)</f>
        <v/>
      </c>
      <c r="G27" s="1228" t="n"/>
      <c r="H27" s="1225">
        <f>F27/$F$58%</f>
        <v/>
      </c>
      <c r="I27" s="1226">
        <f>SUM(I26)</f>
        <v/>
      </c>
      <c r="J27" s="1227">
        <f>SUM(J26)</f>
        <v/>
      </c>
      <c r="K27" s="1228" t="n"/>
      <c r="L27" s="1225">
        <f>J27/$J$58%</f>
        <v/>
      </c>
      <c r="M27" s="1226">
        <f>SUM(M26)</f>
        <v/>
      </c>
      <c r="N27" s="1227">
        <f>SUM(N26)</f>
        <v/>
      </c>
      <c r="O27" s="1228" t="n"/>
      <c r="P27" s="1225">
        <f>N27/$N$58%</f>
        <v/>
      </c>
      <c r="Q27" s="1226">
        <f>SUM(Q26)</f>
        <v/>
      </c>
      <c r="R27" s="1227">
        <f>SUM(R26)</f>
        <v/>
      </c>
      <c r="S27" s="1228">
        <f>R27/Q27*100-100</f>
        <v/>
      </c>
      <c r="T27" s="1225">
        <f>R27/$R$58%</f>
        <v/>
      </c>
      <c r="U27" s="1226">
        <f>SUM(U26)</f>
        <v/>
      </c>
      <c r="V27" s="1227">
        <f>SUM(V26)</f>
        <v/>
      </c>
      <c r="W27" s="1228" t="n"/>
      <c r="X27" s="1225">
        <f>V27/$V$58%</f>
        <v/>
      </c>
      <c r="Y27" s="1226">
        <f>SUM(Y26)</f>
        <v/>
      </c>
      <c r="Z27" s="1227">
        <f>SUM(Z26)</f>
        <v/>
      </c>
      <c r="AA27" s="1228" t="n"/>
      <c r="AB27" s="1225">
        <f>Z27/$Z$58%</f>
        <v/>
      </c>
      <c r="AC27" s="1226">
        <f>SUM(AC26)</f>
        <v/>
      </c>
      <c r="AD27" s="1227">
        <f>SUM(AD26)</f>
        <v/>
      </c>
      <c r="AE27" s="1228" t="n"/>
      <c r="AF27" s="514">
        <f>AD27/$AD$58%</f>
        <v/>
      </c>
      <c r="AG27" s="1226">
        <f>SUM(AG26)</f>
        <v/>
      </c>
      <c r="AH27" s="1227">
        <f>SUM(AH26)</f>
        <v/>
      </c>
      <c r="AI27" s="1228" t="n"/>
      <c r="AJ27" s="1225">
        <f>AH27/$AH$58%</f>
        <v/>
      </c>
      <c r="AK27" s="1226">
        <f>SUM(AK26)</f>
        <v/>
      </c>
      <c r="AL27" s="1227">
        <f>SUM(AL26)</f>
        <v/>
      </c>
      <c r="AM27" s="1228" t="n"/>
      <c r="AN27" s="1225">
        <f>AL27/$AL$58%</f>
        <v/>
      </c>
      <c r="AO27" s="1226">
        <f>SUM(AO26)</f>
        <v/>
      </c>
      <c r="AP27" s="1227">
        <f>SUM(AP26)</f>
        <v/>
      </c>
      <c r="AQ27" s="1228">
        <f>AP27/AO27*100-100</f>
        <v/>
      </c>
      <c r="AR27" s="1225">
        <f>AP27/$AP$58%</f>
        <v/>
      </c>
      <c r="AS27" s="1226">
        <f>SUM(AS26)</f>
        <v/>
      </c>
      <c r="AT27" s="1227">
        <f>SUM(AT26)</f>
        <v/>
      </c>
      <c r="AU27" s="1228">
        <f>AT27/AS27*100-100</f>
        <v/>
      </c>
      <c r="AV27" s="1225">
        <f>AT27/$AT$58%</f>
        <v/>
      </c>
      <c r="AW27" s="1223">
        <f>E27+I27+M27+Q27+U27+Y27+AC27+AG27+AK27+AO27+AS27</f>
        <v/>
      </c>
      <c r="AX27" s="1223">
        <f>F27+J27+N27+R27+V27+Z27+AD27+AH27+AL27+AP27+AT27</f>
        <v/>
      </c>
      <c r="AY27" s="1228">
        <f>AX27/AW27*100-100</f>
        <v/>
      </c>
      <c r="AZ27" s="451">
        <f>AX27/$AX$58%</f>
        <v/>
      </c>
    </row>
    <row r="28" ht="19.95" customHeight="1">
      <c r="A28" s="478" t="n">
        <v>18</v>
      </c>
      <c r="B28" s="164" t="inlineStr">
        <is>
          <t>Dagon tamarind</t>
        </is>
      </c>
      <c r="C28" s="152" t="n">
        <v>0.64</v>
      </c>
      <c r="D28" s="482" t="inlineStr">
        <is>
          <t>1 * 14</t>
        </is>
      </c>
      <c r="E28" s="1229" t="n"/>
      <c r="F28" s="1230" t="n"/>
      <c r="G28" s="1231" t="n"/>
      <c r="H28" s="1225">
        <f>F28/$F$58%</f>
        <v/>
      </c>
      <c r="I28" s="1229" t="n"/>
      <c r="J28" s="1230" t="n"/>
      <c r="K28" s="1231" t="n"/>
      <c r="L28" s="1225">
        <f>J28/$J$58%</f>
        <v/>
      </c>
      <c r="M28" s="1229" t="n">
        <v>8.960000000000001</v>
      </c>
      <c r="N28" s="1230" t="n"/>
      <c r="O28" s="1231">
        <f>N28/M28*100-100</f>
        <v/>
      </c>
      <c r="P28" s="1225">
        <f>N28/$N$58%</f>
        <v/>
      </c>
      <c r="Q28" s="1229" t="n">
        <v>85.12</v>
      </c>
      <c r="R28" s="1230" t="n">
        <v>138.88</v>
      </c>
      <c r="S28" s="1231">
        <f>R28/Q28*100-100</f>
        <v/>
      </c>
      <c r="T28" s="1225">
        <f>R28/$R$58%</f>
        <v/>
      </c>
      <c r="U28" s="1229" t="n"/>
      <c r="V28" s="1230" t="n"/>
      <c r="W28" s="1231" t="n"/>
      <c r="X28" s="1225">
        <f>V28/$V$58%</f>
        <v/>
      </c>
      <c r="Y28" s="1229" t="n">
        <v>4.48</v>
      </c>
      <c r="Z28" s="1230" t="n"/>
      <c r="AA28" s="1231">
        <f>Z28/Y28*100-100</f>
        <v/>
      </c>
      <c r="AB28" s="1225">
        <f>Z28/$Z$58%</f>
        <v/>
      </c>
      <c r="AC28" s="1229" t="n">
        <v>22.4</v>
      </c>
      <c r="AD28" s="1230" t="n"/>
      <c r="AE28" s="1231">
        <f>AD28/AC28*100-100</f>
        <v/>
      </c>
      <c r="AF28" s="514">
        <f>AD28/$AD$58%</f>
        <v/>
      </c>
      <c r="AG28" s="1229" t="n"/>
      <c r="AH28" s="1230" t="n"/>
      <c r="AI28" s="1231" t="n"/>
      <c r="AJ28" s="1225">
        <f>AH28/$AH$58%</f>
        <v/>
      </c>
      <c r="AK28" s="1229" t="n"/>
      <c r="AL28" s="1230" t="n"/>
      <c r="AM28" s="1231" t="n"/>
      <c r="AN28" s="1225">
        <f>AL28/$AL$58%</f>
        <v/>
      </c>
      <c r="AO28" s="1229" t="n"/>
      <c r="AP28" s="1230" t="n"/>
      <c r="AQ28" s="1231" t="n"/>
      <c r="AR28" s="1225">
        <f>AP28/$AP$58%</f>
        <v/>
      </c>
      <c r="AS28" s="1229" t="n"/>
      <c r="AT28" s="1230" t="n"/>
      <c r="AU28" s="1231" t="n"/>
      <c r="AV28" s="1225">
        <f>AT28/$AT$58%</f>
        <v/>
      </c>
      <c r="AW28" s="1223">
        <f>E28+I28+M28+Q28+U28+Y28+AC28+AG28+AK28+AO28+AS28</f>
        <v/>
      </c>
      <c r="AX28" s="1223">
        <f>F28+J28+N28+R28+V28+Z28+AD28+AH28+AL28+AP28+AT28</f>
        <v/>
      </c>
      <c r="AY28" s="1231">
        <f>AX28/AW28*100-100</f>
        <v/>
      </c>
      <c r="AZ28" s="451">
        <f>AX28/$AX$58%</f>
        <v/>
      </c>
    </row>
    <row r="29" ht="19.95" customFormat="1" customHeight="1" s="310">
      <c r="A29" s="480" t="n"/>
      <c r="B29" s="510" t="inlineStr">
        <is>
          <t>Dagon tamarind</t>
        </is>
      </c>
      <c r="C29" s="314" t="n"/>
      <c r="D29" s="483" t="n"/>
      <c r="E29" s="1226">
        <f>SUM(E28)</f>
        <v/>
      </c>
      <c r="F29" s="1226">
        <f>SUM(F28)</f>
        <v/>
      </c>
      <c r="G29" s="1228" t="n"/>
      <c r="H29" s="1225">
        <f>F29/$F$58%</f>
        <v/>
      </c>
      <c r="I29" s="1226">
        <f>SUM(I28)</f>
        <v/>
      </c>
      <c r="J29" s="1226">
        <f>SUM(J28)</f>
        <v/>
      </c>
      <c r="K29" s="1228" t="n"/>
      <c r="L29" s="1225">
        <f>J29/$J$58%</f>
        <v/>
      </c>
      <c r="M29" s="1226">
        <f>SUM(M28)</f>
        <v/>
      </c>
      <c r="N29" s="1226">
        <f>SUM(N28)</f>
        <v/>
      </c>
      <c r="O29" s="1228" t="n"/>
      <c r="P29" s="1225">
        <f>N29/$N$58%</f>
        <v/>
      </c>
      <c r="Q29" s="1226">
        <f>SUM(Q28)</f>
        <v/>
      </c>
      <c r="R29" s="1226">
        <f>SUM(R28)</f>
        <v/>
      </c>
      <c r="S29" s="1228" t="n"/>
      <c r="T29" s="1225">
        <f>R29/$R$58%</f>
        <v/>
      </c>
      <c r="U29" s="1226">
        <f>SUM(U28)</f>
        <v/>
      </c>
      <c r="V29" s="1226">
        <f>SUM(V28)</f>
        <v/>
      </c>
      <c r="W29" s="1228" t="n"/>
      <c r="X29" s="1225">
        <f>V29/$V$58%</f>
        <v/>
      </c>
      <c r="Y29" s="1226">
        <f>SUM(Y28)</f>
        <v/>
      </c>
      <c r="Z29" s="1226">
        <f>SUM(Z28)</f>
        <v/>
      </c>
      <c r="AA29" s="1228" t="n"/>
      <c r="AB29" s="1225">
        <f>Z29/$Z$58%</f>
        <v/>
      </c>
      <c r="AC29" s="1226">
        <f>SUM(AC28)</f>
        <v/>
      </c>
      <c r="AD29" s="1226">
        <f>SUM(AD28)</f>
        <v/>
      </c>
      <c r="AE29" s="1228" t="n"/>
      <c r="AF29" s="514">
        <f>AD29/$AD$58%</f>
        <v/>
      </c>
      <c r="AG29" s="1226">
        <f>SUM(AG28)</f>
        <v/>
      </c>
      <c r="AH29" s="1226">
        <f>SUM(AH28)</f>
        <v/>
      </c>
      <c r="AI29" s="1228" t="n"/>
      <c r="AJ29" s="1225">
        <f>AH29/$AH$58%</f>
        <v/>
      </c>
      <c r="AK29" s="1226">
        <f>SUM(AK28)</f>
        <v/>
      </c>
      <c r="AL29" s="1226">
        <f>SUM(AL28)</f>
        <v/>
      </c>
      <c r="AM29" s="1228" t="n"/>
      <c r="AN29" s="1225">
        <f>AL29/$AL$58%</f>
        <v/>
      </c>
      <c r="AO29" s="1226">
        <f>SUM(AO28)</f>
        <v/>
      </c>
      <c r="AP29" s="1226">
        <f>SUM(AP28)</f>
        <v/>
      </c>
      <c r="AQ29" s="1228" t="n"/>
      <c r="AR29" s="1225">
        <f>AP29/$AP$58%</f>
        <v/>
      </c>
      <c r="AS29" s="1226">
        <f>SUM(AS28)</f>
        <v/>
      </c>
      <c r="AT29" s="1226">
        <f>SUM(AT28)</f>
        <v/>
      </c>
      <c r="AU29" s="1228" t="n"/>
      <c r="AV29" s="1225">
        <f>AT29/$AT$58%</f>
        <v/>
      </c>
      <c r="AW29" s="1223">
        <f>E29+I29+M29+Q29+U29+Y29+AC29+AG29+AK29+AO29+AS29</f>
        <v/>
      </c>
      <c r="AX29" s="1223">
        <f>F29+J29+N29+R29+V29+Z29+AD29+AH29+AL29+AP29+AT29</f>
        <v/>
      </c>
      <c r="AY29" s="1228" t="n"/>
      <c r="AZ29" s="451">
        <f>AX29/$AX$58%</f>
        <v/>
      </c>
    </row>
    <row r="30" ht="19.95" customHeight="1">
      <c r="A30" s="478" t="n">
        <v>19</v>
      </c>
      <c r="B30" s="164" t="inlineStr">
        <is>
          <t xml:space="preserve">Dagon Pineapple </t>
        </is>
      </c>
      <c r="C30" s="152" t="n">
        <v>0.64</v>
      </c>
      <c r="D30" s="482" t="inlineStr">
        <is>
          <t>1 * 24</t>
        </is>
      </c>
      <c r="E30" s="1229" t="n">
        <v>483.84</v>
      </c>
      <c r="F30" s="1230" t="n">
        <v>844.8000000000001</v>
      </c>
      <c r="G30" s="1231">
        <f>F30/E30*100-100</f>
        <v/>
      </c>
      <c r="H30" s="1225">
        <f>F30/$F$58%</f>
        <v/>
      </c>
      <c r="I30" s="1229" t="n"/>
      <c r="J30" s="1230" t="n"/>
      <c r="K30" s="1231" t="n"/>
      <c r="L30" s="1225">
        <f>J30/$J$58%</f>
        <v/>
      </c>
      <c r="M30" s="1229" t="n"/>
      <c r="N30" s="1230" t="n"/>
      <c r="O30" s="1231" t="n"/>
      <c r="P30" s="1225">
        <f>N30/$N$58%</f>
        <v/>
      </c>
      <c r="Q30" s="1229" t="n">
        <v>4715.52</v>
      </c>
      <c r="R30" s="1230" t="n">
        <v>3256.32</v>
      </c>
      <c r="S30" s="1231">
        <f>R30/Q30*100-100</f>
        <v/>
      </c>
      <c r="T30" s="1225">
        <f>R30/$R$58%</f>
        <v/>
      </c>
      <c r="U30" s="1229" t="n"/>
      <c r="V30" s="1230" t="n"/>
      <c r="W30" s="1231" t="n"/>
      <c r="X30" s="1225">
        <f>V30/$V$58%</f>
        <v/>
      </c>
      <c r="Y30" s="1229" t="n">
        <v>230.4</v>
      </c>
      <c r="Z30" s="1230" t="n">
        <v>268.8</v>
      </c>
      <c r="AA30" s="1231">
        <f>Z30/Y30*100-100</f>
        <v/>
      </c>
      <c r="AB30" s="1225">
        <f>Z30/$Z$58%</f>
        <v/>
      </c>
      <c r="AC30" s="1229" t="n"/>
      <c r="AD30" s="1230" t="n"/>
      <c r="AE30" s="1231" t="n"/>
      <c r="AF30" s="514">
        <f>AD30/$AD$58%</f>
        <v/>
      </c>
      <c r="AG30" s="1229" t="n"/>
      <c r="AH30" s="1230" t="n"/>
      <c r="AI30" s="1231" t="n"/>
      <c r="AJ30" s="1225">
        <f>AH30/$AH$58%</f>
        <v/>
      </c>
      <c r="AK30" s="1229" t="n">
        <v>1344</v>
      </c>
      <c r="AL30" s="1230" t="n">
        <v>3264</v>
      </c>
      <c r="AM30" s="1231">
        <f>AL30/AK30*100-100</f>
        <v/>
      </c>
      <c r="AN30" s="1225">
        <f>AL30/$AL$58%</f>
        <v/>
      </c>
      <c r="AO30" s="1229" t="n"/>
      <c r="AP30" s="1230" t="n"/>
      <c r="AQ30" s="1231" t="n"/>
      <c r="AR30" s="1225">
        <f>AP30/$AP$58%</f>
        <v/>
      </c>
      <c r="AS30" s="1229" t="n"/>
      <c r="AT30" s="1230" t="n"/>
      <c r="AU30" s="1231" t="n"/>
      <c r="AV30" s="1225">
        <f>AT30/$AT$58%</f>
        <v/>
      </c>
      <c r="AW30" s="1223">
        <f>E30+I30+M30+Q30+U30+Y30+AC30+AG30+AK30+AO30+AS30</f>
        <v/>
      </c>
      <c r="AX30" s="1223">
        <f>F30+J30+N30+R30+V30+Z30+AD30+AH30+AL30+AP30+AT30</f>
        <v/>
      </c>
      <c r="AY30" s="1231">
        <f>AX30/AW30*100-100</f>
        <v/>
      </c>
      <c r="AZ30" s="451">
        <f>AX30/$AX$58%</f>
        <v/>
      </c>
    </row>
    <row r="31" ht="19.95" customFormat="1" customHeight="1" s="310">
      <c r="A31" s="480" t="n"/>
      <c r="B31" s="510" t="inlineStr">
        <is>
          <t xml:space="preserve">Dagon Pineapple </t>
        </is>
      </c>
      <c r="C31" s="314" t="n"/>
      <c r="D31" s="483" t="n"/>
      <c r="E31" s="1226">
        <f>SUM(E30)</f>
        <v/>
      </c>
      <c r="F31" s="1226">
        <f>SUM(F30)</f>
        <v/>
      </c>
      <c r="G31" s="1228">
        <f>F31/E31*100-100</f>
        <v/>
      </c>
      <c r="H31" s="1225">
        <f>F31/$F$58%</f>
        <v/>
      </c>
      <c r="I31" s="1226">
        <f>SUM(I30)</f>
        <v/>
      </c>
      <c r="J31" s="1226">
        <f>SUM(J30)</f>
        <v/>
      </c>
      <c r="K31" s="1228" t="n"/>
      <c r="L31" s="1225">
        <f>J31/$J$58%</f>
        <v/>
      </c>
      <c r="M31" s="1226">
        <f>SUM(M30)</f>
        <v/>
      </c>
      <c r="N31" s="1226">
        <f>SUM(N30)</f>
        <v/>
      </c>
      <c r="O31" s="1228" t="n"/>
      <c r="P31" s="1225">
        <f>N31/$N$58%</f>
        <v/>
      </c>
      <c r="Q31" s="1226">
        <f>SUM(Q30)</f>
        <v/>
      </c>
      <c r="R31" s="1226">
        <f>SUM(R30)</f>
        <v/>
      </c>
      <c r="S31" s="1228" t="n"/>
      <c r="T31" s="1225">
        <f>R31/$R$58%</f>
        <v/>
      </c>
      <c r="U31" s="1226">
        <f>SUM(U30)</f>
        <v/>
      </c>
      <c r="V31" s="1226">
        <f>SUM(V30)</f>
        <v/>
      </c>
      <c r="W31" s="1228" t="n"/>
      <c r="X31" s="1225">
        <f>V31/$V$58%</f>
        <v/>
      </c>
      <c r="Y31" s="1226">
        <f>SUM(Y30)</f>
        <v/>
      </c>
      <c r="Z31" s="1226">
        <f>SUM(Z30)</f>
        <v/>
      </c>
      <c r="AA31" s="1228" t="n"/>
      <c r="AB31" s="1225">
        <f>Z31/$Z$58%</f>
        <v/>
      </c>
      <c r="AC31" s="1226">
        <f>SUM(AC30)</f>
        <v/>
      </c>
      <c r="AD31" s="1226">
        <f>SUM(AD30)</f>
        <v/>
      </c>
      <c r="AE31" s="1228" t="n"/>
      <c r="AF31" s="514">
        <f>AD31/$AD$58%</f>
        <v/>
      </c>
      <c r="AG31" s="1226">
        <f>SUM(AG30)</f>
        <v/>
      </c>
      <c r="AH31" s="1226">
        <f>SUM(AH30)</f>
        <v/>
      </c>
      <c r="AI31" s="1228" t="n"/>
      <c r="AJ31" s="1225">
        <f>AH31/$AH$58%</f>
        <v/>
      </c>
      <c r="AK31" s="1226">
        <f>SUM(AK30)</f>
        <v/>
      </c>
      <c r="AL31" s="1226">
        <f>SUM(AL30)</f>
        <v/>
      </c>
      <c r="AM31" s="1228" t="n"/>
      <c r="AN31" s="1225">
        <f>AL31/$AL$58%</f>
        <v/>
      </c>
      <c r="AO31" s="1226">
        <f>SUM(AO30)</f>
        <v/>
      </c>
      <c r="AP31" s="1226">
        <f>SUM(AP30)</f>
        <v/>
      </c>
      <c r="AQ31" s="1228" t="n"/>
      <c r="AR31" s="1225">
        <f>AP31/$AP$58%</f>
        <v/>
      </c>
      <c r="AS31" s="1226">
        <f>SUM(AS30)</f>
        <v/>
      </c>
      <c r="AT31" s="1226">
        <f>SUM(AT30)</f>
        <v/>
      </c>
      <c r="AU31" s="1228" t="n"/>
      <c r="AV31" s="1225">
        <f>AT31/$AT$58%</f>
        <v/>
      </c>
      <c r="AW31" s="1223">
        <f>E31+I31+M31+Q31+U31+Y31+AC31+AG31+AK31+AO31+AS31</f>
        <v/>
      </c>
      <c r="AX31" s="1223">
        <f>F31+J31+N31+R31+V31+Z31+AD31+AH31+AL31+AP31+AT31</f>
        <v/>
      </c>
      <c r="AY31" s="1228" t="n"/>
      <c r="AZ31" s="451">
        <f>AX31/$AX$58%</f>
        <v/>
      </c>
    </row>
    <row r="32" ht="19.95" customHeight="1">
      <c r="A32" s="478" t="n">
        <v>20</v>
      </c>
      <c r="B32" s="164" t="inlineStr">
        <is>
          <t xml:space="preserve">Dagon </t>
        </is>
      </c>
      <c r="C32" s="152" t="n">
        <v>0.64</v>
      </c>
      <c r="D32" s="482" t="inlineStr">
        <is>
          <t>1 * 14</t>
        </is>
      </c>
      <c r="E32" s="1229" t="n">
        <v>3982.72</v>
      </c>
      <c r="F32" s="1230" t="n">
        <v>6442.240000000001</v>
      </c>
      <c r="G32" s="1231">
        <f>F32/E32*100-100</f>
        <v/>
      </c>
      <c r="H32" s="1225">
        <f>F32/$F$58%</f>
        <v/>
      </c>
      <c r="I32" s="1229" t="n">
        <v>1859.2</v>
      </c>
      <c r="J32" s="1230" t="n">
        <v>268.8</v>
      </c>
      <c r="K32" s="1231">
        <f>J32/I32*100-100</f>
        <v/>
      </c>
      <c r="L32" s="1225">
        <f>J32/$J$58%</f>
        <v/>
      </c>
      <c r="M32" s="1229" t="n"/>
      <c r="N32" s="1230" t="n"/>
      <c r="O32" s="1231" t="n"/>
      <c r="P32" s="1225">
        <f>N32/$N$58%</f>
        <v/>
      </c>
      <c r="Q32" s="1229" t="n">
        <v>2244.48</v>
      </c>
      <c r="R32" s="1230" t="n">
        <v>3095.68</v>
      </c>
      <c r="S32" s="1231">
        <f>R32/Q32*100-100</f>
        <v/>
      </c>
      <c r="T32" s="1225">
        <f>R32/$R$58%</f>
        <v/>
      </c>
      <c r="U32" s="1229" t="n">
        <v>2307.2</v>
      </c>
      <c r="V32" s="1230" t="n">
        <v>2105.6</v>
      </c>
      <c r="W32" s="1231">
        <f>V32/U32*100-100</f>
        <v/>
      </c>
      <c r="X32" s="1225">
        <f>V32/$V$58%</f>
        <v/>
      </c>
      <c r="Y32" s="1229" t="n"/>
      <c r="Z32" s="1230" t="n"/>
      <c r="AA32" s="1231" t="n"/>
      <c r="AB32" s="1225">
        <f>Z32/$Z$58%</f>
        <v/>
      </c>
      <c r="AC32" s="1229" t="n"/>
      <c r="AD32" s="1230" t="n"/>
      <c r="AE32" s="1231" t="n"/>
      <c r="AF32" s="514">
        <f>AD32/$AD$58%</f>
        <v/>
      </c>
      <c r="AG32" s="1229" t="n"/>
      <c r="AH32" s="1230" t="n"/>
      <c r="AI32" s="1231" t="n"/>
      <c r="AJ32" s="1225">
        <f>AH32/$AH$58%</f>
        <v/>
      </c>
      <c r="AK32" s="1229" t="n"/>
      <c r="AL32" s="1230" t="n"/>
      <c r="AM32" s="1231" t="n"/>
      <c r="AN32" s="1225">
        <f>AL32/$AL$58%</f>
        <v/>
      </c>
      <c r="AO32" s="1229" t="n"/>
      <c r="AP32" s="1230" t="n"/>
      <c r="AQ32" s="1231" t="n"/>
      <c r="AR32" s="1225">
        <f>AP32/$AP$58%</f>
        <v/>
      </c>
      <c r="AS32" s="1229" t="n"/>
      <c r="AT32" s="1230" t="n"/>
      <c r="AU32" s="1231" t="n"/>
      <c r="AV32" s="1225">
        <f>AT32/$AT$58%</f>
        <v/>
      </c>
      <c r="AW32" s="1223">
        <f>E32+I32+M32+Q32+U32+Y32+AC32+AG32+AK32+AO32+AS32</f>
        <v/>
      </c>
      <c r="AX32" s="1223">
        <f>F32+J32+N32+R32+V32+Z32+AD32+AH32+AL32+AP32+AT32</f>
        <v/>
      </c>
      <c r="AY32" s="1231">
        <f>AX32/AW32*100-100</f>
        <v/>
      </c>
      <c r="AZ32" s="451">
        <f>AX32/$AX$58%</f>
        <v/>
      </c>
    </row>
    <row r="33" ht="19.95" customFormat="1" customHeight="1" s="310">
      <c r="A33" s="480" t="n"/>
      <c r="B33" s="313" t="inlineStr">
        <is>
          <t>Dagon</t>
        </is>
      </c>
      <c r="C33" s="314" t="n"/>
      <c r="D33" s="483" t="n"/>
      <c r="E33" s="1226">
        <f>SUM(E32)</f>
        <v/>
      </c>
      <c r="F33" s="1226">
        <f>SUM(F32)</f>
        <v/>
      </c>
      <c r="G33" s="1228">
        <f>F33/E33*100-100</f>
        <v/>
      </c>
      <c r="H33" s="1225">
        <f>F33/$F$58%</f>
        <v/>
      </c>
      <c r="I33" s="1226">
        <f>SUM(I32)</f>
        <v/>
      </c>
      <c r="J33" s="1226">
        <f>SUM(J32)</f>
        <v/>
      </c>
      <c r="K33" s="1228">
        <f>J33/I33*100-100</f>
        <v/>
      </c>
      <c r="L33" s="1225">
        <f>J33/$J$58%</f>
        <v/>
      </c>
      <c r="M33" s="1226">
        <f>SUM(M32)</f>
        <v/>
      </c>
      <c r="N33" s="1226">
        <f>SUM(N32)</f>
        <v/>
      </c>
      <c r="O33" s="1228" t="n"/>
      <c r="P33" s="1225">
        <f>N33/$N$58%</f>
        <v/>
      </c>
      <c r="Q33" s="1226">
        <f>SUM(Q32)</f>
        <v/>
      </c>
      <c r="R33" s="1226">
        <f>SUM(R32)</f>
        <v/>
      </c>
      <c r="S33" s="1228">
        <f>R33/Q33*100-100</f>
        <v/>
      </c>
      <c r="T33" s="1225">
        <f>R33/$R$58%</f>
        <v/>
      </c>
      <c r="U33" s="1226">
        <f>SUM(U32)</f>
        <v/>
      </c>
      <c r="V33" s="1226">
        <f>SUM(V32)</f>
        <v/>
      </c>
      <c r="W33" s="1228">
        <f>V33/U33*100-100</f>
        <v/>
      </c>
      <c r="X33" s="1225">
        <f>V33/$V$58%</f>
        <v/>
      </c>
      <c r="Y33" s="1226">
        <f>SUM(Y32)</f>
        <v/>
      </c>
      <c r="Z33" s="1226">
        <f>SUM(Z32)</f>
        <v/>
      </c>
      <c r="AA33" s="1228" t="n"/>
      <c r="AB33" s="1225">
        <f>Z33/$Z$58%</f>
        <v/>
      </c>
      <c r="AC33" s="1226">
        <f>SUM(AC32)</f>
        <v/>
      </c>
      <c r="AD33" s="1226">
        <f>SUM(AD32)</f>
        <v/>
      </c>
      <c r="AE33" s="1228" t="n"/>
      <c r="AF33" s="514">
        <f>AD33/$AD$58%</f>
        <v/>
      </c>
      <c r="AG33" s="1226">
        <f>SUM(AG32)</f>
        <v/>
      </c>
      <c r="AH33" s="1226">
        <f>SUM(AH32)</f>
        <v/>
      </c>
      <c r="AI33" s="1228" t="n"/>
      <c r="AJ33" s="1225">
        <f>AH33/$AH$58%</f>
        <v/>
      </c>
      <c r="AK33" s="1226">
        <f>SUM(AK32)</f>
        <v/>
      </c>
      <c r="AL33" s="1226">
        <f>SUM(AL32)</f>
        <v/>
      </c>
      <c r="AM33" s="1228" t="n"/>
      <c r="AN33" s="1225">
        <f>AL33/$AL$58%</f>
        <v/>
      </c>
      <c r="AO33" s="1226">
        <f>SUM(AO32)</f>
        <v/>
      </c>
      <c r="AP33" s="1226">
        <f>SUM(AP32)</f>
        <v/>
      </c>
      <c r="AQ33" s="1228" t="n"/>
      <c r="AR33" s="1225">
        <f>AP33/$AP$58%</f>
        <v/>
      </c>
      <c r="AS33" s="1226">
        <f>SUM(AS32)</f>
        <v/>
      </c>
      <c r="AT33" s="1226">
        <f>SUM(AT32)</f>
        <v/>
      </c>
      <c r="AU33" s="1228" t="n"/>
      <c r="AV33" s="1225">
        <f>AT33/$AT$58%</f>
        <v/>
      </c>
      <c r="AW33" s="1223">
        <f>E33+I33+M33+Q33+U33+Y33+AC33+AG33+AK33+AO33+AS33</f>
        <v/>
      </c>
      <c r="AX33" s="1223">
        <f>F33+J33+N33+R33+V33+Z33+AD33+AH33+AL33+AP33+AT33</f>
        <v/>
      </c>
      <c r="AY33" s="1228">
        <f>AX33/AW33*100-100</f>
        <v/>
      </c>
      <c r="AZ33" s="451">
        <f>AX33/$AX$58%</f>
        <v/>
      </c>
    </row>
    <row r="34" ht="19.95" customHeight="1">
      <c r="A34" s="478" t="n">
        <v>21</v>
      </c>
      <c r="B34" s="164" t="inlineStr">
        <is>
          <t>ချယ်ရီကော်ဘူး(0.6 Liter)</t>
        </is>
      </c>
      <c r="C34" s="152" t="n">
        <v>0.6</v>
      </c>
      <c r="D34" s="482" t="inlineStr">
        <is>
          <t>1 * 24</t>
        </is>
      </c>
      <c r="E34" s="1229" t="n">
        <v>439.2</v>
      </c>
      <c r="F34" s="1230" t="n">
        <v>432</v>
      </c>
      <c r="G34" s="1231">
        <f>F34/E34*100-100</f>
        <v/>
      </c>
      <c r="H34" s="1225">
        <f>F34/$F$58%</f>
        <v/>
      </c>
      <c r="I34" s="1229" t="n">
        <v>223.2</v>
      </c>
      <c r="J34" s="1230" t="n">
        <v>86.39999999999999</v>
      </c>
      <c r="K34" s="1231">
        <f>J34/I34*100-100</f>
        <v/>
      </c>
      <c r="L34" s="1225">
        <f>J34/$J$58%</f>
        <v/>
      </c>
      <c r="M34" s="1229" t="n">
        <v>1765.8</v>
      </c>
      <c r="N34" s="1230" t="n">
        <v>867.5999999999999</v>
      </c>
      <c r="O34" s="1231">
        <f>N34/M34*100-100</f>
        <v/>
      </c>
      <c r="P34" s="1225">
        <f>N34/$N$58%</f>
        <v/>
      </c>
      <c r="Q34" s="1229" t="n">
        <v>5983.200000000001</v>
      </c>
      <c r="R34" s="1230" t="n">
        <v>6883.199999999999</v>
      </c>
      <c r="S34" s="1231">
        <f>R34/Q34*100-100</f>
        <v/>
      </c>
      <c r="T34" s="1225">
        <f>R34/$R$58%</f>
        <v/>
      </c>
      <c r="U34" s="1229" t="n"/>
      <c r="V34" s="1230" t="n"/>
      <c r="W34" s="1231" t="n"/>
      <c r="X34" s="1225">
        <f>V34/$V$58%</f>
        <v/>
      </c>
      <c r="Y34" s="1229" t="n">
        <v>1980.9</v>
      </c>
      <c r="Z34" s="1230" t="n">
        <v>3289.8</v>
      </c>
      <c r="AA34" s="1231">
        <f>Z34/Y34*100-100</f>
        <v/>
      </c>
      <c r="AB34" s="1225">
        <f>Z34/$Z$58%</f>
        <v/>
      </c>
      <c r="AC34" s="1229" t="n">
        <v>11995.2</v>
      </c>
      <c r="AD34" s="1230" t="n">
        <v>6386.4</v>
      </c>
      <c r="AE34" s="1231">
        <f>AD34/AC34*100-100</f>
        <v/>
      </c>
      <c r="AF34" s="514">
        <f>AD34/$AD$58%</f>
        <v/>
      </c>
      <c r="AG34" s="1229" t="n"/>
      <c r="AH34" s="1230" t="n"/>
      <c r="AI34" s="1231" t="n"/>
      <c r="AJ34" s="1225">
        <f>AH34/$AH$58%</f>
        <v/>
      </c>
      <c r="AK34" s="1229" t="n"/>
      <c r="AL34" s="1230" t="n"/>
      <c r="AM34" s="1231" t="n"/>
      <c r="AN34" s="1225">
        <f>AL34/$AL$58%</f>
        <v/>
      </c>
      <c r="AO34" s="1229" t="n">
        <v>349.2</v>
      </c>
      <c r="AP34" s="1230" t="n">
        <v>21.6</v>
      </c>
      <c r="AQ34" s="1231">
        <f>AP34/AO34*100-100</f>
        <v/>
      </c>
      <c r="AR34" s="1225">
        <f>AP34/$AP$58%</f>
        <v/>
      </c>
      <c r="AS34" s="1229" t="n"/>
      <c r="AT34" s="1230" t="n"/>
      <c r="AU34" s="1231" t="n"/>
      <c r="AV34" s="1225">
        <f>AT34/$AT$58%</f>
        <v/>
      </c>
      <c r="AW34" s="1223">
        <f>E34+I34+M34+Q34+U34+Y34+AC34+AG34+AK34+AO34+AS34</f>
        <v/>
      </c>
      <c r="AX34" s="1223">
        <f>F34+J34+N34+R34+V34+Z34+AD34+AH34+AL34+AP34+AT34</f>
        <v/>
      </c>
      <c r="AY34" s="1231">
        <f>AX34/AW34*100-100</f>
        <v/>
      </c>
      <c r="AZ34" s="451">
        <f>AX34/$AX$58%</f>
        <v/>
      </c>
    </row>
    <row r="35" ht="19.95" customHeight="1">
      <c r="A35" s="478" t="n">
        <v>22</v>
      </c>
      <c r="B35" s="164" t="inlineStr">
        <is>
          <t>ချယ်ရီအရက်သန့်</t>
        </is>
      </c>
      <c r="C35" s="152" t="n">
        <v>0.64</v>
      </c>
      <c r="D35" s="482" t="inlineStr">
        <is>
          <t>1 * 14</t>
        </is>
      </c>
      <c r="E35" s="1229" t="n"/>
      <c r="F35" s="1169" t="n"/>
      <c r="G35" s="1231" t="n"/>
      <c r="H35" s="1225">
        <f>F35/$F$58%</f>
        <v/>
      </c>
      <c r="I35" s="1229" t="n"/>
      <c r="J35" s="1169" t="n"/>
      <c r="K35" s="1231" t="n"/>
      <c r="L35" s="1225">
        <f>J35/$J$58%</f>
        <v/>
      </c>
      <c r="M35" s="1229" t="n">
        <v>8.960000000000001</v>
      </c>
      <c r="N35" s="1169" t="n"/>
      <c r="O35" s="1231">
        <f>N35/M35*100-100</f>
        <v/>
      </c>
      <c r="P35" s="1225">
        <f>N35/$N$58%</f>
        <v/>
      </c>
      <c r="Q35" s="1229" t="n"/>
      <c r="R35" s="1169" t="n"/>
      <c r="S35" s="1231" t="n"/>
      <c r="T35" s="1225">
        <f>R35/$R$58%</f>
        <v/>
      </c>
      <c r="U35" s="1229" t="n"/>
      <c r="V35" s="1169" t="n"/>
      <c r="W35" s="1231" t="n"/>
      <c r="X35" s="1225">
        <f>V35/$V$58%</f>
        <v/>
      </c>
      <c r="Y35" s="1229" t="n"/>
      <c r="Z35" s="1169" t="n"/>
      <c r="AA35" s="1231" t="n"/>
      <c r="AB35" s="1225">
        <f>Z35/$Z$58%</f>
        <v/>
      </c>
      <c r="AC35" s="1229" t="n"/>
      <c r="AD35" s="1169" t="n"/>
      <c r="AE35" s="1231" t="n"/>
      <c r="AF35" s="514">
        <f>AD35/$AD$58%</f>
        <v/>
      </c>
      <c r="AG35" s="1229" t="n"/>
      <c r="AH35" s="1169" t="n"/>
      <c r="AI35" s="1231" t="n"/>
      <c r="AJ35" s="1225">
        <f>AH35/$AH$58%</f>
        <v/>
      </c>
      <c r="AK35" s="1229" t="n"/>
      <c r="AL35" s="1169" t="n"/>
      <c r="AM35" s="1231" t="n"/>
      <c r="AN35" s="1225">
        <f>AL35/$AL$58%</f>
        <v/>
      </c>
      <c r="AO35" s="1229" t="n">
        <v>22.5</v>
      </c>
      <c r="AP35" s="1169" t="n">
        <v>134.4</v>
      </c>
      <c r="AQ35" s="1231">
        <f>AP35/AO35*100-100</f>
        <v/>
      </c>
      <c r="AR35" s="1225">
        <f>AP35/$AP$58%</f>
        <v/>
      </c>
      <c r="AS35" s="1229" t="n">
        <v>761.6</v>
      </c>
      <c r="AT35" s="1169" t="n"/>
      <c r="AU35" s="1231">
        <f>AT35/AS35*100-100</f>
        <v/>
      </c>
      <c r="AV35" s="1225">
        <f>AT35/$AT$58%</f>
        <v/>
      </c>
      <c r="AW35" s="1223">
        <f>E35+I35+M35+Q35+U35+Y35+AC35+AG35+AK35+AO35+AS35</f>
        <v/>
      </c>
      <c r="AX35" s="1223">
        <f>F35+J35+N35+R35+V35+Z35+AD35+AH35+AL35+AP35+AT35</f>
        <v/>
      </c>
      <c r="AY35" s="1231">
        <f>AX35/AW35*100-100</f>
        <v/>
      </c>
      <c r="AZ35" s="451">
        <f>AX35/$AX$58%</f>
        <v/>
      </c>
    </row>
    <row r="36" ht="19.95" customHeight="1">
      <c r="A36" s="478" t="n">
        <v>23</v>
      </c>
      <c r="B36" s="164" t="inlineStr">
        <is>
          <t>ချယ်ရီသံပုရာ (1 Liter )</t>
        </is>
      </c>
      <c r="C36" s="152" t="n">
        <v>1</v>
      </c>
      <c r="D36" s="482" t="inlineStr">
        <is>
          <t>1 * 24</t>
        </is>
      </c>
      <c r="E36" s="1229" t="n"/>
      <c r="F36" s="1169" t="n"/>
      <c r="G36" s="1231" t="n"/>
      <c r="H36" s="1225">
        <f>F36/$F$58%</f>
        <v/>
      </c>
      <c r="I36" s="1229" t="n"/>
      <c r="J36" s="1169" t="n"/>
      <c r="K36" s="1231" t="n"/>
      <c r="L36" s="1225">
        <f>J36/$J$58%</f>
        <v/>
      </c>
      <c r="M36" s="1229" t="n"/>
      <c r="N36" s="1169" t="n"/>
      <c r="O36" s="1231" t="n"/>
      <c r="P36" s="1225">
        <f>N36/$N$58%</f>
        <v/>
      </c>
      <c r="Q36" s="1229" t="n"/>
      <c r="R36" s="1169" t="n"/>
      <c r="S36" s="1231" t="n"/>
      <c r="T36" s="1225">
        <f>R36/$R$58%</f>
        <v/>
      </c>
      <c r="U36" s="1229" t="n"/>
      <c r="V36" s="1169" t="n"/>
      <c r="W36" s="1231" t="n"/>
      <c r="X36" s="1225">
        <f>V36/$V$58%</f>
        <v/>
      </c>
      <c r="Y36" s="1229" t="n"/>
      <c r="Z36" s="1169" t="n"/>
      <c r="AA36" s="1231" t="n"/>
      <c r="AB36" s="1225">
        <f>Z36/$Z$58%</f>
        <v/>
      </c>
      <c r="AC36" s="1229" t="n"/>
      <c r="AD36" s="1169" t="n"/>
      <c r="AE36" s="1231" t="n"/>
      <c r="AF36" s="514">
        <f>AD36/$AD$58%</f>
        <v/>
      </c>
      <c r="AG36" s="1229" t="n"/>
      <c r="AH36" s="1169" t="n"/>
      <c r="AI36" s="1231" t="n"/>
      <c r="AJ36" s="1225">
        <f>AH36/$AH$58%</f>
        <v/>
      </c>
      <c r="AK36" s="1229" t="n"/>
      <c r="AL36" s="1169" t="n"/>
      <c r="AM36" s="1231" t="n"/>
      <c r="AN36" s="1225">
        <f>AL36/$AL$58%</f>
        <v/>
      </c>
      <c r="AO36" s="1229" t="n"/>
      <c r="AP36" s="1169" t="n"/>
      <c r="AQ36" s="1231" t="n"/>
      <c r="AR36" s="1225">
        <f>AP36/$AP$58%</f>
        <v/>
      </c>
      <c r="AS36" s="1229" t="n"/>
      <c r="AT36" s="1169" t="n"/>
      <c r="AU36" s="1231" t="n"/>
      <c r="AV36" s="1225">
        <f>AT36/$AT$58%</f>
        <v/>
      </c>
      <c r="AW36" s="1223">
        <f>E36+I36+M36+Q36+U36+Y36+AC36+AG36+AK36+AO36+AS36</f>
        <v/>
      </c>
      <c r="AX36" s="1223">
        <f>F36+J36+N36+R36+V36+Z36+AD36+AH36+AL36+AP36+AT36</f>
        <v/>
      </c>
      <c r="AY36" s="1231" t="n"/>
      <c r="AZ36" s="451">
        <f>AX36/$AX$58%</f>
        <v/>
      </c>
    </row>
    <row r="37" ht="19.95" customHeight="1">
      <c r="A37" s="478" t="n">
        <v>24</v>
      </c>
      <c r="B37" s="164" t="inlineStr">
        <is>
          <t>ချယ်ရီသံပုရာ (1 Liter )</t>
        </is>
      </c>
      <c r="C37" s="152" t="n">
        <v>1</v>
      </c>
      <c r="D37" s="482" t="inlineStr">
        <is>
          <t>1 * 12</t>
        </is>
      </c>
      <c r="E37" s="1229" t="n">
        <v>174</v>
      </c>
      <c r="F37" s="1169" t="n">
        <v>414</v>
      </c>
      <c r="G37" s="1231" t="n"/>
      <c r="H37" s="1225">
        <f>F37/$F$58%</f>
        <v/>
      </c>
      <c r="I37" s="1229" t="n">
        <v>607</v>
      </c>
      <c r="J37" s="1169" t="n">
        <v>498</v>
      </c>
      <c r="K37" s="1231">
        <f>J37/I37*100-100</f>
        <v/>
      </c>
      <c r="L37" s="1225">
        <f>J37/$J$58%</f>
        <v/>
      </c>
      <c r="M37" s="1229" t="n">
        <v>1145</v>
      </c>
      <c r="N37" s="1169" t="n">
        <v>1236</v>
      </c>
      <c r="O37" s="1231">
        <f>N37/M37*100-100</f>
        <v/>
      </c>
      <c r="P37" s="1225">
        <f>N37/$N$58%</f>
        <v/>
      </c>
      <c r="Q37" s="1229" t="n">
        <v>2119.5</v>
      </c>
      <c r="R37" s="1169" t="n">
        <v>2052</v>
      </c>
      <c r="S37" s="1231">
        <f>R37/Q37*100-100</f>
        <v/>
      </c>
      <c r="T37" s="1225">
        <f>R37/$R$58%</f>
        <v/>
      </c>
      <c r="U37" s="1229" t="n">
        <v>210</v>
      </c>
      <c r="V37" s="1169" t="n"/>
      <c r="W37" s="1231">
        <f>V37/U37*100-100</f>
        <v/>
      </c>
      <c r="X37" s="1225">
        <f>V37/$V$58%</f>
        <v/>
      </c>
      <c r="Y37" s="1229" t="n">
        <v>729.5</v>
      </c>
      <c r="Z37" s="1169" t="n">
        <v>924</v>
      </c>
      <c r="AA37" s="1231" t="n"/>
      <c r="AB37" s="1225">
        <f>Z37/$Z$58%</f>
        <v/>
      </c>
      <c r="AC37" s="1229" t="n">
        <v>708</v>
      </c>
      <c r="AD37" s="1169" t="n">
        <v>1566</v>
      </c>
      <c r="AE37" s="1231">
        <f>AD37/AC37*100-100</f>
        <v/>
      </c>
      <c r="AF37" s="514">
        <f>AD37/$AD$58%</f>
        <v/>
      </c>
      <c r="AG37" s="1229" t="n">
        <v>240</v>
      </c>
      <c r="AH37" s="1169" t="n"/>
      <c r="AI37" s="1231">
        <f>AH37/AG37*100-100</f>
        <v/>
      </c>
      <c r="AJ37" s="1225">
        <f>AH37/$AH$58%</f>
        <v/>
      </c>
      <c r="AK37" s="1229" t="n"/>
      <c r="AL37" s="1169" t="n"/>
      <c r="AM37" s="1231" t="n"/>
      <c r="AN37" s="1225">
        <f>AL37/$AL$58%</f>
        <v/>
      </c>
      <c r="AO37" s="1229" t="n">
        <v>162</v>
      </c>
      <c r="AP37" s="1169" t="n">
        <v>4824</v>
      </c>
      <c r="AQ37" s="1231">
        <f>AP37/AO37*100-100</f>
        <v/>
      </c>
      <c r="AR37" s="1225">
        <f>AP37/$AP$58%</f>
        <v/>
      </c>
      <c r="AS37" s="1229" t="n">
        <v>1794</v>
      </c>
      <c r="AT37" s="1169" t="n">
        <v>300</v>
      </c>
      <c r="AU37" s="1231" t="n"/>
      <c r="AV37" s="1225">
        <f>AT37/$AT$58%</f>
        <v/>
      </c>
      <c r="AW37" s="1223">
        <f>E37+I37+M37+Q37+U37+Y37+AC37+AG37+AK37+AO37+AS37</f>
        <v/>
      </c>
      <c r="AX37" s="1223">
        <f>F37+J37+N37+R37+V37+Z37+AD37+AH37+AL37+AP37+AT37</f>
        <v/>
      </c>
      <c r="AY37" s="1231">
        <f>AX37/AW37*100-100</f>
        <v/>
      </c>
      <c r="AZ37" s="451">
        <f>AX37/$AX$58%</f>
        <v/>
      </c>
    </row>
    <row r="38" ht="19.95" customHeight="1">
      <c r="A38" s="478" t="n">
        <v>25</v>
      </c>
      <c r="B38" s="164" t="inlineStr">
        <is>
          <t>ချယ်ရီသံပုရာ (0.6 Liter )</t>
        </is>
      </c>
      <c r="C38" s="152" t="n">
        <v>0.6</v>
      </c>
      <c r="D38" s="482" t="inlineStr">
        <is>
          <t>1 * 24</t>
        </is>
      </c>
      <c r="E38" s="1229" t="n">
        <v>0</v>
      </c>
      <c r="F38" s="1169" t="n">
        <v>21.6</v>
      </c>
      <c r="G38" s="1231" t="n"/>
      <c r="H38" s="1225">
        <f>F38/$F$58%</f>
        <v/>
      </c>
      <c r="I38" s="1229" t="n">
        <v>28.8</v>
      </c>
      <c r="J38" s="1169" t="n">
        <v>64.8</v>
      </c>
      <c r="K38" s="1231" t="n"/>
      <c r="L38" s="1225">
        <f>J38/$J$58%</f>
        <v/>
      </c>
      <c r="M38" s="1229" t="n">
        <v>273.6</v>
      </c>
      <c r="N38" s="1169" t="n">
        <v>21.6</v>
      </c>
      <c r="O38" s="1231">
        <f>N38/M38*100-100</f>
        <v/>
      </c>
      <c r="P38" s="1225">
        <f>N38/$N$58%</f>
        <v/>
      </c>
      <c r="Q38" s="1229" t="n">
        <v>237.6</v>
      </c>
      <c r="R38" s="1169" t="n">
        <v>72</v>
      </c>
      <c r="S38" s="1231">
        <f>R38/Q38*100-100</f>
        <v/>
      </c>
      <c r="T38" s="1225">
        <f>R38/$R$58%</f>
        <v/>
      </c>
      <c r="U38" s="1229" t="n"/>
      <c r="V38" s="1169" t="n"/>
      <c r="W38" s="1231" t="n"/>
      <c r="X38" s="1225">
        <f>V38/$V$58%</f>
        <v/>
      </c>
      <c r="Y38" s="1229" t="n">
        <v>423.9</v>
      </c>
      <c r="Z38" s="1169" t="n">
        <v>363.6</v>
      </c>
      <c r="AA38" s="1231">
        <f>Z38/Y38*100-100</f>
        <v/>
      </c>
      <c r="AB38" s="1225">
        <f>Z38/$Z$58%</f>
        <v/>
      </c>
      <c r="AC38" s="1229" t="n">
        <v>698.4</v>
      </c>
      <c r="AD38" s="1169" t="n"/>
      <c r="AE38" s="1231">
        <f>AD38/AC38*100-100</f>
        <v/>
      </c>
      <c r="AF38" s="514">
        <f>AD38/$AD$58%</f>
        <v/>
      </c>
      <c r="AG38" s="1229" t="n">
        <v>216</v>
      </c>
      <c r="AH38" s="1169" t="n"/>
      <c r="AI38" s="1231">
        <f>AH38/AG38*100-100</f>
        <v/>
      </c>
      <c r="AJ38" s="1225">
        <f>AH38/$AH$58%</f>
        <v/>
      </c>
      <c r="AK38" s="1229" t="n"/>
      <c r="AL38" s="1169" t="n"/>
      <c r="AM38" s="1231" t="n"/>
      <c r="AN38" s="1225">
        <f>AL38/$AL$58%</f>
        <v/>
      </c>
      <c r="AO38" s="1229" t="n">
        <v>21.5</v>
      </c>
      <c r="AP38" s="1169" t="n"/>
      <c r="AQ38" s="1231" t="n"/>
      <c r="AR38" s="1225">
        <f>AP38/$AP$58%</f>
        <v/>
      </c>
      <c r="AS38" s="1229" t="n"/>
      <c r="AT38" s="1169" t="n"/>
      <c r="AU38" s="1231" t="n"/>
      <c r="AV38" s="1225">
        <f>AT38/$AT$58%</f>
        <v/>
      </c>
      <c r="AW38" s="1223">
        <f>E38+I38+M38+Q38+U38+Y38+AC38+AG38+AK38+AO38+AS38</f>
        <v/>
      </c>
      <c r="AX38" s="1223">
        <f>F38+J38+N38+R38+V38+Z38+AD38+AH38+AL38+AP38+AT38</f>
        <v/>
      </c>
      <c r="AY38" s="1231">
        <f>AX38/AW38*100-100</f>
        <v/>
      </c>
      <c r="AZ38" s="451">
        <f>AX38/$AX$58%</f>
        <v/>
      </c>
    </row>
    <row r="39" ht="19.95" customFormat="1" customHeight="1" s="310">
      <c r="A39" s="480" t="n"/>
      <c r="B39" s="313" t="inlineStr">
        <is>
          <t>Cherry</t>
        </is>
      </c>
      <c r="C39" s="314" t="n"/>
      <c r="D39" s="483" t="n"/>
      <c r="E39" s="1226">
        <f>SUM(E34:E38)</f>
        <v/>
      </c>
      <c r="F39" s="1227">
        <f>SUM(F34:F38)</f>
        <v/>
      </c>
      <c r="G39" s="1228">
        <f>F39/E39*100-100</f>
        <v/>
      </c>
      <c r="H39" s="1225">
        <f>F39/$F$58%</f>
        <v/>
      </c>
      <c r="I39" s="1226">
        <f>SUM(I34:I38)</f>
        <v/>
      </c>
      <c r="J39" s="1227">
        <f>SUM(J34:J38)</f>
        <v/>
      </c>
      <c r="K39" s="1228">
        <f>J39/I39*100-100</f>
        <v/>
      </c>
      <c r="L39" s="1225">
        <f>J39/$J$58%</f>
        <v/>
      </c>
      <c r="M39" s="1226">
        <f>SUM(M34:M38)</f>
        <v/>
      </c>
      <c r="N39" s="1227">
        <f>SUM(N34:N38)</f>
        <v/>
      </c>
      <c r="O39" s="1228">
        <f>N39/M39*100-100</f>
        <v/>
      </c>
      <c r="P39" s="1225">
        <f>N39/$N$58%</f>
        <v/>
      </c>
      <c r="Q39" s="1226">
        <f>SUM(Q34:Q38)</f>
        <v/>
      </c>
      <c r="R39" s="1227">
        <f>SUM(R34:R38)</f>
        <v/>
      </c>
      <c r="S39" s="1228">
        <f>R39/Q39*100-100</f>
        <v/>
      </c>
      <c r="T39" s="1225">
        <f>R39/$R$58%</f>
        <v/>
      </c>
      <c r="U39" s="1226">
        <f>SUM(U34:U38)</f>
        <v/>
      </c>
      <c r="V39" s="1227">
        <f>SUM(V34:V38)</f>
        <v/>
      </c>
      <c r="W39" s="1228">
        <f>V39/U39*100-100</f>
        <v/>
      </c>
      <c r="X39" s="1225">
        <f>V39/$V$58%</f>
        <v/>
      </c>
      <c r="Y39" s="1226">
        <f>SUM(Y34:Y38)</f>
        <v/>
      </c>
      <c r="Z39" s="1227">
        <f>SUM(Z34:Z38)</f>
        <v/>
      </c>
      <c r="AA39" s="1228">
        <f>Z39/Y39*100-100</f>
        <v/>
      </c>
      <c r="AB39" s="1225">
        <f>Z39/$Z$58%</f>
        <v/>
      </c>
      <c r="AC39" s="1226">
        <f>SUM(AC34:AC38)</f>
        <v/>
      </c>
      <c r="AD39" s="1227">
        <f>SUM(AD34:AD38)</f>
        <v/>
      </c>
      <c r="AE39" s="1228">
        <f>AD39/AC39*100-100</f>
        <v/>
      </c>
      <c r="AF39" s="514">
        <f>AD39/$AD$58%</f>
        <v/>
      </c>
      <c r="AG39" s="1226">
        <f>SUM(AG34:AG38)</f>
        <v/>
      </c>
      <c r="AH39" s="1227">
        <f>SUM(AH34:AH38)</f>
        <v/>
      </c>
      <c r="AI39" s="1228">
        <f>AH39/AG39*100-100</f>
        <v/>
      </c>
      <c r="AJ39" s="1225">
        <f>AH39/$AH$58%</f>
        <v/>
      </c>
      <c r="AK39" s="1226">
        <f>SUM(AK34:AK38)</f>
        <v/>
      </c>
      <c r="AL39" s="1227">
        <f>SUM(AL34:AL38)</f>
        <v/>
      </c>
      <c r="AM39" s="1228" t="n"/>
      <c r="AN39" s="1225">
        <f>AL39/$AL$58%</f>
        <v/>
      </c>
      <c r="AO39" s="1226">
        <f>SUM(AO34:AO38)</f>
        <v/>
      </c>
      <c r="AP39" s="1227">
        <f>SUM(AP34:AP38)</f>
        <v/>
      </c>
      <c r="AQ39" s="1228">
        <f>AP39/AO39*100-100</f>
        <v/>
      </c>
      <c r="AR39" s="1225">
        <f>AP39/$AP$58%</f>
        <v/>
      </c>
      <c r="AS39" s="1226">
        <f>SUM(AS34:AS38)</f>
        <v/>
      </c>
      <c r="AT39" s="1227">
        <f>SUM(AT34:AT38)</f>
        <v/>
      </c>
      <c r="AU39" s="1228">
        <f>AT39/AS39*100-100</f>
        <v/>
      </c>
      <c r="AV39" s="1225">
        <f>AT39/$AT$58%</f>
        <v/>
      </c>
      <c r="AW39" s="1223">
        <f>E39+I39+M39+Q39+U39+Y39+AC39+AG39+AK39+AO39+AS39</f>
        <v/>
      </c>
      <c r="AX39" s="1223">
        <f>F39+J39+N39+R39+V39+Z39+AD39+AH39+AL39+AP39+AT39</f>
        <v/>
      </c>
      <c r="AY39" s="1228">
        <f>AX39/AW39*100-100</f>
        <v/>
      </c>
      <c r="AZ39" s="451">
        <f>AX39/$AX$58%</f>
        <v/>
      </c>
    </row>
    <row r="40" ht="19.95" customHeight="1">
      <c r="A40" s="478" t="n">
        <v>26</v>
      </c>
      <c r="B40" s="164" t="inlineStr">
        <is>
          <t>ရွှေမင်းသားခေါင်ရည်</t>
        </is>
      </c>
      <c r="C40" s="152" t="n">
        <v>0.75</v>
      </c>
      <c r="D40" s="482" t="n"/>
      <c r="E40" s="1229" t="n"/>
      <c r="F40" s="1169" t="n"/>
      <c r="G40" s="1231" t="n"/>
      <c r="H40" s="1225">
        <f>F40/$F$58%</f>
        <v/>
      </c>
      <c r="I40" s="1229" t="n"/>
      <c r="J40" s="1169" t="n"/>
      <c r="K40" s="1231" t="n"/>
      <c r="L40" s="1225">
        <f>J40/$J$58%</f>
        <v/>
      </c>
      <c r="M40" s="1229" t="n"/>
      <c r="N40" s="1169" t="n"/>
      <c r="O40" s="1231" t="n"/>
      <c r="P40" s="1225">
        <f>N40/$N$58%</f>
        <v/>
      </c>
      <c r="Q40" s="1229" t="n"/>
      <c r="R40" s="1169" t="n"/>
      <c r="S40" s="1231" t="n"/>
      <c r="T40" s="1225">
        <f>R40/$R$58%</f>
        <v/>
      </c>
      <c r="U40" s="1229" t="n"/>
      <c r="V40" s="1169" t="n"/>
      <c r="W40" s="1231" t="n"/>
      <c r="X40" s="1225">
        <f>V40/$V$58%</f>
        <v/>
      </c>
      <c r="Y40" s="1229" t="n"/>
      <c r="Z40" s="1169" t="n"/>
      <c r="AA40" s="1231" t="n"/>
      <c r="AB40" s="1225">
        <f>Z40/$Z$58%</f>
        <v/>
      </c>
      <c r="AC40" s="1229" t="n"/>
      <c r="AD40" s="1169" t="n"/>
      <c r="AE40" s="1231" t="n"/>
      <c r="AF40" s="514">
        <f>AD40/$AD$58%</f>
        <v/>
      </c>
      <c r="AG40" s="1229" t="n"/>
      <c r="AH40" s="1169" t="n"/>
      <c r="AI40" s="1231" t="n"/>
      <c r="AJ40" s="1225">
        <f>AH40/$AH$58%</f>
        <v/>
      </c>
      <c r="AK40" s="1229" t="n"/>
      <c r="AL40" s="1169" t="n"/>
      <c r="AM40" s="1231" t="n"/>
      <c r="AN40" s="1225">
        <f>AL40/$AL$58%</f>
        <v/>
      </c>
      <c r="AO40" s="1229" t="n"/>
      <c r="AP40" s="1169" t="n"/>
      <c r="AQ40" s="1231" t="n"/>
      <c r="AR40" s="1225">
        <f>AP40/$AP$58%</f>
        <v/>
      </c>
      <c r="AS40" s="1229" t="n"/>
      <c r="AT40" s="1169" t="n"/>
      <c r="AU40" s="1231" t="n"/>
      <c r="AV40" s="1225">
        <f>AT40/$AT$58%</f>
        <v/>
      </c>
      <c r="AW40" s="1223">
        <f>E40+I40+M40+Q40+U40+Y40+AC40+AG40+AK40+AO40+AS40</f>
        <v/>
      </c>
      <c r="AX40" s="1223">
        <f>F40+J40+N40+R40+V40+Z40+AD40+AH40+AL40+AP40+AT40</f>
        <v/>
      </c>
      <c r="AY40" s="1231" t="n"/>
      <c r="AZ40" s="451">
        <f>AX40/$AX$58%</f>
        <v/>
      </c>
    </row>
    <row r="41" ht="19.95" customHeight="1">
      <c r="A41" s="478" t="n">
        <v>27</v>
      </c>
      <c r="B41" s="164" t="inlineStr">
        <is>
          <t>ရွှေမင်းသားခေါင်ရည် (0.6 Liter)</t>
        </is>
      </c>
      <c r="C41" s="152" t="n">
        <v>0.6</v>
      </c>
      <c r="D41" s="482" t="inlineStr">
        <is>
          <t>1 * 12</t>
        </is>
      </c>
      <c r="E41" s="1229" t="n"/>
      <c r="F41" s="1169" t="n"/>
      <c r="G41" s="1231" t="n"/>
      <c r="H41" s="1225">
        <f>F41/$F$58%</f>
        <v/>
      </c>
      <c r="I41" s="1229" t="n">
        <v>0</v>
      </c>
      <c r="J41" s="1169" t="n">
        <v>64.8</v>
      </c>
      <c r="K41" s="1231" t="n"/>
      <c r="L41" s="1225">
        <f>J41/$J$58%</f>
        <v/>
      </c>
      <c r="M41" s="1229" t="n">
        <v>0</v>
      </c>
      <c r="N41" s="1169" t="n">
        <v>72</v>
      </c>
      <c r="O41" s="1231" t="n"/>
      <c r="P41" s="1225">
        <f>N41/$N$58%</f>
        <v/>
      </c>
      <c r="Q41" s="1229" t="n">
        <v>0</v>
      </c>
      <c r="R41" s="1169" t="n">
        <v>18</v>
      </c>
      <c r="S41" s="1231" t="n"/>
      <c r="T41" s="1225">
        <f>R41/$R$58%</f>
        <v/>
      </c>
      <c r="U41" s="1229" t="n"/>
      <c r="V41" s="1169" t="n"/>
      <c r="W41" s="1231" t="n"/>
      <c r="X41" s="1225">
        <f>V41/$V$58%</f>
        <v/>
      </c>
      <c r="Y41" s="1229" t="n">
        <v>0</v>
      </c>
      <c r="Z41" s="1169" t="n">
        <v>180</v>
      </c>
      <c r="AA41" s="1231" t="n"/>
      <c r="AB41" s="1225">
        <f>Z41/$Z$58%</f>
        <v/>
      </c>
      <c r="AC41" s="1229" t="n"/>
      <c r="AD41" s="1169" t="n"/>
      <c r="AE41" s="1231" t="n"/>
      <c r="AF41" s="514">
        <f>AD41/$AD$58%</f>
        <v/>
      </c>
      <c r="AG41" s="1229" t="n"/>
      <c r="AH41" s="1169" t="n"/>
      <c r="AI41" s="1231" t="n"/>
      <c r="AJ41" s="1225">
        <f>AH41/$AH$58%</f>
        <v/>
      </c>
      <c r="AK41" s="1229" t="n"/>
      <c r="AL41" s="1169" t="n"/>
      <c r="AM41" s="1231" t="n"/>
      <c r="AN41" s="1225">
        <f>AL41/$AL$58%</f>
        <v/>
      </c>
      <c r="AO41" s="1229" t="n"/>
      <c r="AP41" s="1169" t="n"/>
      <c r="AQ41" s="1231" t="n"/>
      <c r="AR41" s="1225">
        <f>AP41/$AP$58%</f>
        <v/>
      </c>
      <c r="AS41" s="1229" t="n">
        <v>0</v>
      </c>
      <c r="AT41" s="1169" t="n">
        <v>36</v>
      </c>
      <c r="AU41" s="1231" t="n"/>
      <c r="AV41" s="1225">
        <f>AT41/$AT$58%</f>
        <v/>
      </c>
      <c r="AW41" s="1223">
        <f>E41+I41+M41+Q41+U41+Y41+AC41+AG41+AK41+AO41+AS41</f>
        <v/>
      </c>
      <c r="AX41" s="1223">
        <f>F41+J41+N41+R41+V41+Z41+AD41+AH41+AL41+AP41+AT41</f>
        <v/>
      </c>
      <c r="AY41" s="1231" t="n"/>
      <c r="AZ41" s="451">
        <f>AX41/$AX$58%</f>
        <v/>
      </c>
    </row>
    <row r="42" ht="19.95" customHeight="1">
      <c r="A42" s="478" t="n">
        <v>28</v>
      </c>
      <c r="B42" s="164" t="inlineStr">
        <is>
          <t>ရွှေမင်းသားခေါင်ရည်</t>
        </is>
      </c>
      <c r="C42" s="152" t="n">
        <v>0.64</v>
      </c>
      <c r="D42" s="482" t="inlineStr">
        <is>
          <t>1 * 24</t>
        </is>
      </c>
      <c r="E42" s="1229" t="n">
        <v>791.0399999999998</v>
      </c>
      <c r="F42" s="1169" t="n">
        <v>697.28</v>
      </c>
      <c r="G42" s="1231">
        <f>F42/E42*100-100</f>
        <v/>
      </c>
      <c r="H42" s="1225">
        <f>F42/$F$58%</f>
        <v/>
      </c>
      <c r="I42" s="1229" t="n">
        <v>4323.84</v>
      </c>
      <c r="J42" s="1169" t="n">
        <v>1167.68</v>
      </c>
      <c r="K42" s="1231">
        <f>J42/I42*100-100</f>
        <v/>
      </c>
      <c r="L42" s="1225">
        <f>J42/$J$58%</f>
        <v/>
      </c>
      <c r="M42" s="1229" t="n">
        <v>38.4</v>
      </c>
      <c r="N42" s="1169" t="n">
        <v>545.28</v>
      </c>
      <c r="O42" s="1231">
        <f>N42/M42*100-100</f>
        <v/>
      </c>
      <c r="P42" s="1225">
        <f>N42/$N$58%</f>
        <v/>
      </c>
      <c r="Q42" s="1229" t="n">
        <v>491.52</v>
      </c>
      <c r="R42" s="1169" t="n">
        <v>368.64</v>
      </c>
      <c r="S42" s="1231">
        <f>R42/Q42*100-100</f>
        <v/>
      </c>
      <c r="T42" s="1225">
        <f>R42/$R$58%</f>
        <v/>
      </c>
      <c r="U42" s="1229" t="n"/>
      <c r="V42" s="1169" t="n"/>
      <c r="W42" s="1231" t="n"/>
      <c r="X42" s="1225">
        <f>V42/$V$58%</f>
        <v/>
      </c>
      <c r="Y42" s="1229" t="n">
        <v>115.2</v>
      </c>
      <c r="Z42" s="1169" t="n"/>
      <c r="AA42" s="1231">
        <f>Z42/Y42*100-100</f>
        <v/>
      </c>
      <c r="AB42" s="1225">
        <f>Z42/$Z$58%</f>
        <v/>
      </c>
      <c r="AC42" s="1229" t="n">
        <v>476.16</v>
      </c>
      <c r="AD42" s="1169" t="n">
        <v>852.48</v>
      </c>
      <c r="AE42" s="1231">
        <f>AD42/AC42*100-100</f>
        <v/>
      </c>
      <c r="AF42" s="514">
        <f>AD42/$AD$58%</f>
        <v/>
      </c>
      <c r="AG42" s="1229" t="n">
        <v>768</v>
      </c>
      <c r="AH42" s="1169" t="n"/>
      <c r="AI42" s="1231">
        <f>AH42/AG42*100-100</f>
        <v/>
      </c>
      <c r="AJ42" s="1225">
        <f>AH42/$AH$58%</f>
        <v/>
      </c>
      <c r="AK42" s="1229" t="n">
        <v>230.4</v>
      </c>
      <c r="AL42" s="1169" t="n">
        <v>153.6</v>
      </c>
      <c r="AM42" s="1231">
        <f>AL42/AK42*100-100</f>
        <v/>
      </c>
      <c r="AN42" s="1225">
        <f>AL42/$AL$58%</f>
        <v/>
      </c>
      <c r="AO42" s="1229" t="n">
        <v>1574.62</v>
      </c>
      <c r="AP42" s="1169" t="n">
        <v>883.2</v>
      </c>
      <c r="AQ42" s="1231">
        <f>AP42/AO42*100-100</f>
        <v/>
      </c>
      <c r="AR42" s="1225">
        <f>AP42/$AP$58%</f>
        <v/>
      </c>
      <c r="AS42" s="1229" t="n">
        <v>1267.2</v>
      </c>
      <c r="AT42" s="1169" t="n"/>
      <c r="AU42" s="1231">
        <f>AT42/AS42*100-100</f>
        <v/>
      </c>
      <c r="AV42" s="1225">
        <f>AT42/$AT$58%</f>
        <v/>
      </c>
      <c r="AW42" s="1223">
        <f>E42+I42+M42+Q42+U42+Y42+AC42+AG42+AK42+AO42+AS42</f>
        <v/>
      </c>
      <c r="AX42" s="1223">
        <f>F42+J42+N42+R42+V42+Z42+AD42+AH42+AL42+AP42+AT42</f>
        <v/>
      </c>
      <c r="AY42" s="1231">
        <f>AX42/AW42*100-100</f>
        <v/>
      </c>
      <c r="AZ42" s="451">
        <f>AX42/$AX$58%</f>
        <v/>
      </c>
    </row>
    <row r="43" ht="19.95" customHeight="1">
      <c r="A43" s="478" t="n">
        <v>29</v>
      </c>
      <c r="B43" s="164" t="inlineStr">
        <is>
          <t>ရွှေမင်းသားမန်ကျည်းခေါင်ရည်( 0.6 Liter)</t>
        </is>
      </c>
      <c r="C43" s="152" t="n">
        <v>0.6</v>
      </c>
      <c r="D43" s="482" t="inlineStr">
        <is>
          <t>1 * 12</t>
        </is>
      </c>
      <c r="E43" s="1229" t="n">
        <v>0</v>
      </c>
      <c r="F43" s="1169" t="n">
        <v>7.199999999999999</v>
      </c>
      <c r="G43" s="1231" t="n"/>
      <c r="H43" s="1225">
        <f>F43/$F$58%</f>
        <v/>
      </c>
      <c r="I43" s="1229" t="n">
        <v>0</v>
      </c>
      <c r="J43" s="1169" t="n">
        <v>126</v>
      </c>
      <c r="K43" s="1231" t="n"/>
      <c r="L43" s="1225">
        <f>J43/$J$58%</f>
        <v/>
      </c>
      <c r="M43" s="1229" t="n">
        <v>0</v>
      </c>
      <c r="N43" s="1169" t="n">
        <v>36</v>
      </c>
      <c r="O43" s="1231" t="n"/>
      <c r="P43" s="1225">
        <f>N43/$N$58%</f>
        <v/>
      </c>
      <c r="Q43" s="1229" t="n"/>
      <c r="R43" s="1169" t="n"/>
      <c r="S43" s="1231" t="n"/>
      <c r="T43" s="1225">
        <f>R43/$R$58%</f>
        <v/>
      </c>
      <c r="U43" s="1229" t="n"/>
      <c r="V43" s="1169" t="n"/>
      <c r="W43" s="1231" t="n"/>
      <c r="X43" s="1225">
        <f>V43/$V$58%</f>
        <v/>
      </c>
      <c r="Y43" s="1229" t="n">
        <v>0</v>
      </c>
      <c r="Z43" s="1169" t="n">
        <v>356.4</v>
      </c>
      <c r="AA43" s="1231" t="n"/>
      <c r="AB43" s="1225">
        <f>Z43/$Z$58%</f>
        <v/>
      </c>
      <c r="AC43" s="1229" t="n">
        <v>0</v>
      </c>
      <c r="AD43" s="1169" t="n">
        <v>18</v>
      </c>
      <c r="AE43" s="1231" t="n"/>
      <c r="AF43" s="514">
        <f>AD43/$AD$58%</f>
        <v/>
      </c>
      <c r="AG43" s="1229" t="n"/>
      <c r="AH43" s="1169" t="n"/>
      <c r="AI43" s="1231" t="n"/>
      <c r="AJ43" s="1225">
        <f>AH43/$AH$58%</f>
        <v/>
      </c>
      <c r="AK43" s="1229" t="n"/>
      <c r="AL43" s="1169" t="n"/>
      <c r="AM43" s="1231" t="n"/>
      <c r="AN43" s="1225">
        <f>AL43/$AL$58%</f>
        <v/>
      </c>
      <c r="AO43" s="1229" t="n"/>
      <c r="AP43" s="1169" t="n"/>
      <c r="AQ43" s="1231" t="n"/>
      <c r="AR43" s="1225">
        <f>AP43/$AP$58%</f>
        <v/>
      </c>
      <c r="AS43" s="1229" t="n">
        <v>0</v>
      </c>
      <c r="AT43" s="1169" t="n">
        <v>72</v>
      </c>
      <c r="AU43" s="1231" t="n"/>
      <c r="AV43" s="1225">
        <f>AT43/$AT$58%</f>
        <v/>
      </c>
      <c r="AW43" s="1223">
        <f>E43+I43+M43+Q43+U43+Y43+AC43+AG43+AK43+AO43+AS43</f>
        <v/>
      </c>
      <c r="AX43" s="1223">
        <f>F43+J43+N43+R43+V43+Z43+AD43+AH43+AL43+AP43+AT43</f>
        <v/>
      </c>
      <c r="AY43" s="1231" t="n"/>
      <c r="AZ43" s="451">
        <f>AX43/$AX$58%</f>
        <v/>
      </c>
    </row>
    <row r="44" ht="19.95" customHeight="1">
      <c r="A44" s="478" t="n">
        <v>30</v>
      </c>
      <c r="B44" s="164" t="inlineStr">
        <is>
          <t>ရွှေမင်းသားမန်ကျည်းခေါင်ရည်</t>
        </is>
      </c>
      <c r="C44" s="152" t="n">
        <v>0.64</v>
      </c>
      <c r="D44" s="482" t="inlineStr">
        <is>
          <t>1 * 14</t>
        </is>
      </c>
      <c r="E44" s="1229" t="n">
        <v>0</v>
      </c>
      <c r="F44" s="1169" t="n">
        <v>519.6800000000001</v>
      </c>
      <c r="G44" s="1231" t="n"/>
      <c r="H44" s="1225">
        <f>F44/$F$58%</f>
        <v/>
      </c>
      <c r="I44" s="1229" t="n">
        <v>0</v>
      </c>
      <c r="J44" s="1169" t="n">
        <v>2607.36</v>
      </c>
      <c r="K44" s="1231" t="n"/>
      <c r="L44" s="1225">
        <f>J44/$J$58%</f>
        <v/>
      </c>
      <c r="M44" s="1229" t="n">
        <v>0</v>
      </c>
      <c r="N44" s="1169" t="n">
        <v>143.36</v>
      </c>
      <c r="O44" s="1231" t="n"/>
      <c r="P44" s="1225">
        <f>N44/$N$58%</f>
        <v/>
      </c>
      <c r="Q44" s="1229" t="n">
        <v>0</v>
      </c>
      <c r="R44" s="1169" t="n">
        <v>134.4</v>
      </c>
      <c r="S44" s="1231" t="n"/>
      <c r="T44" s="1225">
        <f>R44/$R$58%</f>
        <v/>
      </c>
      <c r="U44" s="1229" t="n">
        <v>0</v>
      </c>
      <c r="V44" s="1169" t="n">
        <v>134.4</v>
      </c>
      <c r="W44" s="1231" t="n"/>
      <c r="X44" s="1225">
        <f>V44/$V$58%</f>
        <v/>
      </c>
      <c r="Y44" s="1229" t="n">
        <v>0</v>
      </c>
      <c r="Z44" s="1169" t="n">
        <v>4.48</v>
      </c>
      <c r="AA44" s="1231" t="n"/>
      <c r="AB44" s="1225">
        <f>Z44/$Z$58%</f>
        <v/>
      </c>
      <c r="AC44" s="1229" t="n">
        <v>0</v>
      </c>
      <c r="AD44" s="1169" t="n">
        <v>35.84</v>
      </c>
      <c r="AE44" s="1231" t="n"/>
      <c r="AF44" s="514">
        <f>AD44/$AD$58%</f>
        <v/>
      </c>
      <c r="AG44" s="1229" t="n"/>
      <c r="AH44" s="1169" t="n"/>
      <c r="AI44" s="1231" t="n"/>
      <c r="AJ44" s="1225">
        <f>AH44/$AH$58%</f>
        <v/>
      </c>
      <c r="AK44" s="1229" t="n"/>
      <c r="AL44" s="1169" t="n"/>
      <c r="AM44" s="1231" t="n"/>
      <c r="AN44" s="1225">
        <f>AL44/$AL$58%</f>
        <v/>
      </c>
      <c r="AO44" s="1229" t="n"/>
      <c r="AP44" s="1169" t="n"/>
      <c r="AQ44" s="1231" t="n"/>
      <c r="AR44" s="1225">
        <f>AP44/$AP$58%</f>
        <v/>
      </c>
      <c r="AS44" s="1229" t="n"/>
      <c r="AT44" s="1169" t="n"/>
      <c r="AU44" s="1231" t="n"/>
      <c r="AV44" s="1225">
        <f>AT44/$AT$58%</f>
        <v/>
      </c>
      <c r="AW44" s="1223">
        <f>E44+I44+M44+Q44+U44+Y44+AC44+AG44+AK44+AO44+AS44</f>
        <v/>
      </c>
      <c r="AX44" s="1223">
        <f>F44+J44+N44+R44+V44+Z44+AD44+AH44+AL44+AP44+AT44</f>
        <v/>
      </c>
      <c r="AY44" s="1231" t="n"/>
      <c r="AZ44" s="451">
        <f>AX44/$AX$58%</f>
        <v/>
      </c>
    </row>
    <row r="45" ht="19.95" customFormat="1" customHeight="1" s="310">
      <c r="A45" s="480" t="n"/>
      <c r="B45" s="313" t="inlineStr">
        <is>
          <t>Shwe Minthar</t>
        </is>
      </c>
      <c r="C45" s="314" t="n"/>
      <c r="D45" s="483" t="n"/>
      <c r="E45" s="1226">
        <f>SUM(E40:E44)</f>
        <v/>
      </c>
      <c r="F45" s="1226">
        <f>SUM(F40:F44)</f>
        <v/>
      </c>
      <c r="G45" s="1228">
        <f>F45/E45*100-100</f>
        <v/>
      </c>
      <c r="H45" s="1225">
        <f>F45/$F$58%</f>
        <v/>
      </c>
      <c r="I45" s="1226">
        <f>SUM(I40:I44)</f>
        <v/>
      </c>
      <c r="J45" s="1226">
        <f>SUM(J40:J44)</f>
        <v/>
      </c>
      <c r="K45" s="1228">
        <f>J45/I45*100-100</f>
        <v/>
      </c>
      <c r="L45" s="1225">
        <f>J45/$J$58%</f>
        <v/>
      </c>
      <c r="M45" s="1226">
        <f>SUM(M40:M44)</f>
        <v/>
      </c>
      <c r="N45" s="1226">
        <f>SUM(N40:N44)</f>
        <v/>
      </c>
      <c r="O45" s="1228">
        <f>N45/M45*100-100</f>
        <v/>
      </c>
      <c r="P45" s="1225">
        <f>N45/$N$58%</f>
        <v/>
      </c>
      <c r="Q45" s="1226">
        <f>SUM(Q40:Q44)</f>
        <v/>
      </c>
      <c r="R45" s="1226">
        <f>SUM(R40:R44)</f>
        <v/>
      </c>
      <c r="S45" s="1228">
        <f>R45/Q45*100-100</f>
        <v/>
      </c>
      <c r="T45" s="1225">
        <f>R45/$R$58%</f>
        <v/>
      </c>
      <c r="U45" s="1226">
        <f>SUM(U40:U44)</f>
        <v/>
      </c>
      <c r="V45" s="1226">
        <f>SUM(V40:V44)</f>
        <v/>
      </c>
      <c r="W45" s="1228" t="n"/>
      <c r="X45" s="1225">
        <f>V45/$V$58%</f>
        <v/>
      </c>
      <c r="Y45" s="1226">
        <f>SUM(Y40:Y44)</f>
        <v/>
      </c>
      <c r="Z45" s="1226">
        <f>SUM(Z40:Z44)</f>
        <v/>
      </c>
      <c r="AA45" s="1228">
        <f>Z45/Y45*100-100</f>
        <v/>
      </c>
      <c r="AB45" s="1225">
        <f>Z45/$Z$58%</f>
        <v/>
      </c>
      <c r="AC45" s="1226">
        <f>SUM(AC40:AC44)</f>
        <v/>
      </c>
      <c r="AD45" s="1226">
        <f>SUM(AD40:AD44)</f>
        <v/>
      </c>
      <c r="AE45" s="1228">
        <f>AD45/AC45*100-100</f>
        <v/>
      </c>
      <c r="AF45" s="514">
        <f>AD45/$AD$58%</f>
        <v/>
      </c>
      <c r="AG45" s="1226">
        <f>SUM(AG40:AG44)</f>
        <v/>
      </c>
      <c r="AH45" s="1226">
        <f>SUM(AH40:AH44)</f>
        <v/>
      </c>
      <c r="AI45" s="1228">
        <f>AH45/AG45*100-100</f>
        <v/>
      </c>
      <c r="AJ45" s="1225">
        <f>AH45/$AH$58%</f>
        <v/>
      </c>
      <c r="AK45" s="1226">
        <f>SUM(AK40:AK44)</f>
        <v/>
      </c>
      <c r="AL45" s="1226">
        <f>SUM(AL40:AL44)</f>
        <v/>
      </c>
      <c r="AM45" s="1228">
        <f>AL45/AK45*100-100</f>
        <v/>
      </c>
      <c r="AN45" s="1225">
        <f>AL45/$AL$58%</f>
        <v/>
      </c>
      <c r="AO45" s="1226">
        <f>SUM(AO40:AO44)</f>
        <v/>
      </c>
      <c r="AP45" s="1226">
        <f>SUM(AP40:AP44)</f>
        <v/>
      </c>
      <c r="AQ45" s="1228">
        <f>AP45/AO45*100-100</f>
        <v/>
      </c>
      <c r="AR45" s="1225">
        <f>AP45/$AP$58%</f>
        <v/>
      </c>
      <c r="AS45" s="1226">
        <f>SUM(AS40:AS44)</f>
        <v/>
      </c>
      <c r="AT45" s="1226">
        <f>SUM(AT40:AT44)</f>
        <v/>
      </c>
      <c r="AU45" s="1228">
        <f>AT45/AS45*100-100</f>
        <v/>
      </c>
      <c r="AV45" s="1225">
        <f>AT45/$AT$58%</f>
        <v/>
      </c>
      <c r="AW45" s="1223">
        <f>E45+I45+M45+Q45+U45+Y45+AC45+AG45+AK45+AO45+AS45</f>
        <v/>
      </c>
      <c r="AX45" s="1223">
        <f>F45+J45+N45+R45+V45+Z45+AD45+AH45+AL45+AP45+AT45</f>
        <v/>
      </c>
      <c r="AY45" s="1228">
        <f>AX45/AW45*100-100</f>
        <v/>
      </c>
      <c r="AZ45" s="451">
        <f>AX45/$AX$58%</f>
        <v/>
      </c>
    </row>
    <row r="46" ht="19.95" customHeight="1">
      <c r="A46" s="478" t="n">
        <v>31</v>
      </c>
      <c r="B46" s="164" t="inlineStr">
        <is>
          <t>Formula Rum 700ml</t>
        </is>
      </c>
      <c r="C46" s="152" t="n">
        <v>0.7</v>
      </c>
      <c r="D46" s="482" t="inlineStr">
        <is>
          <t>1 * 12</t>
        </is>
      </c>
      <c r="E46" s="1229" t="n">
        <v>37.09999999999999</v>
      </c>
      <c r="F46" s="1169" t="n"/>
      <c r="G46" s="1231">
        <f>F46/E46*100-100</f>
        <v/>
      </c>
      <c r="H46" s="1225">
        <f>F46/$F$58%</f>
        <v/>
      </c>
      <c r="I46" s="1229" t="n"/>
      <c r="J46" s="1169" t="n"/>
      <c r="K46" s="1231" t="n"/>
      <c r="L46" s="1225">
        <f>J46/$J$58%</f>
        <v/>
      </c>
      <c r="M46" s="1229" t="n"/>
      <c r="N46" s="1169" t="n"/>
      <c r="O46" s="1231" t="n"/>
      <c r="P46" s="1225">
        <f>N46/$N$58%</f>
        <v/>
      </c>
      <c r="Q46" s="1229" t="n">
        <v>4.199999999999999</v>
      </c>
      <c r="R46" s="1169" t="n"/>
      <c r="S46" s="1231">
        <f>R46/Q46*100-100</f>
        <v/>
      </c>
      <c r="T46" s="1225">
        <f>R46/$R$58%</f>
        <v/>
      </c>
      <c r="U46" s="1229" t="n"/>
      <c r="V46" s="1169" t="n"/>
      <c r="W46" s="1231" t="n"/>
      <c r="X46" s="1225">
        <f>V46/$V$58%</f>
        <v/>
      </c>
      <c r="Y46" s="1229" t="n"/>
      <c r="Z46" s="1169" t="n"/>
      <c r="AA46" s="1231" t="n"/>
      <c r="AB46" s="1225">
        <f>Z46/$Z$58%</f>
        <v/>
      </c>
      <c r="AC46" s="1229" t="n">
        <v>0</v>
      </c>
      <c r="AD46" s="1169" t="n">
        <v>42</v>
      </c>
      <c r="AE46" s="1231" t="n"/>
      <c r="AF46" s="514">
        <f>AD46/$AD$58%</f>
        <v/>
      </c>
      <c r="AG46" s="1229" t="n"/>
      <c r="AH46" s="1169" t="n"/>
      <c r="AI46" s="1231" t="n"/>
      <c r="AJ46" s="1225">
        <f>AH46/$AH$58%</f>
        <v/>
      </c>
      <c r="AK46" s="1229" t="n"/>
      <c r="AL46" s="1169" t="n"/>
      <c r="AM46" s="1231" t="n"/>
      <c r="AN46" s="1225">
        <f>AL46/$AL$58%</f>
        <v/>
      </c>
      <c r="AO46" s="1229" t="n">
        <v>50.5</v>
      </c>
      <c r="AP46" s="1169" t="n"/>
      <c r="AQ46" s="1231">
        <f>AP46/AO46*100-100</f>
        <v/>
      </c>
      <c r="AR46" s="1225">
        <f>AP46/$AP$58%</f>
        <v/>
      </c>
      <c r="AS46" s="1229" t="n"/>
      <c r="AT46" s="1169" t="n"/>
      <c r="AU46" s="1231" t="n"/>
      <c r="AV46" s="1225">
        <f>AT46/$AT$58%</f>
        <v/>
      </c>
      <c r="AW46" s="1223">
        <f>E46+I46+M46+Q46+U46+Y46+AC46+AG46+AK46+AO46+AS46</f>
        <v/>
      </c>
      <c r="AX46" s="1223">
        <f>F46+J46+N46+R46+V46+Z46+AD46+AH46+AL46+AP46+AT46</f>
        <v/>
      </c>
      <c r="AY46" s="1231">
        <f>AX46/AW46*100-100</f>
        <v/>
      </c>
      <c r="AZ46" s="451">
        <f>AX46/$AX$58%</f>
        <v/>
      </c>
    </row>
    <row r="47" ht="19.95" customHeight="1">
      <c r="A47" s="478" t="n">
        <v>32</v>
      </c>
      <c r="B47" s="164" t="inlineStr">
        <is>
          <t>Formula Rum 350ml</t>
        </is>
      </c>
      <c r="C47" s="152" t="n">
        <v>0.35</v>
      </c>
      <c r="D47" s="482" t="inlineStr">
        <is>
          <t>1 * 24</t>
        </is>
      </c>
      <c r="E47" s="1229" t="n">
        <v>16.1</v>
      </c>
      <c r="F47" s="1169" t="n"/>
      <c r="G47" s="1231">
        <f>F47/E47*100-100</f>
        <v/>
      </c>
      <c r="H47" s="1225">
        <f>F47/$F$58%</f>
        <v/>
      </c>
      <c r="I47" s="1229" t="n"/>
      <c r="J47" s="1169" t="n"/>
      <c r="K47" s="1231" t="n"/>
      <c r="L47" s="1225">
        <f>J47/$J$58%</f>
        <v/>
      </c>
      <c r="M47" s="1229" t="n"/>
      <c r="N47" s="1169" t="n"/>
      <c r="O47" s="1231" t="n"/>
      <c r="P47" s="1225">
        <f>N47/$N$58%</f>
        <v/>
      </c>
      <c r="Q47" s="1229" t="n">
        <v>4.199999999999999</v>
      </c>
      <c r="R47" s="1169" t="n"/>
      <c r="S47" s="1231">
        <f>R47/Q47*100-100</f>
        <v/>
      </c>
      <c r="T47" s="1225">
        <f>R47/$R$58%</f>
        <v/>
      </c>
      <c r="U47" s="1229" t="n"/>
      <c r="V47" s="1169" t="n"/>
      <c r="W47" s="1231" t="n"/>
      <c r="X47" s="1225">
        <f>V47/$V$58%</f>
        <v/>
      </c>
      <c r="Y47" s="1229" t="n"/>
      <c r="Z47" s="1169" t="n"/>
      <c r="AA47" s="1231" t="n"/>
      <c r="AB47" s="1225">
        <f>Z47/$Z$58%</f>
        <v/>
      </c>
      <c r="AC47" s="1229" t="n"/>
      <c r="AD47" s="1169" t="n"/>
      <c r="AE47" s="1231" t="n"/>
      <c r="AF47" s="514">
        <f>AD47/$AD$58%</f>
        <v/>
      </c>
      <c r="AG47" s="1229" t="n"/>
      <c r="AH47" s="1169" t="n"/>
      <c r="AI47" s="1231" t="n"/>
      <c r="AJ47" s="1225">
        <f>AH47/$AH$58%</f>
        <v/>
      </c>
      <c r="AK47" s="1229" t="n"/>
      <c r="AL47" s="1169" t="n"/>
      <c r="AM47" s="1231" t="n"/>
      <c r="AN47" s="1225">
        <f>AL47/$AL$58%</f>
        <v/>
      </c>
      <c r="AO47" s="1229" t="n"/>
      <c r="AP47" s="1169" t="n"/>
      <c r="AQ47" s="1231" t="n"/>
      <c r="AR47" s="1225">
        <f>AP47/$AP$58%</f>
        <v/>
      </c>
      <c r="AS47" s="1229" t="n"/>
      <c r="AT47" s="1169" t="n"/>
      <c r="AU47" s="1231" t="n"/>
      <c r="AV47" s="1225">
        <f>AT47/$AT$58%</f>
        <v/>
      </c>
      <c r="AW47" s="1223">
        <f>E47+I47+M47+Q47+U47+Y47+AC47+AG47+AK47+AO47+AS47</f>
        <v/>
      </c>
      <c r="AX47" s="1223">
        <f>F47+J47+N47+R47+V47+Z47+AD47+AH47+AL47+AP47+AT47</f>
        <v/>
      </c>
      <c r="AY47" s="1231">
        <f>AX47/AW47*100-100</f>
        <v/>
      </c>
      <c r="AZ47" s="451">
        <f>AX47/$AX$58%</f>
        <v/>
      </c>
    </row>
    <row r="48" ht="19.95" customFormat="1" customHeight="1" s="310">
      <c r="A48" s="480" t="n"/>
      <c r="B48" s="313" t="inlineStr">
        <is>
          <t>Formula</t>
        </is>
      </c>
      <c r="C48" s="314" t="n"/>
      <c r="D48" s="483" t="n"/>
      <c r="E48" s="1226">
        <f>SUM(E46:E47)</f>
        <v/>
      </c>
      <c r="F48" s="1227">
        <f>SUM(F46:F47)</f>
        <v/>
      </c>
      <c r="G48" s="1228">
        <f>F48/E48*100-100</f>
        <v/>
      </c>
      <c r="H48" s="1225">
        <f>F48/$F$58%</f>
        <v/>
      </c>
      <c r="I48" s="1226">
        <f>SUM(I46:I47)</f>
        <v/>
      </c>
      <c r="J48" s="1227">
        <f>SUM(J46:J47)</f>
        <v/>
      </c>
      <c r="K48" s="1228" t="n"/>
      <c r="L48" s="1225">
        <f>J48/$J$58%</f>
        <v/>
      </c>
      <c r="M48" s="1226">
        <f>SUM(M46:M47)</f>
        <v/>
      </c>
      <c r="N48" s="1227">
        <f>SUM(N46:N47)</f>
        <v/>
      </c>
      <c r="O48" s="1228" t="n"/>
      <c r="P48" s="1225">
        <f>N48/$N$58%</f>
        <v/>
      </c>
      <c r="Q48" s="1226">
        <f>SUM(Q46:Q47)</f>
        <v/>
      </c>
      <c r="R48" s="1227">
        <f>SUM(R46:R47)</f>
        <v/>
      </c>
      <c r="S48" s="1228">
        <f>R48/Q48*100-100</f>
        <v/>
      </c>
      <c r="T48" s="1225">
        <f>R48/$R$58%</f>
        <v/>
      </c>
      <c r="U48" s="1226">
        <f>SUM(U46:U47)</f>
        <v/>
      </c>
      <c r="V48" s="1227">
        <f>SUM(V46:V47)</f>
        <v/>
      </c>
      <c r="W48" s="1228" t="n"/>
      <c r="X48" s="1225">
        <f>V48/$V$58%</f>
        <v/>
      </c>
      <c r="Y48" s="1226">
        <f>SUM(Y46:Y47)</f>
        <v/>
      </c>
      <c r="Z48" s="1227">
        <f>SUM(Z46:Z47)</f>
        <v/>
      </c>
      <c r="AA48" s="1228" t="n"/>
      <c r="AB48" s="1225">
        <f>Z48/$Z$58%</f>
        <v/>
      </c>
      <c r="AC48" s="1226">
        <f>SUM(AC46:AC47)</f>
        <v/>
      </c>
      <c r="AD48" s="1227">
        <f>SUM(AD46:AD47)</f>
        <v/>
      </c>
      <c r="AE48" s="1228" t="n"/>
      <c r="AF48" s="514">
        <f>AD48/$AD$58%</f>
        <v/>
      </c>
      <c r="AG48" s="1226">
        <f>SUM(AG46:AG47)</f>
        <v/>
      </c>
      <c r="AH48" s="1227">
        <f>SUM(AH46:AH47)</f>
        <v/>
      </c>
      <c r="AI48" s="1228" t="n"/>
      <c r="AJ48" s="1225">
        <f>AH48/$AH$58%</f>
        <v/>
      </c>
      <c r="AK48" s="1226">
        <f>SUM(AK46:AK47)</f>
        <v/>
      </c>
      <c r="AL48" s="1227">
        <f>SUM(AL46:AL47)</f>
        <v/>
      </c>
      <c r="AM48" s="1228" t="n"/>
      <c r="AN48" s="1225">
        <f>AL48/$AL$58%</f>
        <v/>
      </c>
      <c r="AO48" s="1226">
        <f>SUM(AO46:AO47)</f>
        <v/>
      </c>
      <c r="AP48" s="1227">
        <f>SUM(AP46:AP47)</f>
        <v/>
      </c>
      <c r="AQ48" s="1228">
        <f>AP48/AO48*100-100</f>
        <v/>
      </c>
      <c r="AR48" s="1225">
        <f>AP48/$AP$58%</f>
        <v/>
      </c>
      <c r="AS48" s="1226">
        <f>SUM(AS46:AS47)</f>
        <v/>
      </c>
      <c r="AT48" s="1227">
        <f>SUM(AT46:AT47)</f>
        <v/>
      </c>
      <c r="AU48" s="1228" t="n"/>
      <c r="AV48" s="1225">
        <f>AT48/$AT$58%</f>
        <v/>
      </c>
      <c r="AW48" s="1223">
        <f>E48+I48+M48+Q48+U48+Y48+AC48+AG48+AK48+AO48+AS48</f>
        <v/>
      </c>
      <c r="AX48" s="1223">
        <f>F48+J48+N48+R48+V48+Z48+AD48+AH48+AL48+AP48+AT48</f>
        <v/>
      </c>
      <c r="AY48" s="1228">
        <f>AX48/AW48*100-100</f>
        <v/>
      </c>
      <c r="AZ48" s="451">
        <f>AX48/$AX$58%</f>
        <v/>
      </c>
    </row>
    <row r="49" ht="19.95" customHeight="1">
      <c r="A49" s="478" t="n">
        <v>33</v>
      </c>
      <c r="B49" s="164" t="inlineStr">
        <is>
          <t>ရွှေမန်း -Rum</t>
        </is>
      </c>
      <c r="C49" s="152" t="n">
        <v>1</v>
      </c>
      <c r="D49" s="482" t="inlineStr">
        <is>
          <t>1*12</t>
        </is>
      </c>
      <c r="E49" s="1229" t="n">
        <v>0</v>
      </c>
      <c r="F49" s="1058" t="n"/>
      <c r="G49" s="1231" t="n"/>
      <c r="H49" s="1225">
        <f>F49/$F$58%</f>
        <v/>
      </c>
      <c r="I49" s="1229" t="n">
        <v>0</v>
      </c>
      <c r="J49" s="1058" t="n"/>
      <c r="K49" s="1231" t="n"/>
      <c r="L49" s="1225">
        <f>J49/$J$58%</f>
        <v/>
      </c>
      <c r="M49" s="1229" t="n">
        <v>0</v>
      </c>
      <c r="N49" s="1058" t="n"/>
      <c r="O49" s="1231" t="n"/>
      <c r="P49" s="1225">
        <f>N49/$N$58%</f>
        <v/>
      </c>
      <c r="Q49" s="1229" t="n">
        <v>0</v>
      </c>
      <c r="R49" s="1058" t="n">
        <v>324</v>
      </c>
      <c r="S49" s="1231" t="n"/>
      <c r="T49" s="1225">
        <f>R49/$R$58%</f>
        <v/>
      </c>
      <c r="U49" s="1229" t="n">
        <v>0</v>
      </c>
      <c r="V49" s="1058" t="n"/>
      <c r="W49" s="1231" t="n"/>
      <c r="X49" s="1225">
        <f>V49/$V$58%</f>
        <v/>
      </c>
      <c r="Y49" s="1229" t="n">
        <v>0</v>
      </c>
      <c r="Z49" s="1058" t="n">
        <v>12</v>
      </c>
      <c r="AA49" s="1231" t="n"/>
      <c r="AB49" s="1225">
        <f>Z49/$Z$58%</f>
        <v/>
      </c>
      <c r="AC49" s="1229" t="n">
        <v>0</v>
      </c>
      <c r="AD49" s="1058" t="n"/>
      <c r="AE49" s="1231" t="n"/>
      <c r="AF49" s="514">
        <f>AD49/$AD$58%</f>
        <v/>
      </c>
      <c r="AG49" s="1229" t="n">
        <v>0</v>
      </c>
      <c r="AH49" s="1058" t="n"/>
      <c r="AI49" s="1231" t="n"/>
      <c r="AJ49" s="1225">
        <f>AH49/$AH$58%</f>
        <v/>
      </c>
      <c r="AK49" s="1229" t="n">
        <v>0</v>
      </c>
      <c r="AL49" s="1058" t="n"/>
      <c r="AM49" s="1231" t="n"/>
      <c r="AN49" s="1225">
        <f>AL49/$AL$58%</f>
        <v/>
      </c>
      <c r="AO49" s="1229" t="n">
        <v>0</v>
      </c>
      <c r="AP49" s="1058" t="n">
        <v>210</v>
      </c>
      <c r="AQ49" s="1231" t="n"/>
      <c r="AR49" s="1225">
        <f>AP49/$AP$58%</f>
        <v/>
      </c>
      <c r="AS49" s="1229" t="n">
        <v>0</v>
      </c>
      <c r="AT49" s="1058" t="n"/>
      <c r="AU49" s="1231" t="n"/>
      <c r="AV49" s="1225">
        <f>AT49/$AT$58%</f>
        <v/>
      </c>
      <c r="AW49" s="1223">
        <f>E49+I49+M49+Q49+U49+Y49+AC49+AG49+AK49+AO49+AS49</f>
        <v/>
      </c>
      <c r="AX49" s="1223">
        <f>F49+J49+N49+R49+V49+Z49+AD49+AH49+AL49+AP49+AT49</f>
        <v/>
      </c>
      <c r="AY49" s="1231" t="n"/>
      <c r="AZ49" s="451">
        <f>AX49/$AX$58%</f>
        <v/>
      </c>
    </row>
    <row r="50" ht="19.95" customHeight="1">
      <c r="A50" s="478" t="n">
        <v>34</v>
      </c>
      <c r="B50" s="164" t="inlineStr">
        <is>
          <t>ရွှေမန်း -Rum</t>
        </is>
      </c>
      <c r="C50" s="152" t="n">
        <v>0.64</v>
      </c>
      <c r="D50" s="482" t="inlineStr">
        <is>
          <t>1*14</t>
        </is>
      </c>
      <c r="E50" s="1229" t="n"/>
      <c r="F50" s="1058" t="n"/>
      <c r="G50" s="1231" t="n"/>
      <c r="H50" s="1225">
        <f>F50/$F$58%</f>
        <v/>
      </c>
      <c r="I50" s="1229" t="n"/>
      <c r="J50" s="1058" t="n"/>
      <c r="K50" s="1231" t="n"/>
      <c r="L50" s="1225">
        <f>J50/$J$58%</f>
        <v/>
      </c>
      <c r="M50" s="1229" t="n"/>
      <c r="N50" s="1058" t="n"/>
      <c r="O50" s="1231" t="n"/>
      <c r="P50" s="1225">
        <f>N50/$N$58%</f>
        <v/>
      </c>
      <c r="Q50" s="1229" t="n"/>
      <c r="R50" s="1058" t="n"/>
      <c r="S50" s="1231" t="n"/>
      <c r="T50" s="1225">
        <f>R50/$R$58%</f>
        <v/>
      </c>
      <c r="U50" s="1229" t="n"/>
      <c r="V50" s="1058" t="n"/>
      <c r="W50" s="1231" t="n"/>
      <c r="X50" s="1225">
        <f>V50/$V$58%</f>
        <v/>
      </c>
      <c r="Y50" s="1229" t="n"/>
      <c r="Z50" s="1058" t="n"/>
      <c r="AA50" s="1231" t="n"/>
      <c r="AB50" s="1225">
        <f>Z50/$Z$58%</f>
        <v/>
      </c>
      <c r="AC50" s="1229" t="n"/>
      <c r="AD50" s="1058" t="n"/>
      <c r="AE50" s="1231" t="n"/>
      <c r="AF50" s="514">
        <f>AD50/$AD$58%</f>
        <v/>
      </c>
      <c r="AG50" s="1229" t="n"/>
      <c r="AH50" s="1058" t="n"/>
      <c r="AI50" s="1231" t="n"/>
      <c r="AJ50" s="1225">
        <f>AH50/$AH$58%</f>
        <v/>
      </c>
      <c r="AK50" s="1229" t="n"/>
      <c r="AL50" s="1058" t="n"/>
      <c r="AM50" s="1231" t="n"/>
      <c r="AN50" s="1225">
        <f>AL50/$AL$58%</f>
        <v/>
      </c>
      <c r="AO50" s="1229" t="n"/>
      <c r="AP50" s="1058" t="n"/>
      <c r="AQ50" s="1231" t="n"/>
      <c r="AR50" s="1225">
        <f>AP50/$AP$58%</f>
        <v/>
      </c>
      <c r="AS50" s="1229" t="n"/>
      <c r="AT50" s="1058" t="n"/>
      <c r="AU50" s="1231" t="n"/>
      <c r="AV50" s="1225">
        <f>AT50/$AT$58%</f>
        <v/>
      </c>
      <c r="AW50" s="1223">
        <f>E50+I50+M50+Q50+U50+Y50+AC50+AG50+AK50+AO50+AS50</f>
        <v/>
      </c>
      <c r="AX50" s="1223">
        <f>F50+J50+N50+R50+V50+Z50+AD50+AH50+AL50+AP50+AT50</f>
        <v/>
      </c>
      <c r="AY50" s="1231" t="n"/>
      <c r="AZ50" s="451">
        <f>AX50/$AX$58%</f>
        <v/>
      </c>
    </row>
    <row r="51" ht="19.95" customFormat="1" customHeight="1" s="310">
      <c r="A51" s="480" t="n"/>
      <c r="B51" s="510" t="inlineStr">
        <is>
          <t>Shwe Man</t>
        </is>
      </c>
      <c r="C51" s="314" t="n"/>
      <c r="D51" s="483" t="n"/>
      <c r="E51" s="1226">
        <f>SUM(E49:E50)</f>
        <v/>
      </c>
      <c r="F51" s="1226">
        <f>SUM(F49:F50)</f>
        <v/>
      </c>
      <c r="G51" s="1228" t="n"/>
      <c r="H51" s="1225">
        <f>F51/$F$58%</f>
        <v/>
      </c>
      <c r="I51" s="1226">
        <f>SUM(I49:I50)</f>
        <v/>
      </c>
      <c r="J51" s="1226">
        <f>SUM(J49:J50)</f>
        <v/>
      </c>
      <c r="K51" s="1228" t="n"/>
      <c r="L51" s="1225">
        <f>J51/$J$58%</f>
        <v/>
      </c>
      <c r="M51" s="1226">
        <f>SUM(M49:M50)</f>
        <v/>
      </c>
      <c r="N51" s="1226">
        <f>SUM(N49:N50)</f>
        <v/>
      </c>
      <c r="O51" s="1228" t="n"/>
      <c r="P51" s="1225">
        <f>N51/$N$58%</f>
        <v/>
      </c>
      <c r="Q51" s="1226">
        <f>SUM(Q49:Q50)</f>
        <v/>
      </c>
      <c r="R51" s="1226">
        <f>SUM(R49:R50)</f>
        <v/>
      </c>
      <c r="S51" s="1228" t="n"/>
      <c r="T51" s="1225">
        <f>R51/$R$58%</f>
        <v/>
      </c>
      <c r="U51" s="1226">
        <f>SUM(U49:U50)</f>
        <v/>
      </c>
      <c r="V51" s="1226">
        <f>SUM(V49:V50)</f>
        <v/>
      </c>
      <c r="W51" s="1228" t="n"/>
      <c r="X51" s="1225">
        <f>V51/$V$58%</f>
        <v/>
      </c>
      <c r="Y51" s="1226">
        <f>SUM(Y49:Y50)</f>
        <v/>
      </c>
      <c r="Z51" s="1226">
        <f>SUM(Z49:Z50)</f>
        <v/>
      </c>
      <c r="AA51" s="1228" t="n"/>
      <c r="AB51" s="1225">
        <f>Z51/$Z$58%</f>
        <v/>
      </c>
      <c r="AC51" s="1226">
        <f>SUM(AC49:AC50)</f>
        <v/>
      </c>
      <c r="AD51" s="1226">
        <f>SUM(AD49:AD50)</f>
        <v/>
      </c>
      <c r="AE51" s="1228" t="n"/>
      <c r="AF51" s="514">
        <f>AD51/$AD$58%</f>
        <v/>
      </c>
      <c r="AG51" s="1226">
        <f>SUM(AG49:AG50)</f>
        <v/>
      </c>
      <c r="AH51" s="1226">
        <f>SUM(AH49:AH50)</f>
        <v/>
      </c>
      <c r="AI51" s="1228" t="n"/>
      <c r="AJ51" s="1225">
        <f>AH51/$AH$58%</f>
        <v/>
      </c>
      <c r="AK51" s="1226">
        <f>SUM(AK49:AK50)</f>
        <v/>
      </c>
      <c r="AL51" s="1226">
        <f>SUM(AL49:AL50)</f>
        <v/>
      </c>
      <c r="AM51" s="1228" t="n"/>
      <c r="AN51" s="1225">
        <f>AL51/$AL$58%</f>
        <v/>
      </c>
      <c r="AO51" s="1226">
        <f>SUM(AO49:AO50)</f>
        <v/>
      </c>
      <c r="AP51" s="1226">
        <f>SUM(AP49:AP50)</f>
        <v/>
      </c>
      <c r="AQ51" s="1228" t="n"/>
      <c r="AR51" s="1225">
        <f>AP51/$AP$58%</f>
        <v/>
      </c>
      <c r="AS51" s="1226">
        <f>SUM(AS49:AS50)</f>
        <v/>
      </c>
      <c r="AT51" s="1226">
        <f>SUM(AT49:AT50)</f>
        <v/>
      </c>
      <c r="AU51" s="1228" t="n"/>
      <c r="AV51" s="1225">
        <f>AT51/$AT$58%</f>
        <v/>
      </c>
      <c r="AW51" s="1223">
        <f>E51+I51+M51+Q51+U51+Y51+AC51+AG51+AK51+AO51+AS51</f>
        <v/>
      </c>
      <c r="AX51" s="1223">
        <f>F51+J51+N51+R51+V51+Z51+AD51+AH51+AL51+AP51+AT51</f>
        <v/>
      </c>
      <c r="AY51" s="1228" t="n"/>
      <c r="AZ51" s="451">
        <f>AX51/$AX$58%</f>
        <v/>
      </c>
    </row>
    <row r="52" ht="19.95" customHeight="1">
      <c r="A52" s="478" t="n">
        <v>35</v>
      </c>
      <c r="B52" s="164" t="inlineStr">
        <is>
          <t xml:space="preserve">White Orange </t>
        </is>
      </c>
      <c r="C52" s="152" t="n">
        <v>0.64</v>
      </c>
      <c r="D52" s="482" t="inlineStr">
        <is>
          <t>1 * 24</t>
        </is>
      </c>
      <c r="E52" s="1229" t="n">
        <v>84764.15999999997</v>
      </c>
      <c r="F52" s="1230" t="n">
        <v>78827.52</v>
      </c>
      <c r="G52" s="1231">
        <f>F52/E52*100-100</f>
        <v/>
      </c>
      <c r="H52" s="1225">
        <f>F52/$F$58%</f>
        <v/>
      </c>
      <c r="I52" s="1229" t="n">
        <v>2402.56</v>
      </c>
      <c r="J52" s="1230" t="n">
        <v>1313.28</v>
      </c>
      <c r="K52" s="1231">
        <f>J52/I52*100-100</f>
        <v/>
      </c>
      <c r="L52" s="1225">
        <f>J52/$J$58%</f>
        <v/>
      </c>
      <c r="M52" s="1229" t="n">
        <v>11120.64</v>
      </c>
      <c r="N52" s="1230" t="n">
        <v>9346.560000000001</v>
      </c>
      <c r="O52" s="1231">
        <f>N52/M52*100-100</f>
        <v/>
      </c>
      <c r="P52" s="1225">
        <f>N52/$N$58%</f>
        <v/>
      </c>
      <c r="Q52" s="1229" t="n">
        <v>8040.959999999999</v>
      </c>
      <c r="R52" s="1230" t="n">
        <v>7104</v>
      </c>
      <c r="S52" s="1231">
        <f>R52/Q52*100-100</f>
        <v/>
      </c>
      <c r="T52" s="1225">
        <f>R52/$R$58%</f>
        <v/>
      </c>
      <c r="U52" s="1229" t="n">
        <v>15014.4</v>
      </c>
      <c r="V52" s="1230" t="n">
        <v>13017.6</v>
      </c>
      <c r="W52" s="1231">
        <f>V52/U52*100-100</f>
        <v/>
      </c>
      <c r="X52" s="1225">
        <f>V52/$V$58%</f>
        <v/>
      </c>
      <c r="Y52" s="1229" t="n">
        <v>0</v>
      </c>
      <c r="Z52" s="1230" t="n">
        <v>15.36</v>
      </c>
      <c r="AA52" s="1231" t="n"/>
      <c r="AB52" s="1225">
        <f>Z52/$Z$58%</f>
        <v/>
      </c>
      <c r="AC52" s="1229" t="n">
        <v>2933.76</v>
      </c>
      <c r="AD52" s="1230" t="n">
        <v>4055.04</v>
      </c>
      <c r="AE52" s="1231">
        <f>AD52/AC52*100-100</f>
        <v/>
      </c>
      <c r="AF52" s="514">
        <f>AD52/$AD$58%</f>
        <v/>
      </c>
      <c r="AG52" s="1229" t="n"/>
      <c r="AH52" s="1230" t="n"/>
      <c r="AI52" s="1231" t="n"/>
      <c r="AJ52" s="1225">
        <f>AH52/$AH$58%</f>
        <v/>
      </c>
      <c r="AK52" s="1229" t="n"/>
      <c r="AL52" s="1230" t="n"/>
      <c r="AM52" s="1231" t="n"/>
      <c r="AN52" s="1225">
        <f>AL52/$AL$58%</f>
        <v/>
      </c>
      <c r="AO52" s="1229" t="n"/>
      <c r="AP52" s="1230" t="n"/>
      <c r="AQ52" s="1231" t="n"/>
      <c r="AR52" s="1225">
        <f>AP52/$AP$58%</f>
        <v/>
      </c>
      <c r="AS52" s="1229" t="n"/>
      <c r="AT52" s="1230" t="n"/>
      <c r="AU52" s="1231" t="n"/>
      <c r="AV52" s="1225">
        <f>AT52/$AT$58%</f>
        <v/>
      </c>
      <c r="AW52" s="1223">
        <f>E52+I52+M52+Q52+U52+Y52+AC52+AG52+AK52+AO52+AS52</f>
        <v/>
      </c>
      <c r="AX52" s="1223">
        <f>F52+J52+N52+R52+V52+Z52+AD52+AH52+AL52+AP52+AT52</f>
        <v/>
      </c>
      <c r="AY52" s="1231">
        <f>AX52/AW52*100-100</f>
        <v/>
      </c>
      <c r="AZ52" s="451">
        <f>AX52/$AX$58%</f>
        <v/>
      </c>
    </row>
    <row r="53" ht="19.95" customFormat="1" customHeight="1" s="310">
      <c r="A53" s="480" t="n"/>
      <c r="B53" s="313" t="inlineStr">
        <is>
          <t xml:space="preserve">White Orange </t>
        </is>
      </c>
      <c r="C53" s="314" t="n"/>
      <c r="D53" s="483" t="n"/>
      <c r="E53" s="1226">
        <f>SUM(E52)</f>
        <v/>
      </c>
      <c r="F53" s="1227">
        <f>SUM(F52)</f>
        <v/>
      </c>
      <c r="G53" s="1228">
        <f>F53/E53*100-100</f>
        <v/>
      </c>
      <c r="H53" s="1225">
        <f>F53/$F$58%</f>
        <v/>
      </c>
      <c r="I53" s="1226">
        <f>SUM(I52)</f>
        <v/>
      </c>
      <c r="J53" s="1227">
        <f>SUM(J52)</f>
        <v/>
      </c>
      <c r="K53" s="1228">
        <f>J53/I53*100-100</f>
        <v/>
      </c>
      <c r="L53" s="1225">
        <f>J53/$J$58%</f>
        <v/>
      </c>
      <c r="M53" s="1226">
        <f>SUM(M52)</f>
        <v/>
      </c>
      <c r="N53" s="1227">
        <f>SUM(N52)</f>
        <v/>
      </c>
      <c r="O53" s="1228">
        <f>N53/M53*100-100</f>
        <v/>
      </c>
      <c r="P53" s="1225">
        <f>N53/$N$58%</f>
        <v/>
      </c>
      <c r="Q53" s="1226">
        <f>SUM(Q52)</f>
        <v/>
      </c>
      <c r="R53" s="1227">
        <f>SUM(R52)</f>
        <v/>
      </c>
      <c r="S53" s="1228">
        <f>R53/Q53*100-100</f>
        <v/>
      </c>
      <c r="T53" s="1225">
        <f>R53/$R$58%</f>
        <v/>
      </c>
      <c r="U53" s="1226">
        <f>SUM(U52)</f>
        <v/>
      </c>
      <c r="V53" s="1227">
        <f>SUM(V52)</f>
        <v/>
      </c>
      <c r="W53" s="1228">
        <f>V53/U53*100-100</f>
        <v/>
      </c>
      <c r="X53" s="1225">
        <f>V53/$V$58%</f>
        <v/>
      </c>
      <c r="Y53" s="1226">
        <f>SUM(Y52)</f>
        <v/>
      </c>
      <c r="Z53" s="1227">
        <f>SUM(Z52)</f>
        <v/>
      </c>
      <c r="AA53" s="1228" t="n"/>
      <c r="AB53" s="1225">
        <f>Z53/$Z$58%</f>
        <v/>
      </c>
      <c r="AC53" s="1226">
        <f>SUM(AC52)</f>
        <v/>
      </c>
      <c r="AD53" s="1227">
        <f>SUM(AD52)</f>
        <v/>
      </c>
      <c r="AE53" s="1228">
        <f>AD53/AC53*100-100</f>
        <v/>
      </c>
      <c r="AF53" s="514">
        <f>AD53/$AD$58%</f>
        <v/>
      </c>
      <c r="AG53" s="1226">
        <f>SUM(AG52)</f>
        <v/>
      </c>
      <c r="AH53" s="1227">
        <f>SUM(AH52)</f>
        <v/>
      </c>
      <c r="AI53" s="1228" t="n"/>
      <c r="AJ53" s="1225">
        <f>AH53/$AH$58%</f>
        <v/>
      </c>
      <c r="AK53" s="1226">
        <f>SUM(AK52)</f>
        <v/>
      </c>
      <c r="AL53" s="1227">
        <f>SUM(AL52)</f>
        <v/>
      </c>
      <c r="AM53" s="1228" t="n"/>
      <c r="AN53" s="1225">
        <f>AL53/$AL$58%</f>
        <v/>
      </c>
      <c r="AO53" s="1226">
        <f>SUM(AO52)</f>
        <v/>
      </c>
      <c r="AP53" s="1227">
        <f>SUM(AP52)</f>
        <v/>
      </c>
      <c r="AQ53" s="1228" t="n"/>
      <c r="AR53" s="1225">
        <f>AP53/$AP$58%</f>
        <v/>
      </c>
      <c r="AS53" s="1226">
        <f>SUM(AS52)</f>
        <v/>
      </c>
      <c r="AT53" s="1227">
        <f>SUM(AT52)</f>
        <v/>
      </c>
      <c r="AU53" s="1228" t="n"/>
      <c r="AV53" s="1225">
        <f>AT53/$AT$58%</f>
        <v/>
      </c>
      <c r="AW53" s="1223">
        <f>E53+I53+M53+Q53+U53+Y53+AC53+AG53+AK53+AO53+AS53</f>
        <v/>
      </c>
      <c r="AX53" s="1223">
        <f>F53+J53+N53+R53+V53+Z53+AD53+AH53+AL53+AP53+AT53</f>
        <v/>
      </c>
      <c r="AY53" s="1228">
        <f>AX53/AW53*100-100</f>
        <v/>
      </c>
      <c r="AZ53" s="451">
        <f>AX53/$AX$58%</f>
        <v/>
      </c>
    </row>
    <row r="54" ht="19.95" customHeight="1">
      <c r="A54" s="478" t="n">
        <v>36</v>
      </c>
      <c r="B54" s="164" t="inlineStr">
        <is>
          <t>Black - Cat</t>
        </is>
      </c>
      <c r="C54" s="152" t="n">
        <v>0.64</v>
      </c>
      <c r="D54" s="482" t="inlineStr">
        <is>
          <t>1 * 24</t>
        </is>
      </c>
      <c r="E54" s="1229" t="n">
        <v>3601.920000000001</v>
      </c>
      <c r="F54" s="1169" t="n">
        <v>2903.04</v>
      </c>
      <c r="G54" s="1231">
        <f>F54/E54*100-100</f>
        <v/>
      </c>
      <c r="H54" s="1225">
        <f>F54/$F$58%</f>
        <v/>
      </c>
      <c r="I54" s="1229" t="n"/>
      <c r="J54" s="1169" t="n"/>
      <c r="K54" s="1231" t="n"/>
      <c r="L54" s="1225">
        <f>J54/$J$58%</f>
        <v/>
      </c>
      <c r="M54" s="1229" t="n">
        <v>0</v>
      </c>
      <c r="N54" s="1169" t="n">
        <v>384</v>
      </c>
      <c r="O54" s="1231" t="n"/>
      <c r="P54" s="1225">
        <f>N54/$N$58%</f>
        <v/>
      </c>
      <c r="Q54" s="1229" t="n"/>
      <c r="R54" s="1169" t="n"/>
      <c r="S54" s="1231" t="n"/>
      <c r="T54" s="1225">
        <f>R54/$R$58%</f>
        <v/>
      </c>
      <c r="U54" s="1229" t="n">
        <v>614.4</v>
      </c>
      <c r="V54" s="1169" t="n">
        <v>115.2</v>
      </c>
      <c r="W54" s="1231">
        <f>V54/U54*100-100</f>
        <v/>
      </c>
      <c r="X54" s="1225">
        <f>V54/$V$58%</f>
        <v/>
      </c>
      <c r="Y54" s="1229" t="n"/>
      <c r="Z54" s="1169" t="n"/>
      <c r="AA54" s="1231" t="n"/>
      <c r="AB54" s="1225">
        <f>Z54/$Z$58%</f>
        <v/>
      </c>
      <c r="AC54" s="1229" t="n"/>
      <c r="AD54" s="1169" t="n"/>
      <c r="AE54" s="1231" t="n"/>
      <c r="AF54" s="514">
        <f>AD54/$AD$58%</f>
        <v/>
      </c>
      <c r="AG54" s="1229" t="n"/>
      <c r="AH54" s="1169" t="n"/>
      <c r="AI54" s="1231" t="n"/>
      <c r="AJ54" s="1225">
        <f>AH54/$AH$58%</f>
        <v/>
      </c>
      <c r="AK54" s="1229" t="n"/>
      <c r="AL54" s="1169" t="n"/>
      <c r="AM54" s="1231" t="n"/>
      <c r="AN54" s="1225">
        <f>AL54/$AL$58%</f>
        <v/>
      </c>
      <c r="AO54" s="1229" t="n"/>
      <c r="AP54" s="1169" t="n"/>
      <c r="AQ54" s="1231" t="n"/>
      <c r="AR54" s="1225">
        <f>AP54/$AP$58%</f>
        <v/>
      </c>
      <c r="AS54" s="1229" t="n"/>
      <c r="AT54" s="1169" t="n"/>
      <c r="AU54" s="1231" t="n"/>
      <c r="AV54" s="1225">
        <f>AT54/$AT$58%</f>
        <v/>
      </c>
      <c r="AW54" s="1223">
        <f>E54+I54+M54+Q54+U54+Y54+AC54+AG54+AK54+AO54+AS54</f>
        <v/>
      </c>
      <c r="AX54" s="1223">
        <f>F54+J54+N54+R54+V54+Z54+AD54+AH54+AL54+AP54+AT54</f>
        <v/>
      </c>
      <c r="AY54" s="1231">
        <f>AX54/AW54*100-100</f>
        <v/>
      </c>
      <c r="AZ54" s="451">
        <f>AX54/$AX$58%</f>
        <v/>
      </c>
    </row>
    <row r="55" ht="19.95" customFormat="1" customHeight="1" s="310">
      <c r="A55" s="480" t="n"/>
      <c r="B55" s="307" t="inlineStr">
        <is>
          <t>Black - Cat</t>
        </is>
      </c>
      <c r="C55" s="308" t="n"/>
      <c r="D55" s="484" t="n"/>
      <c r="E55" s="1226">
        <f>SUM(E54)</f>
        <v/>
      </c>
      <c r="F55" s="1227">
        <f>SUM(F54)</f>
        <v/>
      </c>
      <c r="G55" s="1228">
        <f>F55/E55*100-100</f>
        <v/>
      </c>
      <c r="H55" s="1225">
        <f>F55/$F$58%</f>
        <v/>
      </c>
      <c r="I55" s="1226">
        <f>SUM(I54)</f>
        <v/>
      </c>
      <c r="J55" s="1227">
        <f>SUM(J54)</f>
        <v/>
      </c>
      <c r="K55" s="1228" t="n"/>
      <c r="L55" s="1225">
        <f>J55/$J$58%</f>
        <v/>
      </c>
      <c r="M55" s="1226">
        <f>SUM(M54)</f>
        <v/>
      </c>
      <c r="N55" s="1227">
        <f>SUM(N54)</f>
        <v/>
      </c>
      <c r="O55" s="1228" t="n"/>
      <c r="P55" s="1225">
        <f>N55/$N$58%</f>
        <v/>
      </c>
      <c r="Q55" s="1226">
        <f>SUM(Q54)</f>
        <v/>
      </c>
      <c r="R55" s="1227">
        <f>SUM(R54)</f>
        <v/>
      </c>
      <c r="S55" s="1228" t="n"/>
      <c r="T55" s="1225">
        <f>R55/$R$58%</f>
        <v/>
      </c>
      <c r="U55" s="1226">
        <f>SUM(U54)</f>
        <v/>
      </c>
      <c r="V55" s="1227">
        <f>SUM(V54)</f>
        <v/>
      </c>
      <c r="W55" s="1228">
        <f>V55/U55*100-100</f>
        <v/>
      </c>
      <c r="X55" s="1225">
        <f>V55/$V$58%</f>
        <v/>
      </c>
      <c r="Y55" s="1226">
        <f>SUM(Y54)</f>
        <v/>
      </c>
      <c r="Z55" s="1227">
        <f>SUM(Z54)</f>
        <v/>
      </c>
      <c r="AA55" s="1228" t="n"/>
      <c r="AB55" s="1225">
        <f>Z55/$Z$58%</f>
        <v/>
      </c>
      <c r="AC55" s="1226">
        <f>SUM(AC54)</f>
        <v/>
      </c>
      <c r="AD55" s="1227">
        <f>SUM(AD54)</f>
        <v/>
      </c>
      <c r="AE55" s="1228" t="n"/>
      <c r="AF55" s="514">
        <f>AD55/$AD$58%</f>
        <v/>
      </c>
      <c r="AG55" s="1226">
        <f>SUM(AG54)</f>
        <v/>
      </c>
      <c r="AH55" s="1227">
        <f>SUM(AH54)</f>
        <v/>
      </c>
      <c r="AI55" s="1228" t="n"/>
      <c r="AJ55" s="1225">
        <f>AH55/$AH$58%</f>
        <v/>
      </c>
      <c r="AK55" s="1226">
        <f>SUM(AK54)</f>
        <v/>
      </c>
      <c r="AL55" s="1227">
        <f>SUM(AL54)</f>
        <v/>
      </c>
      <c r="AM55" s="1228" t="n"/>
      <c r="AN55" s="1225">
        <f>AL55/$AL$58%</f>
        <v/>
      </c>
      <c r="AO55" s="1226">
        <f>SUM(AO54)</f>
        <v/>
      </c>
      <c r="AP55" s="1227">
        <f>SUM(AP54)</f>
        <v/>
      </c>
      <c r="AQ55" s="1228" t="n"/>
      <c r="AR55" s="1225">
        <f>AP55/$AP$58%</f>
        <v/>
      </c>
      <c r="AS55" s="1226">
        <f>SUM(AS54)</f>
        <v/>
      </c>
      <c r="AT55" s="1227">
        <f>SUM(AT54)</f>
        <v/>
      </c>
      <c r="AU55" s="1228" t="n"/>
      <c r="AV55" s="1225">
        <f>AT55/$AT$58%</f>
        <v/>
      </c>
      <c r="AW55" s="1223">
        <f>E55+I55+M55+Q55+U55+Y55+AC55+AG55+AK55+AO55+AS55</f>
        <v/>
      </c>
      <c r="AX55" s="1223">
        <f>F55+J55+N55+R55+V55+Z55+AD55+AH55+AL55+AP55+AT55</f>
        <v/>
      </c>
      <c r="AY55" s="1228">
        <f>AX55/AW55*100-100</f>
        <v/>
      </c>
      <c r="AZ55" s="451">
        <f>AX55/$AX$58%</f>
        <v/>
      </c>
    </row>
    <row r="56" ht="19.95" customHeight="1">
      <c r="A56" s="478" t="n">
        <v>37</v>
      </c>
      <c r="B56" s="234" t="inlineStr">
        <is>
          <t>ကင်းမြီးကောက်</t>
        </is>
      </c>
      <c r="C56" s="220" t="n">
        <v>0.64</v>
      </c>
      <c r="D56" s="485" t="inlineStr">
        <is>
          <t>1 * 14</t>
        </is>
      </c>
      <c r="E56" s="1229" t="n">
        <v>2038.4</v>
      </c>
      <c r="F56" s="1169" t="n">
        <v>2042.88</v>
      </c>
      <c r="G56" s="1231">
        <f>F56/E56*100-100</f>
        <v/>
      </c>
      <c r="H56" s="1225">
        <f>F56/$F$58%</f>
        <v/>
      </c>
      <c r="I56" s="1229" t="n"/>
      <c r="J56" s="1169" t="n"/>
      <c r="K56" s="1231" t="n"/>
      <c r="L56" s="1225">
        <f>J56/$J$58%</f>
        <v/>
      </c>
      <c r="M56" s="1229" t="n"/>
      <c r="N56" s="1169" t="n"/>
      <c r="O56" s="1231" t="n"/>
      <c r="P56" s="1225">
        <f>N56/$N$58%</f>
        <v/>
      </c>
      <c r="Q56" s="1229" t="n">
        <v>259.84</v>
      </c>
      <c r="R56" s="1169" t="n">
        <v>228.48</v>
      </c>
      <c r="S56" s="1231">
        <f>R56/Q56*100-100</f>
        <v/>
      </c>
      <c r="T56" s="1225">
        <f>R56/$R$58%</f>
        <v/>
      </c>
      <c r="U56" s="1229" t="n">
        <v>896</v>
      </c>
      <c r="V56" s="1169" t="n">
        <v>1254.4</v>
      </c>
      <c r="W56" s="1231">
        <f>V56/U56*100-100</f>
        <v/>
      </c>
      <c r="X56" s="1225">
        <f>V56/$V$58%</f>
        <v/>
      </c>
      <c r="Y56" s="1229" t="n"/>
      <c r="Z56" s="1169" t="n"/>
      <c r="AA56" s="1231" t="n"/>
      <c r="AB56" s="1225">
        <f>Z56/$Z$58%</f>
        <v/>
      </c>
      <c r="AC56" s="1229" t="n"/>
      <c r="AD56" s="1169" t="n"/>
      <c r="AE56" s="1231" t="n"/>
      <c r="AF56" s="514">
        <f>AD56/$AD$58%</f>
        <v/>
      </c>
      <c r="AG56" s="1229" t="n"/>
      <c r="AH56" s="1169" t="n"/>
      <c r="AI56" s="1231" t="n"/>
      <c r="AJ56" s="1225">
        <f>AH56/$AH$58%</f>
        <v/>
      </c>
      <c r="AK56" s="1229" t="n"/>
      <c r="AL56" s="1169" t="n"/>
      <c r="AM56" s="1231" t="n"/>
      <c r="AN56" s="1225">
        <f>AL56/$AL$58%</f>
        <v/>
      </c>
      <c r="AO56" s="1229" t="n"/>
      <c r="AP56" s="1169" t="n"/>
      <c r="AQ56" s="1231" t="n"/>
      <c r="AR56" s="1225">
        <f>AP56/$AP$58%</f>
        <v/>
      </c>
      <c r="AS56" s="1229" t="n"/>
      <c r="AT56" s="1169" t="n"/>
      <c r="AU56" s="1231" t="n"/>
      <c r="AV56" s="1225">
        <f>AT56/$AT$58%</f>
        <v/>
      </c>
      <c r="AW56" s="1223">
        <f>E56+I56+M56+Q56+U56+Y56+AC56+AG56+AK56+AO56+AS56</f>
        <v/>
      </c>
      <c r="AX56" s="1223">
        <f>F56+J56+N56+R56+V56+Z56+AD56+AH56+AL56+AP56+AT56</f>
        <v/>
      </c>
      <c r="AY56" s="1231">
        <f>AX56/AW56*100-100</f>
        <v/>
      </c>
      <c r="AZ56" s="451">
        <f>AX56/$AX$58%</f>
        <v/>
      </c>
    </row>
    <row r="57" ht="19.95" customFormat="1" customHeight="1" s="310" thickBot="1">
      <c r="A57" s="486" t="n"/>
      <c r="B57" s="307" t="inlineStr">
        <is>
          <t>Scropian</t>
        </is>
      </c>
      <c r="C57" s="308" t="n"/>
      <c r="D57" s="484" t="n"/>
      <c r="E57" s="1232">
        <f>SUM(E56)</f>
        <v/>
      </c>
      <c r="F57" s="1233">
        <f>SUM(F56)</f>
        <v/>
      </c>
      <c r="G57" s="1234">
        <f>F57/E57*100-100</f>
        <v/>
      </c>
      <c r="H57" s="1225">
        <f>F57/$F$58%</f>
        <v/>
      </c>
      <c r="I57" s="1232">
        <f>SUM(I56)</f>
        <v/>
      </c>
      <c r="J57" s="1233">
        <f>SUM(J56)</f>
        <v/>
      </c>
      <c r="K57" s="1234" t="n"/>
      <c r="L57" s="1225">
        <f>J57/$J$58%</f>
        <v/>
      </c>
      <c r="M57" s="1232">
        <f>SUM(M56)</f>
        <v/>
      </c>
      <c r="N57" s="1233">
        <f>SUM(N56)</f>
        <v/>
      </c>
      <c r="O57" s="1234" t="n"/>
      <c r="P57" s="1225">
        <f>N57/$N$58%</f>
        <v/>
      </c>
      <c r="Q57" s="1232">
        <f>SUM(Q56)</f>
        <v/>
      </c>
      <c r="R57" s="1233">
        <f>SUM(R56)</f>
        <v/>
      </c>
      <c r="S57" s="1234">
        <f>R57/Q57*100-100</f>
        <v/>
      </c>
      <c r="T57" s="1225">
        <f>R57/$R$58%</f>
        <v/>
      </c>
      <c r="U57" s="1232">
        <f>SUM(U56)</f>
        <v/>
      </c>
      <c r="V57" s="1233">
        <f>SUM(V56)</f>
        <v/>
      </c>
      <c r="W57" s="1234">
        <f>V57/U57*100-100</f>
        <v/>
      </c>
      <c r="X57" s="1225">
        <f>V57/$V$58%</f>
        <v/>
      </c>
      <c r="Y57" s="1232">
        <f>SUM(Y56)</f>
        <v/>
      </c>
      <c r="Z57" s="1233">
        <f>SUM(Z56)</f>
        <v/>
      </c>
      <c r="AA57" s="1234" t="n"/>
      <c r="AB57" s="1225">
        <f>Z57/$Z$58%</f>
        <v/>
      </c>
      <c r="AC57" s="1232">
        <f>SUM(AC56)</f>
        <v/>
      </c>
      <c r="AD57" s="1233">
        <f>SUM(AD56)</f>
        <v/>
      </c>
      <c r="AE57" s="1234" t="n"/>
      <c r="AF57" s="514">
        <f>AD57/$AD$58%</f>
        <v/>
      </c>
      <c r="AG57" s="1232">
        <f>SUM(AG56)</f>
        <v/>
      </c>
      <c r="AH57" s="1233">
        <f>SUM(AH56)</f>
        <v/>
      </c>
      <c r="AI57" s="1234" t="n"/>
      <c r="AJ57" s="1225">
        <f>AH57/$AH$58%</f>
        <v/>
      </c>
      <c r="AK57" s="1232">
        <f>SUM(AK56)</f>
        <v/>
      </c>
      <c r="AL57" s="1233">
        <f>SUM(AL56)</f>
        <v/>
      </c>
      <c r="AM57" s="1234" t="n"/>
      <c r="AN57" s="1225">
        <f>AL57/$AL$58%</f>
        <v/>
      </c>
      <c r="AO57" s="1232">
        <f>SUM(AO56)</f>
        <v/>
      </c>
      <c r="AP57" s="1233">
        <f>SUM(AP56)</f>
        <v/>
      </c>
      <c r="AQ57" s="1234" t="n"/>
      <c r="AR57" s="1225">
        <f>AP57/$AP$58%</f>
        <v/>
      </c>
      <c r="AS57" s="1232">
        <f>SUM(AS56)</f>
        <v/>
      </c>
      <c r="AT57" s="1233">
        <f>SUM(AT56)</f>
        <v/>
      </c>
      <c r="AU57" s="1234" t="n"/>
      <c r="AV57" s="1225">
        <f>AT57/$AT$58%</f>
        <v/>
      </c>
      <c r="AW57" s="1223">
        <f>E57+I57+M57+Q57+U57+Y57+AC57+AG57+AK57+AO57+AS57</f>
        <v/>
      </c>
      <c r="AX57" s="1223">
        <f>F57+J57+N57+R57+V57+Z57+AD57+AH57+AL57+AP57+AT57</f>
        <v/>
      </c>
      <c r="AY57" s="1234">
        <f>AX57/AW57*100-100</f>
        <v/>
      </c>
      <c r="AZ57" s="451">
        <f>AX57/$AX$58%</f>
        <v/>
      </c>
    </row>
    <row r="58" ht="19.95" customHeight="1">
      <c r="A58" s="456" t="n"/>
      <c r="B58" s="457" t="inlineStr">
        <is>
          <t>BE Total</t>
        </is>
      </c>
      <c r="C58" s="458" t="n"/>
      <c r="D58" s="487" t="n"/>
      <c r="E58" s="1235">
        <f>E57+E55+E53+E51+E48+E45+E39+E33+E31+E29+E27+E25+E23+E20+E14+E11+E7+E4</f>
        <v/>
      </c>
      <c r="F58" s="1235">
        <f>F57+F55+F53+F51+F48+F45+F39+F33+F31+F29+F27+F25+F23+F20+F14+F11+F7+F4</f>
        <v/>
      </c>
      <c r="G58" s="1236">
        <f>F58/E58*100-100</f>
        <v/>
      </c>
      <c r="H58" s="1225">
        <f>F58/$F$58%</f>
        <v/>
      </c>
      <c r="I58" s="1235">
        <f>I57+I55+I53+I51+I48+I45+I39+I33+I31+I29+I27+I25+I23+I20+I14+I11+I7+I4</f>
        <v/>
      </c>
      <c r="J58" s="1235">
        <f>J57+J55+J53+J51+J48+J45+J39+J33+J31+J29+J27+J25+J23+J20+J14+J11+J7+J4</f>
        <v/>
      </c>
      <c r="K58" s="1236">
        <f>J58/I58*100-100</f>
        <v/>
      </c>
      <c r="L58" s="1225">
        <f>J58/$J$58%</f>
        <v/>
      </c>
      <c r="M58" s="1235">
        <f>M57+M55+M53+M51+M48+M45+M39+M33+M31+M29+M27+M25+M23+M20+M14+M11+M7+M4</f>
        <v/>
      </c>
      <c r="N58" s="1235">
        <f>N57+N55+N53+N51+N48+N45+N39+N33+N31+N29+N27+N25+N23+N20+N14+N11+N7+N4</f>
        <v/>
      </c>
      <c r="O58" s="1236">
        <f>N58/M58*100-100</f>
        <v/>
      </c>
      <c r="P58" s="1225">
        <f>N58/$N$58%</f>
        <v/>
      </c>
      <c r="Q58" s="1235">
        <f>Q57+Q55+Q53+Q51+Q48+Q45+Q39+Q33+Q31+Q29+Q27+Q25+Q23+Q20+Q14+Q11+Q7+Q4</f>
        <v/>
      </c>
      <c r="R58" s="1235">
        <f>R57+R55+R53+R51+R48+R45+R39+R33+R31+R29+R27+R25+R23+R20+R14+R11+R7+R4</f>
        <v/>
      </c>
      <c r="S58" s="1236">
        <f>R58/Q58*100-100</f>
        <v/>
      </c>
      <c r="T58" s="1225">
        <f>R58/$R$58%</f>
        <v/>
      </c>
      <c r="U58" s="1235">
        <f>U57+U55+U53+U51+U48+U45+U39+U33+U31+U29+U27+U25+U23+U20+U14+U11+U7+U4</f>
        <v/>
      </c>
      <c r="V58" s="1235">
        <f>V57+V55+V53+V51+V48+V45+V39+V33+V31+V29+V27+V25+V23+V20+V14+V11+V7+V4</f>
        <v/>
      </c>
      <c r="W58" s="1236">
        <f>V58/U58*100-100</f>
        <v/>
      </c>
      <c r="X58" s="1225">
        <f>V58/$V$58%</f>
        <v/>
      </c>
      <c r="Y58" s="1235">
        <f>Y57+Y55+Y53+Y51+Y48+Y45+Y39+Y33+Y31+Y29+Y27+Y25+Y23+Y20+Y14+Y11+Y7+Y4</f>
        <v/>
      </c>
      <c r="Z58" s="1235">
        <f>Z57+Z55+Z53+Z51+Z48+Z45+Z39+Z33+Z31+Z29+Z27+Z25+Z23+Z20+Z14+Z11+Z7+Z4</f>
        <v/>
      </c>
      <c r="AA58" s="1236">
        <f>Z58/Y58*100-100</f>
        <v/>
      </c>
      <c r="AB58" s="1225">
        <f>Z58/$Z$58%</f>
        <v/>
      </c>
      <c r="AC58" s="1235">
        <f>AC57+AC55+AC53+AC51+AC48+AC45+AC39+AC33+AC31+AC29+AC27+AC25+AC23+AC20+AC14+AC11+AC7+AC4</f>
        <v/>
      </c>
      <c r="AD58" s="1235">
        <f>AD57+AD55+AD53+AD51+AD48+AD45+AD39+AD33+AD31+AD29+AD27+AD25+AD23+AD20+AD14+AD11+AD7+AD4</f>
        <v/>
      </c>
      <c r="AE58" s="1236">
        <f>AD58/AC58*100-100</f>
        <v/>
      </c>
      <c r="AF58" s="514">
        <f>AD58/$AD$58%</f>
        <v/>
      </c>
      <c r="AG58" s="1235">
        <f>AG57+AG55+AG53+AG51+AG48+AG45+AG39+AG33+AG31+AG29+AG27+AG25+AG23+AG20+AG14+AG11+AG7+AG4</f>
        <v/>
      </c>
      <c r="AH58" s="1235">
        <f>AH57+AH55+AH53+AH51+AH48+AH45+AH39+AH33+AH31+AH29+AH27+AH25+AH23+AH20+AH14+AH11+AH7+AH4</f>
        <v/>
      </c>
      <c r="AI58" s="1236">
        <f>AH58/AG58*100-100</f>
        <v/>
      </c>
      <c r="AJ58" s="1225">
        <f>AH58/$AH$58%</f>
        <v/>
      </c>
      <c r="AK58" s="1235">
        <f>AK57+AK55+AK53+AK51+AK48+AK45+AK39+AK33+AK31+AK29+AK27+AK25+AK23+AK20+AK14+AK11+AK7+AK4</f>
        <v/>
      </c>
      <c r="AL58" s="1235">
        <f>AL57+AL55+AL53+AL51+AL48+AL45+AL39+AL33+AL31+AL29+AL27+AL25+AL23+AL20+AL14+AL11+AL7+AL4</f>
        <v/>
      </c>
      <c r="AM58" s="1236">
        <f>AL58/AK58*100-100</f>
        <v/>
      </c>
      <c r="AN58" s="1225">
        <f>AL58/$AL$58%</f>
        <v/>
      </c>
      <c r="AO58" s="1235">
        <f>AO57+AO55+AO53+AO51+AO48+AO45+AO39+AO33+AO31+AO29+AO27+AO25+AO23+AO20+AO14+AO11+AO7+AO4</f>
        <v/>
      </c>
      <c r="AP58" s="1235">
        <f>AP57+AP55+AP53+AP51+AP48+AP45+AP39+AP33+AP31+AP29+AP27+AP25+AP23+AP20+AP14+AP11+AP7+AP4</f>
        <v/>
      </c>
      <c r="AQ58" s="1236">
        <f>AP58/AO58*100-100</f>
        <v/>
      </c>
      <c r="AR58" s="1225">
        <f>AP58/$AP$58%</f>
        <v/>
      </c>
      <c r="AS58" s="1235">
        <f>AS57+AS55+AS53+AS51+AS48+AS45+AS39+AS33+AS31+AS29+AS27+AS25+AS23+AS20+AS14+AS11+AS7+AS4</f>
        <v/>
      </c>
      <c r="AT58" s="1235">
        <f>AT57+AT55+AT53+AT51+AT48+AT45+AT39+AT33+AT31+AT29+AT27+AT25+AT23+AT20+AT14+AT11+AT7+AT4</f>
        <v/>
      </c>
      <c r="AU58" s="1236">
        <f>AT58/AS58*100-100</f>
        <v/>
      </c>
      <c r="AV58" s="1225">
        <f>AT58/$AT$58%</f>
        <v/>
      </c>
      <c r="AW58" s="1235">
        <f>AW57+AW55+AW53+AW51+AW48+AW45+AW39+AW33+AW31+AW29+AW27+AW25+AW23+AW20+AW14+AW11+AW7+AW4</f>
        <v/>
      </c>
      <c r="AX58" s="1235">
        <f>AX57+AX55+AX53+AX51+AX48+AX45+AX39+AX33+AX31+AX29+AX27+AX25+AX23+AX20+AX14+AX11+AX7+AX4</f>
        <v/>
      </c>
      <c r="AY58" s="1237">
        <f>AX58/AW58*100-100</f>
        <v/>
      </c>
      <c r="AZ58" s="1238">
        <f>AZ3+AZ6+AZ8+AZ9+AZ10+AZ12+AZ13+AZ15+AZ16+AZ17+AZ18+AZ19+AZ22+AZ24+AZ26+AZ30+AZ28+AZ32+AZ34+AZ35+AZ36+AZ38+AZ37+AZ43+AZ41+AZ40+AZ42+AZ44+AZ46+AZ47+AZ52+AZ54+AZ56+AZ5</f>
        <v/>
      </c>
    </row>
    <row r="59" ht="19.95" customHeight="1">
      <c r="A59" s="462" t="n"/>
      <c r="B59" s="239" t="inlineStr">
        <is>
          <t>Year 2025 AVG</t>
        </is>
      </c>
      <c r="C59" s="239" t="n"/>
      <c r="D59" s="488" t="n"/>
      <c r="E59" s="476" t="n"/>
      <c r="F59" s="1239" t="n">
        <v>221437.3675000003</v>
      </c>
      <c r="G59" s="1240" t="n"/>
      <c r="H59" s="1240" t="n"/>
      <c r="I59" s="1239" t="n"/>
      <c r="J59" s="1239" t="n">
        <v>15233.91666666666</v>
      </c>
      <c r="K59" s="1240" t="n"/>
      <c r="L59" s="1240" t="n"/>
      <c r="M59" s="1239" t="n"/>
      <c r="N59" s="1239" t="n">
        <v>75872.36</v>
      </c>
      <c r="O59" s="1240" t="n"/>
      <c r="P59" s="1240" t="n"/>
      <c r="Q59" s="1239" t="n"/>
      <c r="R59" s="1239" t="n">
        <v>74441.60333333333</v>
      </c>
      <c r="S59" s="1240" t="n"/>
      <c r="T59" s="1240" t="n"/>
      <c r="U59" s="1239" t="n"/>
      <c r="V59" s="1239" t="n">
        <v>42941.03</v>
      </c>
      <c r="W59" s="1240" t="n"/>
      <c r="X59" s="1240" t="n"/>
      <c r="Y59" s="1239" t="n"/>
      <c r="Z59" s="1239" t="n">
        <v>15503.61666666667</v>
      </c>
      <c r="AA59" s="1240" t="n"/>
      <c r="AB59" s="1240" t="n"/>
      <c r="AC59" s="1239" t="n"/>
      <c r="AD59" s="1239" t="n">
        <v>93970.34000000001</v>
      </c>
      <c r="AE59" s="1240" t="n"/>
      <c r="AF59" s="1240" t="n"/>
      <c r="AG59" s="1239" t="n"/>
      <c r="AH59" s="1239" t="n">
        <v>10759.29333333333</v>
      </c>
      <c r="AI59" s="1240" t="n"/>
      <c r="AJ59" s="1240" t="n"/>
      <c r="AK59" s="1239" t="n"/>
      <c r="AL59" s="1239" t="n">
        <v>7048.253333333333</v>
      </c>
      <c r="AM59" s="1240" t="n"/>
      <c r="AN59" s="1240" t="n"/>
      <c r="AO59" s="1239" t="n"/>
      <c r="AP59" s="1239" t="n">
        <v>16157.085</v>
      </c>
      <c r="AQ59" s="1240" t="n"/>
      <c r="AR59" s="1240" t="n"/>
      <c r="AS59" s="1239" t="n"/>
      <c r="AT59" s="1239" t="n">
        <v>18282.41333333333</v>
      </c>
      <c r="AU59" s="1240" t="n"/>
      <c r="AV59" s="1240" t="n"/>
      <c r="AW59" s="1239" t="n"/>
      <c r="AX59" s="1239" t="n">
        <v>591647.2791666668</v>
      </c>
      <c r="AY59" s="1240" t="n"/>
      <c r="AZ59" s="1241" t="n"/>
    </row>
    <row r="60" ht="19.95" customHeight="1">
      <c r="A60" s="462" t="n"/>
      <c r="B60" s="239" t="inlineStr">
        <is>
          <t>Growth</t>
        </is>
      </c>
      <c r="C60" s="239" t="n"/>
      <c r="D60" s="488" t="n"/>
      <c r="E60" s="476" t="n"/>
      <c r="F60" s="1239">
        <f>F58/F59*100-100</f>
        <v/>
      </c>
      <c r="G60" s="1240" t="n"/>
      <c r="H60" s="1240" t="n"/>
      <c r="I60" s="1239" t="n"/>
      <c r="J60" s="1242">
        <f>J58/J59*100-100</f>
        <v/>
      </c>
      <c r="K60" s="1240" t="n"/>
      <c r="L60" s="1240" t="n"/>
      <c r="M60" s="1242" t="n"/>
      <c r="N60" s="1242">
        <f>N58/N59*100-100</f>
        <v/>
      </c>
      <c r="O60" s="1240" t="n"/>
      <c r="P60" s="1240" t="n"/>
      <c r="Q60" s="1242" t="n"/>
      <c r="R60" s="1242">
        <f>R58/R59*100-100</f>
        <v/>
      </c>
      <c r="S60" s="1240" t="n"/>
      <c r="T60" s="1240" t="n"/>
      <c r="U60" s="1242" t="n"/>
      <c r="V60" s="1242">
        <f>V58/V59*100-100</f>
        <v/>
      </c>
      <c r="W60" s="1240" t="n"/>
      <c r="X60" s="1240" t="n"/>
      <c r="Y60" s="1242" t="n"/>
      <c r="Z60" s="1239">
        <f>Z58/Z59*100-100</f>
        <v/>
      </c>
      <c r="AA60" s="1240" t="n"/>
      <c r="AB60" s="1240" t="n"/>
      <c r="AC60" s="1239" t="n"/>
      <c r="AD60" s="1242">
        <f>AD58/AD59*100-100</f>
        <v/>
      </c>
      <c r="AE60" s="1240" t="n"/>
      <c r="AF60" s="1240" t="n"/>
      <c r="AG60" s="1242" t="n"/>
      <c r="AH60" s="1242">
        <f>AH58/AH59*100-100</f>
        <v/>
      </c>
      <c r="AI60" s="1240" t="n"/>
      <c r="AJ60" s="1240" t="n"/>
      <c r="AK60" s="1242" t="n"/>
      <c r="AL60" s="1239">
        <f>AL58/AL59*100-100</f>
        <v/>
      </c>
      <c r="AM60" s="1240" t="n"/>
      <c r="AN60" s="1240" t="n"/>
      <c r="AO60" s="1239" t="n"/>
      <c r="AP60" s="1239">
        <f>AP58/AP59*100-100</f>
        <v/>
      </c>
      <c r="AQ60" s="1240" t="n"/>
      <c r="AR60" s="1240" t="n"/>
      <c r="AS60" s="1239" t="n"/>
      <c r="AT60" s="1242">
        <f>AT58/AT59*100-100</f>
        <v/>
      </c>
      <c r="AU60" s="1240" t="n"/>
      <c r="AV60" s="1240" t="n"/>
      <c r="AW60" s="1242" t="n"/>
      <c r="AX60" s="1243">
        <f>AX58/AX59*100-100</f>
        <v/>
      </c>
      <c r="AY60" s="1240" t="n"/>
      <c r="AZ60" s="1241" t="n"/>
    </row>
    <row r="61" ht="19.95" customHeight="1" thickBot="1">
      <c r="A61" s="464" t="n"/>
      <c r="B61" s="465" t="inlineStr">
        <is>
          <t>Gap in Litre</t>
        </is>
      </c>
      <c r="C61" s="465" t="n"/>
      <c r="D61" s="489" t="n"/>
      <c r="E61" s="477" t="n"/>
      <c r="F61" s="1244">
        <f>F58-F59</f>
        <v/>
      </c>
      <c r="G61" s="1245" t="n"/>
      <c r="H61" s="1245" t="n"/>
      <c r="I61" s="1244" t="n"/>
      <c r="J61" s="1246">
        <f>J58-J59</f>
        <v/>
      </c>
      <c r="K61" s="1245" t="n"/>
      <c r="L61" s="1245" t="n"/>
      <c r="M61" s="1246" t="n"/>
      <c r="N61" s="1246">
        <f>N58-N59</f>
        <v/>
      </c>
      <c r="O61" s="1245" t="n"/>
      <c r="P61" s="1245" t="n"/>
      <c r="Q61" s="1246" t="n"/>
      <c r="R61" s="1246">
        <f>R58-R59</f>
        <v/>
      </c>
      <c r="S61" s="1245" t="n"/>
      <c r="T61" s="1245" t="n"/>
      <c r="U61" s="1246" t="n"/>
      <c r="V61" s="1246">
        <f>V58-V59</f>
        <v/>
      </c>
      <c r="W61" s="1245" t="n"/>
      <c r="X61" s="1245" t="n"/>
      <c r="Y61" s="1246" t="n"/>
      <c r="Z61" s="1244">
        <f>Z58-Z59</f>
        <v/>
      </c>
      <c r="AA61" s="1245" t="n"/>
      <c r="AB61" s="1245" t="n"/>
      <c r="AC61" s="1244" t="n"/>
      <c r="AD61" s="1246">
        <f>AD58-AD59</f>
        <v/>
      </c>
      <c r="AE61" s="1245" t="n"/>
      <c r="AF61" s="1245" t="n"/>
      <c r="AG61" s="1246" t="n"/>
      <c r="AH61" s="1246">
        <f>AH58-AH59</f>
        <v/>
      </c>
      <c r="AI61" s="1245" t="n"/>
      <c r="AJ61" s="1245" t="n"/>
      <c r="AK61" s="1246" t="n"/>
      <c r="AL61" s="1244">
        <f>AL58-AL59</f>
        <v/>
      </c>
      <c r="AM61" s="1245" t="n"/>
      <c r="AN61" s="1245" t="n"/>
      <c r="AO61" s="1244" t="n"/>
      <c r="AP61" s="1244">
        <f>AP58-AP59</f>
        <v/>
      </c>
      <c r="AQ61" s="1245" t="n"/>
      <c r="AR61" s="1245" t="n"/>
      <c r="AS61" s="1244" t="n"/>
      <c r="AT61" s="1246">
        <f>AT58-AT59</f>
        <v/>
      </c>
      <c r="AU61" s="1245" t="n"/>
      <c r="AV61" s="1245" t="n"/>
      <c r="AW61" s="1246" t="n"/>
      <c r="AX61" s="1246">
        <f>AX58-AX59</f>
        <v/>
      </c>
      <c r="AY61" s="1245" t="n"/>
      <c r="AZ61" s="1247" t="n"/>
    </row>
  </sheetData>
  <autoFilter ref="A2:AZ61"/>
  <mergeCells count="39">
    <mergeCell ref="AU1:AU2"/>
    <mergeCell ref="AB1:AB2"/>
    <mergeCell ref="AG1:AH1"/>
    <mergeCell ref="AI1:AI2"/>
    <mergeCell ref="C1:C2"/>
    <mergeCell ref="AS1:AT1"/>
    <mergeCell ref="K1:K2"/>
    <mergeCell ref="M1:N1"/>
    <mergeCell ref="O1:O2"/>
    <mergeCell ref="AN1:AN2"/>
    <mergeCell ref="W1:W2"/>
    <mergeCell ref="E1:F1"/>
    <mergeCell ref="Y1:Z1"/>
    <mergeCell ref="B1:B2"/>
    <mergeCell ref="L1:L2"/>
    <mergeCell ref="AE1:AE2"/>
    <mergeCell ref="T1:T2"/>
    <mergeCell ref="AF1:AF2"/>
    <mergeCell ref="AM1:AM2"/>
    <mergeCell ref="X1:X2"/>
    <mergeCell ref="AY1:AY2"/>
    <mergeCell ref="AQ1:AQ2"/>
    <mergeCell ref="Q1:R1"/>
    <mergeCell ref="AK1:AL1"/>
    <mergeCell ref="AC1:AD1"/>
    <mergeCell ref="AO1:AP1"/>
    <mergeCell ref="G1:G2"/>
    <mergeCell ref="AW1:AX1"/>
    <mergeCell ref="AR1:AR2"/>
    <mergeCell ref="I1:J1"/>
    <mergeCell ref="AJ1:AJ2"/>
    <mergeCell ref="S1:S2"/>
    <mergeCell ref="AV1:AV2"/>
    <mergeCell ref="U1:V1"/>
    <mergeCell ref="D1:D2"/>
    <mergeCell ref="H1:H2"/>
    <mergeCell ref="AA1:AA2"/>
    <mergeCell ref="P1:P2"/>
    <mergeCell ref="A1:A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AD29"/>
  <sheetViews>
    <sheetView topLeftCell="D1" zoomScale="70" zoomScaleNormal="70" workbookViewId="0">
      <selection activeCell="AH34" sqref="AH34"/>
    </sheetView>
  </sheetViews>
  <sheetFormatPr baseColWidth="8" defaultColWidth="9.109375" defaultRowHeight="13.8"/>
  <cols>
    <col width="5.44140625" customWidth="1" style="675" min="1" max="1"/>
    <col width="9.109375" customWidth="1" style="675" min="2" max="2"/>
    <col width="31.33203125" customWidth="1" style="675" min="3" max="3"/>
    <col width="9.109375" customWidth="1" style="675" min="4" max="8"/>
    <col width="8.6640625" customWidth="1" style="675" min="9" max="9"/>
    <col width="3.6640625" customWidth="1" style="675" min="10" max="10"/>
    <col width="6.109375" customWidth="1" style="675" min="11" max="11"/>
    <col width="8.88671875" customWidth="1" style="675" min="12" max="12"/>
    <col width="35" customWidth="1" style="675" min="13" max="13"/>
    <col width="8" customWidth="1" style="675" min="14" max="14"/>
    <col width="9.109375" customWidth="1" style="675" min="15" max="19"/>
    <col width="3.109375" customWidth="1" style="675" min="20" max="20"/>
    <col width="6.33203125" customWidth="1" style="675" min="21" max="21"/>
    <col width="9.109375" customWidth="1" style="675" min="22" max="22"/>
    <col width="38.6640625" customWidth="1" style="675" min="23" max="23"/>
    <col width="9.109375" customWidth="1" style="675" min="24" max="29"/>
    <col width="8.88671875" customWidth="1" style="675" min="30" max="30"/>
    <col width="9.109375" customWidth="1" style="675" min="31" max="32"/>
    <col width="8.88671875" customWidth="1" style="675" min="33" max="33"/>
    <col width="9.109375" customWidth="1" style="675" min="34" max="16384"/>
  </cols>
  <sheetData>
    <row r="1" ht="20.4" customHeight="1">
      <c r="A1" s="927" t="inlineStr">
        <is>
          <t xml:space="preserve">မိထ္တီလာ  VAN - 1 (2026)
တာဝန်ခံ - ကောင်းဆက်သန့် ၊ နန္ဒဖြိုး
</t>
        </is>
      </c>
      <c r="B1" s="1248" t="n"/>
      <c r="C1" s="1248" t="n"/>
      <c r="D1" s="1248" t="n"/>
      <c r="E1" s="1248" t="n"/>
      <c r="F1" s="1248" t="n"/>
      <c r="G1" s="1248" t="n"/>
      <c r="H1" s="1248" t="n"/>
      <c r="I1" s="1248" t="n"/>
      <c r="K1" s="927" t="inlineStr">
        <is>
          <t xml:space="preserve">မိထ္တီလာ  VAN - 2 (2026)
တာဝန်ခံ - ကောင်းဆက်သန့် ၊ နန္ဒဖြိုး
</t>
        </is>
      </c>
      <c r="L1" s="1248" t="n"/>
      <c r="M1" s="1248" t="n"/>
      <c r="N1" s="1248" t="n"/>
      <c r="O1" s="1248" t="n"/>
      <c r="P1" s="1248" t="n"/>
      <c r="Q1" s="1248" t="n"/>
      <c r="R1" s="1248" t="n"/>
      <c r="S1" s="1248" t="n"/>
      <c r="U1" s="927" t="inlineStr">
        <is>
          <t xml:space="preserve">မိထ္တီလာ  VAN - 3 Yame Thin New Market (2026)
တာဝန်ခံ - ကောင်းဆက်သန့် ၊ နန္ဒဖြိုး
</t>
        </is>
      </c>
      <c r="V1" s="1248" t="n"/>
      <c r="W1" s="1248" t="n"/>
      <c r="X1" s="1248" t="n"/>
      <c r="Y1" s="1248" t="n"/>
      <c r="Z1" s="1248" t="n"/>
      <c r="AA1" s="1248" t="n"/>
      <c r="AB1" s="1248" t="n"/>
      <c r="AC1" s="1248" t="n"/>
    </row>
    <row r="2" ht="20.4" customHeight="1">
      <c r="A2" s="929" t="inlineStr">
        <is>
          <t>စဉ်</t>
        </is>
      </c>
      <c r="B2" s="929" t="inlineStr">
        <is>
          <t xml:space="preserve">Way </t>
        </is>
      </c>
      <c r="C2" s="931" t="inlineStr">
        <is>
          <t xml:space="preserve">Acutal Way Name </t>
        </is>
      </c>
      <c r="D2" s="931" t="inlineStr">
        <is>
          <t xml:space="preserve">Number of Outlets </t>
        </is>
      </c>
      <c r="E2" s="1248" t="n"/>
      <c r="F2" s="1248" t="n"/>
      <c r="G2" s="1248" t="n"/>
      <c r="H2" s="1248" t="n"/>
      <c r="I2" s="1249" t="n"/>
      <c r="K2" s="929" t="inlineStr">
        <is>
          <t>စဉ်</t>
        </is>
      </c>
      <c r="L2" s="929" t="inlineStr">
        <is>
          <t xml:space="preserve">Way </t>
        </is>
      </c>
      <c r="M2" s="931" t="inlineStr">
        <is>
          <t xml:space="preserve">Acutal Way Name </t>
        </is>
      </c>
      <c r="N2" s="931" t="inlineStr">
        <is>
          <t xml:space="preserve">Number of Outlets </t>
        </is>
      </c>
      <c r="O2" s="1248" t="n"/>
      <c r="P2" s="1248" t="n"/>
      <c r="Q2" s="1248" t="n"/>
      <c r="R2" s="1248" t="n"/>
      <c r="S2" s="1249" t="n"/>
      <c r="U2" s="929" t="inlineStr">
        <is>
          <t>စဉ်</t>
        </is>
      </c>
      <c r="V2" s="929" t="inlineStr">
        <is>
          <t xml:space="preserve">Way </t>
        </is>
      </c>
      <c r="W2" s="931" t="inlineStr">
        <is>
          <t xml:space="preserve">Acutal Way Name </t>
        </is>
      </c>
      <c r="X2" s="931" t="inlineStr">
        <is>
          <t xml:space="preserve">Number of Outlets </t>
        </is>
      </c>
      <c r="Y2" s="1248" t="n"/>
      <c r="Z2" s="1248" t="n"/>
      <c r="AA2" s="1248" t="n"/>
      <c r="AB2" s="1248" t="n"/>
      <c r="AC2" s="1249" t="n"/>
    </row>
    <row r="3" ht="20.4" customHeight="1">
      <c r="A3" s="677" t="n"/>
      <c r="B3" s="973" t="n"/>
      <c r="C3" s="973" t="n"/>
      <c r="D3" s="932" t="inlineStr">
        <is>
          <t>A</t>
        </is>
      </c>
      <c r="E3" s="932" t="inlineStr">
        <is>
          <t>B</t>
        </is>
      </c>
      <c r="F3" s="932" t="inlineStr">
        <is>
          <t>C</t>
        </is>
      </c>
      <c r="G3" s="932" t="inlineStr">
        <is>
          <t>D</t>
        </is>
      </c>
      <c r="H3" s="932" t="inlineStr">
        <is>
          <t>S</t>
        </is>
      </c>
      <c r="I3" s="932" t="inlineStr">
        <is>
          <t>Total</t>
        </is>
      </c>
      <c r="K3" s="677" t="n"/>
      <c r="L3" s="973" t="n"/>
      <c r="M3" s="973" t="n"/>
      <c r="N3" s="932" t="inlineStr">
        <is>
          <t>A</t>
        </is>
      </c>
      <c r="O3" s="932" t="inlineStr">
        <is>
          <t>B</t>
        </is>
      </c>
      <c r="P3" s="932" t="inlineStr">
        <is>
          <t>C</t>
        </is>
      </c>
      <c r="Q3" s="932" t="inlineStr">
        <is>
          <t>D</t>
        </is>
      </c>
      <c r="R3" s="932" t="inlineStr">
        <is>
          <t>S</t>
        </is>
      </c>
      <c r="S3" s="932" t="inlineStr">
        <is>
          <t>Total</t>
        </is>
      </c>
      <c r="U3" s="677" t="n"/>
      <c r="V3" s="973" t="n"/>
      <c r="W3" s="973" t="n"/>
      <c r="X3" s="932" t="inlineStr">
        <is>
          <t>A</t>
        </is>
      </c>
      <c r="Y3" s="932" t="inlineStr">
        <is>
          <t>B</t>
        </is>
      </c>
      <c r="Z3" s="932" t="inlineStr">
        <is>
          <t>C</t>
        </is>
      </c>
      <c r="AA3" s="932" t="inlineStr">
        <is>
          <t>D</t>
        </is>
      </c>
      <c r="AB3" s="932" t="inlineStr">
        <is>
          <t>S</t>
        </is>
      </c>
      <c r="AC3" s="932" t="inlineStr">
        <is>
          <t>Total</t>
        </is>
      </c>
    </row>
    <row r="4" ht="22.95" customHeight="1">
      <c r="A4" s="679" t="n">
        <v>1</v>
      </c>
      <c r="B4" s="679" t="inlineStr">
        <is>
          <t>Van 1-1</t>
        </is>
      </c>
      <c r="C4" s="680" t="inlineStr">
        <is>
          <t>ယင်းမာပင်-ပြည်ညောင်</t>
        </is>
      </c>
      <c r="D4" s="680" t="n"/>
      <c r="E4" s="933" t="n">
        <v>2</v>
      </c>
      <c r="F4" s="933" t="n"/>
      <c r="G4" s="932" t="n">
        <v>10</v>
      </c>
      <c r="H4" s="932" t="n"/>
      <c r="I4" s="932">
        <f>SUM(E4:H4)</f>
        <v/>
      </c>
      <c r="K4" s="679" t="n">
        <v>1</v>
      </c>
      <c r="L4" s="679" t="inlineStr">
        <is>
          <t>Van 2-1</t>
        </is>
      </c>
      <c r="M4" s="682" t="inlineStr">
        <is>
          <t>ထနောင်းကုန်း-ထနောင်းကန်(သာစည်)</t>
        </is>
      </c>
      <c r="N4" s="683" t="n"/>
      <c r="O4" s="684" t="n"/>
      <c r="P4" s="684" t="n"/>
      <c r="Q4" s="684" t="n">
        <v>12</v>
      </c>
      <c r="R4" s="685" t="n"/>
      <c r="S4" s="685">
        <f>SUM(N4:R4)</f>
        <v/>
      </c>
      <c r="U4" s="679" t="n">
        <v>1</v>
      </c>
      <c r="V4" s="679" t="inlineStr">
        <is>
          <t>Van 3-1</t>
        </is>
      </c>
      <c r="W4" s="686" t="inlineStr">
        <is>
          <t xml:space="preserve">ကံသာအေး၊ထူးကုန်း၊ဘွတ်ရွာ၊ဗျဥ်းကတ် </t>
        </is>
      </c>
      <c r="X4" s="685" t="n"/>
      <c r="Y4" s="685" t="n"/>
      <c r="Z4" s="685" t="n"/>
      <c r="AA4" s="685" t="n">
        <v>10</v>
      </c>
      <c r="AB4" s="685" t="n"/>
      <c r="AC4" s="685">
        <f>AA4</f>
        <v/>
      </c>
    </row>
    <row r="5" ht="22.95" customHeight="1">
      <c r="A5" s="679" t="n">
        <v>2</v>
      </c>
      <c r="B5" s="679" t="inlineStr">
        <is>
          <t>Van 1-2</t>
        </is>
      </c>
      <c r="C5" s="680" t="inlineStr">
        <is>
          <t>တက်မ-ငါးမင်းမေ့(ညောင်ဦး)</t>
        </is>
      </c>
      <c r="D5" s="680" t="n"/>
      <c r="E5" s="933" t="n"/>
      <c r="F5" s="933" t="n"/>
      <c r="G5" s="932" t="n">
        <v>11</v>
      </c>
      <c r="H5" s="932" t="n"/>
      <c r="I5" s="932">
        <f>SUM(E5:H5)</f>
        <v/>
      </c>
      <c r="K5" s="679" t="n">
        <v>2</v>
      </c>
      <c r="L5" s="679" t="inlineStr">
        <is>
          <t>Van 2-2</t>
        </is>
      </c>
      <c r="M5" s="687" t="inlineStr">
        <is>
          <t>ဟံဇား-ကျောက်ပနား-သာဂရ(ဝမ်းတွင်း)</t>
        </is>
      </c>
      <c r="N5" s="687" t="n"/>
      <c r="O5" s="686" t="n"/>
      <c r="P5" s="686" t="n"/>
      <c r="Q5" s="686" t="n">
        <v>15</v>
      </c>
      <c r="R5" s="685" t="n"/>
      <c r="S5" s="685">
        <f>SUM(N5:R5)</f>
        <v/>
      </c>
      <c r="U5" s="679" t="n">
        <v>2</v>
      </c>
      <c r="V5" s="679" t="inlineStr">
        <is>
          <t>Van 3-2</t>
        </is>
      </c>
      <c r="W5" s="686" t="inlineStr">
        <is>
          <t>ထီးလှိုင်၊ကင်ပွန်းချုံ၊ဘွတ်ရွာ၊ထူးကုန်း၊သပြေပင်</t>
        </is>
      </c>
      <c r="X5" s="685" t="n"/>
      <c r="Y5" s="685" t="n"/>
      <c r="Z5" s="685" t="n"/>
      <c r="AA5" s="685" t="n">
        <v>10</v>
      </c>
      <c r="AB5" s="685" t="n"/>
      <c r="AC5" s="685">
        <f>AA5</f>
        <v/>
      </c>
    </row>
    <row r="6" ht="22.95" customHeight="1">
      <c r="A6" s="679" t="n">
        <v>3</v>
      </c>
      <c r="B6" s="679" t="inlineStr">
        <is>
          <t>Van 1-3</t>
        </is>
      </c>
      <c r="C6" s="680" t="inlineStr">
        <is>
          <t>ပုဂံမြို့-သူကောင်း (ညောင်ဦး)</t>
        </is>
      </c>
      <c r="D6" s="680" t="n"/>
      <c r="E6" s="933" t="n">
        <v>13</v>
      </c>
      <c r="F6" s="686" t="n">
        <v>1</v>
      </c>
      <c r="G6" s="932" t="n">
        <v>2</v>
      </c>
      <c r="H6" s="932" t="n"/>
      <c r="I6" s="932">
        <f>SUM(E6:H6)</f>
        <v/>
      </c>
      <c r="K6" s="679" t="n">
        <v>3</v>
      </c>
      <c r="L6" s="679" t="inlineStr">
        <is>
          <t>Van 2-3</t>
        </is>
      </c>
      <c r="M6" s="687" t="inlineStr">
        <is>
          <t>ရွှေတောင်-ဒိုင်ကောင်းကုန်း(ဝမ်းတွင်း)</t>
        </is>
      </c>
      <c r="N6" s="687" t="n"/>
      <c r="O6" s="686" t="n"/>
      <c r="P6" s="686" t="n"/>
      <c r="Q6" s="686" t="n">
        <v>15</v>
      </c>
      <c r="R6" s="685" t="n"/>
      <c r="S6" s="685">
        <f>SUM(N6:R6)</f>
        <v/>
      </c>
      <c r="U6" s="679" t="n">
        <v>3</v>
      </c>
      <c r="V6" s="679" t="inlineStr">
        <is>
          <t>Van 3-3</t>
        </is>
      </c>
      <c r="W6" s="686" t="inlineStr">
        <is>
          <t>မြို့လှ၊ဌက်ပျောတော၊သရက်ပင်၊ပင်းစု၊အင်ပေါင်း</t>
        </is>
      </c>
      <c r="X6" s="685" t="n"/>
      <c r="Y6" s="685" t="n"/>
      <c r="Z6" s="685" t="n"/>
      <c r="AA6" s="685" t="n">
        <v>13</v>
      </c>
      <c r="AB6" s="685" t="n"/>
      <c r="AC6" s="685">
        <f>AA6</f>
        <v/>
      </c>
    </row>
    <row r="7" ht="22.95" customHeight="1">
      <c r="A7" s="679" t="n">
        <v>4</v>
      </c>
      <c r="B7" s="679" t="inlineStr">
        <is>
          <t>Van 1-4</t>
        </is>
      </c>
      <c r="C7" s="687" t="inlineStr">
        <is>
          <t>ရန်နောင်-စံကျော်နက်(ပျော်ဘွယ်)</t>
        </is>
      </c>
      <c r="D7" s="680" t="n"/>
      <c r="E7" s="933" t="n">
        <v>2</v>
      </c>
      <c r="F7" s="933" t="n"/>
      <c r="G7" s="932" t="n">
        <v>13</v>
      </c>
      <c r="H7" s="932" t="n"/>
      <c r="I7" s="932">
        <f>SUM(E7:H7)</f>
        <v/>
      </c>
      <c r="K7" s="679" t="n">
        <v>4</v>
      </c>
      <c r="L7" s="679" t="inlineStr">
        <is>
          <t>Van 2-4</t>
        </is>
      </c>
      <c r="M7" s="687" t="inlineStr">
        <is>
          <t>ခင်ကြီး-ခင်ဘန်း-ကန်စွယ်-သဲတော</t>
        </is>
      </c>
      <c r="N7" s="687" t="n"/>
      <c r="O7" s="686" t="n"/>
      <c r="P7" s="686" t="n"/>
      <c r="Q7" s="686" t="n">
        <v>13</v>
      </c>
      <c r="R7" s="685" t="n"/>
      <c r="S7" s="685">
        <f>SUM(N7:R7)</f>
        <v/>
      </c>
      <c r="U7" s="679" t="n">
        <v>4</v>
      </c>
      <c r="V7" s="679" t="inlineStr">
        <is>
          <t>Van 3-4</t>
        </is>
      </c>
      <c r="W7" s="686" t="inlineStr">
        <is>
          <t>ပြတိုက်၊ဈေးကုန်းကြီး၊အင်းကုန်း၊အလယ်ကုန်း</t>
        </is>
      </c>
      <c r="X7" s="685" t="n"/>
      <c r="Y7" s="685" t="n"/>
      <c r="Z7" s="685" t="n"/>
      <c r="AA7" s="679" t="n">
        <v>5</v>
      </c>
      <c r="AB7" s="685" t="n"/>
      <c r="AC7" s="685">
        <f>AA7</f>
        <v/>
      </c>
    </row>
    <row r="8" ht="22.95" customHeight="1">
      <c r="A8" s="679" t="n">
        <v>5</v>
      </c>
      <c r="B8" s="679" t="inlineStr">
        <is>
          <t>Van 1-5</t>
        </is>
      </c>
      <c r="C8" s="687" t="inlineStr">
        <is>
          <t>ရွာတန်း-ကံဦး-ဘိုကုန်း(ရမည်းသင်း)</t>
        </is>
      </c>
      <c r="D8" s="687" t="n"/>
      <c r="E8" s="686" t="n">
        <v>5</v>
      </c>
      <c r="F8" s="686" t="n"/>
      <c r="G8" s="932" t="n">
        <v>11</v>
      </c>
      <c r="H8" s="932" t="n"/>
      <c r="I8" s="932">
        <f>SUM(E8:H8)</f>
        <v/>
      </c>
      <c r="K8" s="679" t="n">
        <v>5</v>
      </c>
      <c r="L8" s="679" t="inlineStr">
        <is>
          <t>Van 2-5</t>
        </is>
      </c>
      <c r="M8" s="687" t="inlineStr">
        <is>
          <t>သဖန်း-အိုမတွေ့-သစ်ပလွေ(ဝမ်းတွင်း)</t>
        </is>
      </c>
      <c r="N8" s="687" t="n"/>
      <c r="O8" s="686" t="n"/>
      <c r="P8" s="686" t="n"/>
      <c r="Q8" s="686" t="n">
        <v>9</v>
      </c>
      <c r="R8" s="685" t="n"/>
      <c r="S8" s="685">
        <f>SUM(N8:R8)</f>
        <v/>
      </c>
      <c r="U8" s="679" t="n">
        <v>5</v>
      </c>
      <c r="V8" s="679" t="inlineStr">
        <is>
          <t>Van 3-5</t>
        </is>
      </c>
      <c r="W8" s="686" t="inlineStr">
        <is>
          <t>နံချွန်၊ဝကုန်း၊ကျီစု၊ခံဘူး၊ရွှေဘူး၊သိမ်ကုန်း</t>
        </is>
      </c>
      <c r="X8" s="685" t="n"/>
      <c r="Y8" s="685" t="n"/>
      <c r="Z8" s="685" t="n"/>
      <c r="AA8" s="685" t="n">
        <v>6</v>
      </c>
      <c r="AB8" s="685" t="n"/>
      <c r="AC8" s="685">
        <f>AA8</f>
        <v/>
      </c>
    </row>
    <row r="9" ht="22.95" customHeight="1">
      <c r="A9" s="679" t="n">
        <v>6</v>
      </c>
      <c r="B9" s="679" t="inlineStr">
        <is>
          <t>Van 1-6</t>
        </is>
      </c>
      <c r="C9" s="687" t="inlineStr">
        <is>
          <t>လက်ပံပျား-တောင်ဦး-ဝက်ချုပ်ကုန်း</t>
        </is>
      </c>
      <c r="D9" s="687" t="n"/>
      <c r="E9" s="686" t="n"/>
      <c r="F9" s="686" t="n">
        <v>4</v>
      </c>
      <c r="G9" s="932" t="n">
        <v>9</v>
      </c>
      <c r="H9" s="932" t="n"/>
      <c r="I9" s="932">
        <f>SUM(E9:H9)</f>
        <v/>
      </c>
      <c r="K9" s="679" t="n">
        <v>6</v>
      </c>
      <c r="L9" s="679" t="inlineStr">
        <is>
          <t>Van 2-6</t>
        </is>
      </c>
      <c r="M9" s="680" t="inlineStr">
        <is>
          <t>တဲစု-ပင်းတလဲ-အင်းကုန်း (ဝမ်းတွင်း)</t>
        </is>
      </c>
      <c r="N9" s="680" t="n"/>
      <c r="O9" s="933" t="n"/>
      <c r="P9" s="933" t="n">
        <v>1</v>
      </c>
      <c r="Q9" s="933" t="n">
        <v>5</v>
      </c>
      <c r="R9" s="685" t="n"/>
      <c r="S9" s="685">
        <f>SUM(N9:R9)</f>
        <v/>
      </c>
      <c r="U9" s="679" t="n">
        <v>6</v>
      </c>
      <c r="V9" s="679" t="inlineStr">
        <is>
          <t>Van 3-6</t>
        </is>
      </c>
      <c r="W9" s="686" t="inlineStr">
        <is>
          <t>ရွာတန်း၊မာန်ကြီးကုန်း၊အနောက်သပြေပင်</t>
        </is>
      </c>
      <c r="X9" s="685" t="n"/>
      <c r="Y9" s="685" t="n"/>
      <c r="Z9" s="685" t="n"/>
      <c r="AA9" s="685" t="n">
        <v>9</v>
      </c>
      <c r="AB9" s="685" t="n"/>
      <c r="AC9" s="685">
        <f>AA9</f>
        <v/>
      </c>
    </row>
    <row r="10" ht="22.95" customHeight="1">
      <c r="A10" s="679" t="n">
        <v>7</v>
      </c>
      <c r="B10" s="679" t="inlineStr">
        <is>
          <t>Van 1-7</t>
        </is>
      </c>
      <c r="C10" s="687" t="inlineStr">
        <is>
          <t xml:space="preserve">ပန်းပဲကြီး-ပန်းပဲလေး-ရိုးခြား </t>
        </is>
      </c>
      <c r="D10" s="687" t="n"/>
      <c r="E10" s="686" t="n"/>
      <c r="F10" s="686" t="n"/>
      <c r="G10" s="932" t="n">
        <v>11</v>
      </c>
      <c r="H10" s="932" t="n"/>
      <c r="I10" s="932">
        <f>SUM(E10:H10)</f>
        <v/>
      </c>
      <c r="K10" s="679" t="n">
        <v>7</v>
      </c>
      <c r="L10" s="679" t="inlineStr">
        <is>
          <t>Van 2-7</t>
        </is>
      </c>
      <c r="M10" s="687" t="inlineStr">
        <is>
          <t>အုတ်တွင်း-နန်းတော်ကုန်း-မြောင်းဦး-ဇဝင်း</t>
        </is>
      </c>
      <c r="N10" s="687" t="n"/>
      <c r="O10" s="686" t="n"/>
      <c r="P10" s="686" t="n"/>
      <c r="Q10" s="686" t="n">
        <v>17</v>
      </c>
      <c r="R10" s="685" t="n"/>
      <c r="S10" s="685">
        <f>SUM(N10:R10)</f>
        <v/>
      </c>
      <c r="U10" s="679" t="n"/>
      <c r="V10" s="679" t="n"/>
      <c r="W10" s="687" t="n"/>
      <c r="X10" s="687" t="n"/>
      <c r="Y10" s="686" t="n"/>
      <c r="Z10" s="686" t="n"/>
      <c r="AA10" s="686" t="n"/>
      <c r="AB10" s="685" t="n"/>
      <c r="AC10" s="685" t="n"/>
    </row>
    <row r="11" ht="22.95" customHeight="1">
      <c r="A11" s="679" t="n">
        <v>8</v>
      </c>
      <c r="B11" s="679" t="inlineStr">
        <is>
          <t>Van 1-8</t>
        </is>
      </c>
      <c r="C11" s="687" t="inlineStr">
        <is>
          <t>ရေထွက်-ပုပ္ပါး-သန်းကြီးကုန်း</t>
        </is>
      </c>
      <c r="D11" s="687" t="n"/>
      <c r="E11" s="686" t="n"/>
      <c r="F11" s="686" t="n">
        <v>1</v>
      </c>
      <c r="G11" s="932" t="n">
        <v>10</v>
      </c>
      <c r="H11" s="932" t="n"/>
      <c r="I11" s="932">
        <f>SUM(E11:H11)</f>
        <v/>
      </c>
      <c r="K11" s="679" t="n">
        <v>8</v>
      </c>
      <c r="L11" s="679" t="inlineStr">
        <is>
          <t>Van 2-8</t>
        </is>
      </c>
      <c r="M11" s="686" t="inlineStr">
        <is>
          <t>နှမ်းကန်-ကုက္ကိုပေါက်-ညောင်ရမ်း(သာစည်)</t>
        </is>
      </c>
      <c r="N11" s="680" t="n"/>
      <c r="O11" s="933" t="n"/>
      <c r="P11" s="933" t="n"/>
      <c r="Q11" s="933" t="n">
        <v>14</v>
      </c>
      <c r="R11" s="685" t="n"/>
      <c r="S11" s="685">
        <f>SUM(N11:R11)</f>
        <v/>
      </c>
      <c r="U11" s="679" t="n"/>
      <c r="V11" s="679" t="n"/>
      <c r="W11" s="686" t="n"/>
      <c r="X11" s="680" t="n"/>
      <c r="Y11" s="933" t="n"/>
      <c r="Z11" s="933" t="n"/>
      <c r="AA11" s="933" t="n"/>
      <c r="AB11" s="685" t="n"/>
      <c r="AC11" s="685" t="n"/>
    </row>
    <row r="12" ht="22.95" customHeight="1">
      <c r="A12" s="679" t="n">
        <v>9</v>
      </c>
      <c r="B12" s="679" t="inlineStr">
        <is>
          <t>Van 1-9</t>
        </is>
      </c>
      <c r="C12" s="687" t="inlineStr">
        <is>
          <t>သီးပင်ကုန်း-ကျေးသာအိုင့်(KPD)</t>
        </is>
      </c>
      <c r="D12" s="687" t="n"/>
      <c r="E12" s="686" t="n"/>
      <c r="F12" s="686" t="n">
        <v>4</v>
      </c>
      <c r="G12" s="932" t="n">
        <v>5</v>
      </c>
      <c r="H12" s="932" t="n"/>
      <c r="I12" s="932">
        <f>SUM(E12:H12)</f>
        <v/>
      </c>
      <c r="K12" s="679" t="n">
        <v>9</v>
      </c>
      <c r="L12" s="679" t="inlineStr">
        <is>
          <t>Van 2-9</t>
        </is>
      </c>
      <c r="M12" s="680" t="inlineStr">
        <is>
          <t>ကျောက်ကာ-ကုက္ကိုကုန်း-ညောင်အိုင့်(PB)</t>
        </is>
      </c>
      <c r="N12" s="680" t="n"/>
      <c r="O12" s="933" t="n">
        <v>1</v>
      </c>
      <c r="P12" s="933" t="n"/>
      <c r="Q12" s="933" t="n">
        <v>13</v>
      </c>
      <c r="R12" s="685" t="n"/>
      <c r="S12" s="685">
        <f>SUM(N12:R12)</f>
        <v/>
      </c>
      <c r="U12" s="679" t="n"/>
      <c r="V12" s="679" t="n"/>
      <c r="W12" s="680" t="n"/>
      <c r="X12" s="680" t="n"/>
      <c r="Y12" s="933" t="n"/>
      <c r="Z12" s="933" t="n"/>
      <c r="AA12" s="933" t="n"/>
      <c r="AB12" s="685" t="n"/>
      <c r="AC12" s="685" t="n"/>
    </row>
    <row r="13" ht="21" customHeight="1">
      <c r="A13" s="679" t="n">
        <v>10</v>
      </c>
      <c r="B13" s="679" t="inlineStr">
        <is>
          <t>Van 1-10</t>
        </is>
      </c>
      <c r="C13" s="680" t="inlineStr">
        <is>
          <t>ခံဘူး-ဝကုန်း-ရှမ်းရွာ(ပျော်ဘွယ်)</t>
        </is>
      </c>
      <c r="D13" s="680" t="n"/>
      <c r="E13" s="680" t="n"/>
      <c r="F13" s="680" t="n"/>
      <c r="G13" s="932" t="n">
        <v>10</v>
      </c>
      <c r="H13" s="932" t="n"/>
      <c r="I13" s="932">
        <f>SUM(E13:H13)</f>
        <v/>
      </c>
      <c r="K13" s="679" t="n">
        <v>10</v>
      </c>
      <c r="L13" s="679" t="inlineStr">
        <is>
          <t>Van 2-10</t>
        </is>
      </c>
      <c r="M13" s="687" t="inlineStr">
        <is>
          <t>ရွှေတုတ်ကုန်း-နတ်မြောင်း(သာစည်)</t>
        </is>
      </c>
      <c r="N13" s="687" t="n"/>
      <c r="O13" s="687" t="n"/>
      <c r="P13" s="685" t="n"/>
      <c r="Q13" s="685" t="n">
        <v>11</v>
      </c>
      <c r="R13" s="685" t="n"/>
      <c r="S13" s="685">
        <f>SUM(N13:R13)</f>
        <v/>
      </c>
      <c r="U13" s="679" t="n"/>
      <c r="V13" s="679" t="n"/>
      <c r="W13" s="687" t="n"/>
      <c r="X13" s="687" t="n"/>
      <c r="Y13" s="687" t="n"/>
      <c r="Z13" s="685" t="n"/>
      <c r="AA13" s="685" t="n"/>
      <c r="AB13" s="685" t="n"/>
      <c r="AC13" s="685" t="n"/>
    </row>
    <row r="14" ht="22.95" customHeight="1">
      <c r="A14" s="679" t="n">
        <v>11</v>
      </c>
      <c r="B14" s="679" t="inlineStr">
        <is>
          <t>Van 1-11</t>
        </is>
      </c>
      <c r="C14" s="687" t="inlineStr">
        <is>
          <t>အောက်တောက်-ပြတိုက်(ရမည်းသင်း)</t>
        </is>
      </c>
      <c r="D14" s="687" t="n"/>
      <c r="E14" s="686" t="n">
        <v>1</v>
      </c>
      <c r="F14" s="687" t="n"/>
      <c r="G14" s="932" t="n">
        <v>12</v>
      </c>
      <c r="H14" s="932" t="n"/>
      <c r="I14" s="932">
        <f>SUM(E14:H14)</f>
        <v/>
      </c>
      <c r="K14" s="932" t="n"/>
      <c r="L14" s="932" t="n"/>
      <c r="M14" s="932" t="n"/>
      <c r="N14" s="932" t="n"/>
      <c r="O14" s="932" t="n"/>
      <c r="P14" s="932" t="n"/>
      <c r="Q14" s="932" t="n"/>
      <c r="R14" s="932" t="n"/>
      <c r="S14" s="932" t="n"/>
      <c r="U14" s="932" t="n"/>
      <c r="V14" s="932" t="n"/>
      <c r="W14" s="932" t="n"/>
      <c r="X14" s="932" t="n"/>
      <c r="Y14" s="932" t="n"/>
      <c r="Z14" s="932" t="n"/>
      <c r="AA14" s="932" t="n"/>
      <c r="AB14" s="932" t="n"/>
      <c r="AC14" s="932" t="n"/>
    </row>
    <row r="15" ht="20.4" customHeight="1">
      <c r="A15" s="688" t="n"/>
      <c r="B15" s="688" t="n"/>
      <c r="C15" s="688" t="n"/>
      <c r="D15" s="688" t="n"/>
      <c r="E15" s="689">
        <f>SUM(E4:E14)</f>
        <v/>
      </c>
      <c r="F15" s="689">
        <f>SUM(F4:F14)</f>
        <v/>
      </c>
      <c r="G15" s="689">
        <f>SUM(G4:G14)</f>
        <v/>
      </c>
      <c r="H15" s="689" t="n"/>
      <c r="I15" s="688">
        <f>SUM(E15:H15)</f>
        <v/>
      </c>
      <c r="K15" s="688" t="n"/>
      <c r="L15" s="688" t="n"/>
      <c r="M15" s="688" t="n"/>
      <c r="N15" s="688" t="n"/>
      <c r="O15" s="689">
        <f>SUM(O4:O14)</f>
        <v/>
      </c>
      <c r="P15" s="689">
        <f>SUM(P4:P14)</f>
        <v/>
      </c>
      <c r="Q15" s="689">
        <f>SUM(Q4:Q14)</f>
        <v/>
      </c>
      <c r="R15" s="689" t="n"/>
      <c r="S15" s="688">
        <f>SUM(O15:R15)</f>
        <v/>
      </c>
      <c r="U15" s="688" t="n"/>
      <c r="V15" s="688" t="n"/>
      <c r="W15" s="688" t="n"/>
      <c r="X15" s="688" t="n"/>
      <c r="Y15" s="689">
        <f>SUM(Y4:Y14)</f>
        <v/>
      </c>
      <c r="Z15" s="689">
        <f>SUM(Z4:Z14)</f>
        <v/>
      </c>
      <c r="AA15" s="689">
        <f>SUM(AA4:AA14)</f>
        <v/>
      </c>
      <c r="AB15" s="689" t="n"/>
      <c r="AC15" s="688">
        <f>SUM(Y15:AB15)</f>
        <v/>
      </c>
    </row>
    <row r="16" ht="22.8" customHeight="1">
      <c r="A16" s="690" t="n"/>
      <c r="B16" s="690" t="n"/>
      <c r="C16" s="690" t="n"/>
      <c r="D16" s="691" t="inlineStr">
        <is>
          <t>A</t>
        </is>
      </c>
      <c r="E16" s="915" t="inlineStr">
        <is>
          <t xml:space="preserve">Whole Sales / Agents </t>
        </is>
      </c>
      <c r="H16" s="692" t="n"/>
      <c r="I16" s="692" t="n"/>
      <c r="K16" s="690" t="n"/>
      <c r="L16" s="690" t="n"/>
      <c r="M16" s="690" t="n"/>
      <c r="N16" s="691" t="inlineStr">
        <is>
          <t>A</t>
        </is>
      </c>
      <c r="O16" s="926" t="inlineStr">
        <is>
          <t xml:space="preserve">Whole Sales / Agents </t>
        </is>
      </c>
      <c r="P16" s="1250" t="n"/>
      <c r="Q16" s="1250" t="n"/>
      <c r="R16" s="692" t="n"/>
      <c r="S16" s="692" t="n"/>
      <c r="T16" s="693" t="n"/>
      <c r="U16" s="690" t="n"/>
      <c r="V16" s="690" t="n"/>
      <c r="W16" s="690" t="n"/>
      <c r="X16" s="691" t="inlineStr">
        <is>
          <t>A</t>
        </is>
      </c>
      <c r="Y16" s="915" t="inlineStr">
        <is>
          <t xml:space="preserve">Whole Sales / Agents </t>
        </is>
      </c>
      <c r="AB16" s="692" t="n"/>
      <c r="AC16" s="692" t="n"/>
      <c r="AD16" s="693" t="n"/>
    </row>
    <row r="17" ht="22.8" customHeight="1">
      <c r="A17" s="690" t="n"/>
      <c r="B17" s="690" t="n"/>
      <c r="C17" s="690" t="n"/>
      <c r="D17" s="691" t="inlineStr">
        <is>
          <t>B</t>
        </is>
      </c>
      <c r="E17" s="915" t="inlineStr">
        <is>
          <t xml:space="preserve">Retails / Store </t>
        </is>
      </c>
      <c r="H17" s="692" t="n"/>
      <c r="I17" s="692" t="n"/>
      <c r="K17" s="690" t="n"/>
      <c r="L17" s="690" t="n"/>
      <c r="M17" s="690" t="n"/>
      <c r="N17" s="691" t="inlineStr">
        <is>
          <t>B</t>
        </is>
      </c>
      <c r="O17" s="915" t="inlineStr">
        <is>
          <t xml:space="preserve">Retails / Store </t>
        </is>
      </c>
      <c r="R17" s="692" t="n"/>
      <c r="S17" s="692" t="n"/>
      <c r="T17" s="693" t="n"/>
      <c r="U17" s="690" t="n"/>
      <c r="V17" s="690" t="n"/>
      <c r="W17" s="690" t="n"/>
      <c r="X17" s="691" t="inlineStr">
        <is>
          <t>B</t>
        </is>
      </c>
      <c r="Y17" s="915" t="inlineStr">
        <is>
          <t xml:space="preserve">Retails / Store </t>
        </is>
      </c>
      <c r="AB17" s="692" t="n"/>
      <c r="AC17" s="692" t="n"/>
      <c r="AD17" s="693">
        <f>AC15+S15+I15</f>
        <v/>
      </c>
    </row>
    <row r="18" ht="22.8" customHeight="1">
      <c r="A18" s="690" t="n"/>
      <c r="B18" s="690" t="n"/>
      <c r="C18" s="690" t="n"/>
      <c r="D18" s="691" t="inlineStr">
        <is>
          <t>C</t>
        </is>
      </c>
      <c r="E18" s="915" t="inlineStr">
        <is>
          <t>ဖေါက်ရောင်း/cs2A</t>
        </is>
      </c>
      <c r="H18" s="692" t="n"/>
      <c r="I18" s="692" t="n"/>
      <c r="K18" s="690" t="n"/>
      <c r="L18" s="690" t="n"/>
      <c r="M18" s="690" t="n"/>
      <c r="N18" s="691" t="inlineStr">
        <is>
          <t>C</t>
        </is>
      </c>
      <c r="O18" s="915" t="inlineStr">
        <is>
          <t>ဖေါက်ရောင်း/cs2A</t>
        </is>
      </c>
      <c r="R18" s="692" t="n"/>
      <c r="S18" s="692" t="n"/>
      <c r="T18" s="693" t="n"/>
      <c r="U18" s="690" t="n"/>
      <c r="V18" s="690" t="n"/>
      <c r="W18" s="690" t="n"/>
      <c r="X18" s="691" t="inlineStr">
        <is>
          <t>C</t>
        </is>
      </c>
      <c r="Y18" s="915" t="inlineStr">
        <is>
          <t>ဖေါက်ရောင်း/cs2A</t>
        </is>
      </c>
      <c r="AB18" s="692" t="n"/>
      <c r="AC18" s="692" t="n"/>
      <c r="AD18" s="693" t="n"/>
    </row>
    <row r="19" ht="22.8" customHeight="1">
      <c r="A19" s="690" t="n"/>
      <c r="B19" s="690" t="n"/>
      <c r="C19" s="690" t="n"/>
      <c r="D19" s="691" t="inlineStr">
        <is>
          <t>D</t>
        </is>
      </c>
      <c r="E19" s="915" t="inlineStr">
        <is>
          <t>လိုင်စင်မဲ့ဆိုင်/ကွမ်းယာဆိုင်</t>
        </is>
      </c>
      <c r="H19" s="692" t="n"/>
      <c r="I19" s="692" t="n"/>
      <c r="K19" s="690" t="n"/>
      <c r="L19" s="690" t="n"/>
      <c r="M19" s="690" t="n"/>
      <c r="N19" s="691" t="inlineStr">
        <is>
          <t>D</t>
        </is>
      </c>
      <c r="O19" s="915" t="inlineStr">
        <is>
          <t>လိုင်စင်မဲ့ဆိုင်/ကွမ်းယာဆိုင်</t>
        </is>
      </c>
      <c r="R19" s="692" t="n"/>
      <c r="S19" s="692" t="n"/>
      <c r="T19" s="693" t="n"/>
      <c r="U19" s="690" t="n"/>
      <c r="V19" s="690" t="n"/>
      <c r="W19" s="690" t="n"/>
      <c r="X19" s="691" t="inlineStr">
        <is>
          <t>D</t>
        </is>
      </c>
      <c r="Y19" s="915" t="inlineStr">
        <is>
          <t>လိုင်စင်မဲ့ဆိုင်/ကွမ်းယာဆိုင်</t>
        </is>
      </c>
      <c r="AB19" s="692" t="n"/>
      <c r="AC19" s="692" t="n"/>
      <c r="AD19" s="693" t="n"/>
    </row>
    <row r="20" ht="22.8" customHeight="1">
      <c r="A20" s="690" t="n"/>
      <c r="B20" s="690" t="n"/>
      <c r="C20" s="690" t="n"/>
      <c r="D20" s="691" t="inlineStr">
        <is>
          <t>S</t>
        </is>
      </c>
      <c r="E20" s="915" t="inlineStr">
        <is>
          <t>Super Mart / Convenience Store</t>
        </is>
      </c>
      <c r="H20" s="692" t="n"/>
      <c r="I20" s="692" t="n"/>
      <c r="K20" s="690" t="n"/>
      <c r="L20" s="690" t="n"/>
      <c r="M20" s="690" t="n"/>
      <c r="N20" s="691" t="inlineStr">
        <is>
          <t>S</t>
        </is>
      </c>
      <c r="O20" s="915" t="inlineStr">
        <is>
          <t>Super Mart / Convenience Store</t>
        </is>
      </c>
      <c r="R20" s="692" t="n"/>
      <c r="S20" s="692" t="n"/>
      <c r="T20" s="693" t="n"/>
      <c r="U20" s="690" t="n"/>
      <c r="V20" s="690" t="n"/>
      <c r="W20" s="690" t="n"/>
      <c r="X20" s="691" t="inlineStr">
        <is>
          <t>S</t>
        </is>
      </c>
      <c r="Y20" s="915" t="inlineStr">
        <is>
          <t>Super Mart / Convenience Store</t>
        </is>
      </c>
      <c r="AB20" s="692" t="n"/>
      <c r="AC20" s="692" t="n"/>
      <c r="AD20" s="693" t="n"/>
    </row>
    <row r="21" ht="23.4" customHeight="1" thickBot="1">
      <c r="A21" s="690" t="n"/>
      <c r="B21" s="690" t="n"/>
      <c r="C21" s="694" t="n"/>
      <c r="D21" s="695" t="n"/>
      <c r="E21" s="693" t="n"/>
      <c r="F21" s="693" t="n"/>
      <c r="G21" s="693" t="n"/>
      <c r="H21" s="693" t="n"/>
      <c r="I21" s="693" t="n"/>
      <c r="K21" s="690" t="n"/>
      <c r="L21" s="690" t="n"/>
      <c r="M21" s="690" t="n"/>
      <c r="N21" s="694" t="n"/>
      <c r="O21" s="695" t="n"/>
      <c r="P21" s="693" t="n"/>
      <c r="Q21" s="693" t="n"/>
      <c r="R21" s="693" t="n"/>
      <c r="S21" s="693" t="n"/>
      <c r="T21" s="693" t="n"/>
      <c r="U21" s="690" t="n"/>
      <c r="V21" s="690" t="n"/>
      <c r="W21" s="690" t="n"/>
      <c r="X21" s="694" t="n"/>
      <c r="Y21" s="695" t="n"/>
      <c r="Z21" s="693" t="n"/>
      <c r="AA21" s="693" t="n"/>
      <c r="AB21" s="693" t="n"/>
      <c r="AC21" s="693" t="n"/>
      <c r="AD21" s="693" t="n"/>
    </row>
    <row r="22" ht="14.4" customHeight="1">
      <c r="A22" s="1251" t="inlineStr">
        <is>
          <t xml:space="preserve"> နိုင်ငံရေးနှင့် မိုးတွင်းရာသီဥတုကာလများတွင်လမ်းကြောင်းအခြေအနေကြောင့်  Way Change ၍သွားလာနေရပါသည်ခင်ဗျာ။
လမ်းကြောင်းအပြောင်းအလဲ ရှိနိုင်ပါသည်။</t>
        </is>
      </c>
      <c r="B22" s="380" t="n"/>
      <c r="C22" s="380" t="n"/>
      <c r="D22" s="380" t="n"/>
      <c r="E22" s="380" t="n"/>
      <c r="F22" s="380" t="n"/>
      <c r="G22" s="380" t="n"/>
      <c r="H22" s="380" t="n"/>
      <c r="I22" s="380" t="n"/>
      <c r="K22" s="1252" t="inlineStr">
        <is>
          <t xml:space="preserve"> နိုင်ငံရေးနှင့် မိုးတွင်းရာသီဥတုကာလများတွင်လမ်းကြောင်းအခြေအနေကြောင့်  Way Change ၍သွားလာနေရပါသည်ခင်ဗျာ။
လမ်းကြောင်းအပြောင်းအလဲ ရှိနိုင်ပါသည်။</t>
        </is>
      </c>
      <c r="L22" s="380" t="n"/>
      <c r="M22" s="380" t="n"/>
      <c r="N22" s="380" t="n"/>
      <c r="O22" s="380" t="n"/>
      <c r="P22" s="380" t="n"/>
      <c r="Q22" s="380" t="n"/>
      <c r="R22" s="380" t="n"/>
      <c r="S22" s="380" t="n"/>
      <c r="T22" s="1253" t="n"/>
      <c r="U22" s="1251" t="inlineStr">
        <is>
          <t xml:space="preserve"> နိုင်ငံရေးနှင့် မိုးတွင်းရာသီဥတုကာလများတွင်လမ်းကြောင်းအခြေအနေကြောင့်  Way Change ၍သွားလာနေရပါသည်ခင်ဗျာ။
လမ်းကြောင်းအပြောင်းအလဲ ရှိနိုင်ပါသည်။</t>
        </is>
      </c>
      <c r="V22" s="380" t="n"/>
      <c r="W22" s="380" t="n"/>
      <c r="X22" s="380" t="n"/>
      <c r="Y22" s="380" t="n"/>
      <c r="Z22" s="380" t="n"/>
      <c r="AA22" s="380" t="n"/>
      <c r="AB22" s="380" t="n"/>
      <c r="AC22" s="380" t="n"/>
      <c r="AD22" s="380" t="n"/>
    </row>
    <row r="23" ht="14.4" customHeight="1">
      <c r="A23" s="1254" t="n"/>
      <c r="K23" s="1254" t="n"/>
      <c r="T23" s="1255" t="n"/>
      <c r="U23" s="1254" t="n"/>
    </row>
    <row r="24" ht="15" customHeight="1" thickBot="1">
      <c r="A24" s="1256" t="n"/>
      <c r="B24" s="1257" t="n"/>
      <c r="C24" s="1257" t="n"/>
      <c r="D24" s="1257" t="n"/>
      <c r="E24" s="1257" t="n"/>
      <c r="F24" s="1257" t="n"/>
      <c r="G24" s="1257" t="n"/>
      <c r="H24" s="1257" t="n"/>
      <c r="I24" s="1257" t="n"/>
      <c r="K24" s="1256" t="n"/>
      <c r="L24" s="1257" t="n"/>
      <c r="M24" s="1257" t="n"/>
      <c r="N24" s="1257" t="n"/>
      <c r="O24" s="1257" t="n"/>
      <c r="P24" s="1257" t="n"/>
      <c r="Q24" s="1257" t="n"/>
      <c r="R24" s="1257" t="n"/>
      <c r="S24" s="1257" t="n"/>
      <c r="T24" s="1258" t="n"/>
      <c r="U24" s="1256" t="n"/>
      <c r="V24" s="1257" t="n"/>
      <c r="W24" s="1257" t="n"/>
      <c r="X24" s="1257" t="n"/>
      <c r="Y24" s="1257" t="n"/>
      <c r="Z24" s="1257" t="n"/>
      <c r="AA24" s="1257" t="n"/>
      <c r="AB24" s="1257" t="n"/>
      <c r="AC24" s="1257" t="n"/>
      <c r="AD24" s="1257" t="n"/>
    </row>
    <row r="25" ht="20.4" customHeight="1">
      <c r="K25" s="696" t="n"/>
      <c r="L25" s="696" t="n"/>
      <c r="M25" s="697" t="n"/>
      <c r="N25" s="916" t="n"/>
      <c r="Q25" s="698" t="n"/>
      <c r="R25" s="698" t="n"/>
      <c r="S25" s="699" t="n"/>
    </row>
    <row r="26" ht="20.4" customHeight="1">
      <c r="K26" s="696" t="n"/>
      <c r="L26" s="696" t="n"/>
      <c r="M26" s="700" t="n"/>
      <c r="N26" s="701" t="n"/>
      <c r="O26" s="699" t="n"/>
      <c r="P26" s="699" t="n"/>
      <c r="Q26" s="699" t="n"/>
      <c r="R26" s="699" t="n"/>
      <c r="S26" s="699" t="n"/>
    </row>
    <row r="27">
      <c r="K27" s="917" t="n"/>
    </row>
    <row r="28"/>
    <row r="29"/>
  </sheetData>
  <mergeCells count="32">
    <mergeCell ref="Y20:AA20"/>
    <mergeCell ref="N2:S2"/>
    <mergeCell ref="D2:I2"/>
    <mergeCell ref="E19:G19"/>
    <mergeCell ref="K1:S1"/>
    <mergeCell ref="Y19:AA19"/>
    <mergeCell ref="M2:M3"/>
    <mergeCell ref="B2:B3"/>
    <mergeCell ref="Y17:AA17"/>
    <mergeCell ref="O16:Q16"/>
    <mergeCell ref="Y16:AA16"/>
    <mergeCell ref="K27:S29"/>
    <mergeCell ref="Y18:AA18"/>
    <mergeCell ref="O17:Q17"/>
    <mergeCell ref="C2:C3"/>
    <mergeCell ref="W2:W3"/>
    <mergeCell ref="E16:G16"/>
    <mergeCell ref="U22:AD24"/>
    <mergeCell ref="U1:AC1"/>
    <mergeCell ref="A22:I24"/>
    <mergeCell ref="E18:G18"/>
    <mergeCell ref="X2:AC2"/>
    <mergeCell ref="L2:L3"/>
    <mergeCell ref="O19:Q19"/>
    <mergeCell ref="N25:P25"/>
    <mergeCell ref="K22:T24"/>
    <mergeCell ref="O18:Q18"/>
    <mergeCell ref="A1:I1"/>
    <mergeCell ref="E17:G17"/>
    <mergeCell ref="V2:V3"/>
    <mergeCell ref="O20:Q20"/>
    <mergeCell ref="E20:G20"/>
  </mergeCells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CT319"/>
  <sheetViews>
    <sheetView topLeftCell="A292" zoomScale="90" zoomScaleNormal="90" workbookViewId="0">
      <selection activeCell="K316" sqref="K316"/>
    </sheetView>
  </sheetViews>
  <sheetFormatPr baseColWidth="8" defaultColWidth="9.109375" defaultRowHeight="13.8"/>
  <cols>
    <col width="6.33203125" customWidth="1" style="675" min="1" max="1"/>
    <col width="15.6640625" customWidth="1" style="675" min="2" max="2"/>
    <col width="9" customWidth="1" style="705" min="3" max="3"/>
    <col width="22.5546875" bestFit="1" customWidth="1" style="705" min="4" max="4"/>
    <col width="18.6640625" customWidth="1" style="675" min="5" max="5"/>
    <col width="10.88671875" customWidth="1" style="675" min="6" max="6"/>
    <col width="15.33203125" customWidth="1" style="675" min="7" max="7"/>
    <col width="18.33203125" bestFit="1" customWidth="1" style="675" min="8" max="8"/>
    <col width="9.6640625" customWidth="1" style="675" min="9" max="9"/>
    <col width="9.109375" customWidth="1" style="675" min="10" max="16384"/>
  </cols>
  <sheetData>
    <row r="1">
      <c r="A1" s="675" t="inlineStr">
        <is>
          <t xml:space="preserve">MHL - Outlet List </t>
        </is>
      </c>
    </row>
    <row r="2" ht="20.4" customHeight="1">
      <c r="A2" s="728" t="n"/>
      <c r="B2" s="729" t="n"/>
      <c r="C2" s="729" t="n"/>
      <c r="D2" s="729" t="n"/>
      <c r="E2" s="729" t="n"/>
      <c r="F2" s="729" t="n"/>
      <c r="G2" s="729" t="n"/>
      <c r="H2" s="729" t="n"/>
      <c r="I2" s="729" t="n"/>
    </row>
    <row r="3" ht="20.4" customHeight="1">
      <c r="A3" s="930" t="inlineStr">
        <is>
          <t>Sr</t>
        </is>
      </c>
      <c r="B3" s="930" t="inlineStr">
        <is>
          <t>ဆိုင်အမည်</t>
        </is>
      </c>
      <c r="C3" s="930" t="inlineStr">
        <is>
          <t>TYPE</t>
        </is>
      </c>
      <c r="D3" s="930" t="inlineStr">
        <is>
          <t>လိပ်စာ</t>
        </is>
      </c>
      <c r="E3" s="930" t="inlineStr">
        <is>
          <t>Township</t>
        </is>
      </c>
      <c r="F3" s="930" t="inlineStr">
        <is>
          <t>Way</t>
        </is>
      </c>
      <c r="G3" s="933" t="inlineStr">
        <is>
          <t>ဖုန်းနံပါတ်</t>
        </is>
      </c>
      <c r="H3" s="930" t="inlineStr">
        <is>
          <t>ဘယ်သူ့ Outletလဲ</t>
        </is>
      </c>
      <c r="I3" s="930" t="inlineStr">
        <is>
          <t>ရင်းနှင်းမှု့</t>
        </is>
      </c>
    </row>
    <row r="4" ht="20.4" customHeight="1">
      <c r="A4" s="973" t="n"/>
      <c r="B4" s="973" t="n"/>
      <c r="C4" s="973" t="n"/>
      <c r="D4" s="973" t="n"/>
      <c r="E4" s="973" t="n"/>
      <c r="F4" s="973" t="n"/>
      <c r="G4" s="973" t="n"/>
      <c r="H4" s="973" t="n"/>
      <c r="I4" s="973" t="n"/>
    </row>
    <row r="5" ht="20.4" customHeight="1">
      <c r="A5" s="730" t="n">
        <v>1</v>
      </c>
      <c r="B5" s="731" t="inlineStr">
        <is>
          <t>Sample Outlet</t>
        </is>
      </c>
      <c r="C5" s="732" t="inlineStr">
        <is>
          <t>B</t>
        </is>
      </c>
      <c r="D5" s="733" t="inlineStr">
        <is>
          <t>Sample Street</t>
        </is>
      </c>
      <c r="E5" s="733" t="inlineStr">
        <is>
          <t>Meiktila</t>
        </is>
      </c>
      <c r="F5" s="733" t="inlineStr">
        <is>
          <t>Van 1-1</t>
        </is>
      </c>
      <c r="G5" s="733" t="inlineStr">
        <is>
          <t>09-123456789</t>
        </is>
      </c>
      <c r="H5" s="734" t="inlineStr">
        <is>
          <t>SC</t>
        </is>
      </c>
      <c r="I5" s="730" t="n">
        <v>3</v>
      </c>
    </row>
    <row r="6" ht="20.4" customHeight="1">
      <c r="A6" s="730" t="n">
        <v>2</v>
      </c>
      <c r="B6" s="731" t="inlineStr">
        <is>
          <t>မြစံပယ်</t>
        </is>
      </c>
      <c r="C6" s="732" t="inlineStr">
        <is>
          <t>B</t>
        </is>
      </c>
      <c r="D6" s="733" t="inlineStr">
        <is>
          <t>ယင်းမာပင်</t>
        </is>
      </c>
      <c r="E6" s="733" t="inlineStr">
        <is>
          <t>သာစည်မြို့</t>
        </is>
      </c>
      <c r="F6" s="733" t="inlineStr">
        <is>
          <t>Van 1-1</t>
        </is>
      </c>
      <c r="G6" s="733" t="inlineStr">
        <is>
          <t>09-255196980</t>
        </is>
      </c>
      <c r="H6" s="734" t="inlineStr">
        <is>
          <t>ရွှေမြင်း</t>
        </is>
      </c>
      <c r="I6" s="730" t="n">
        <v>3</v>
      </c>
    </row>
    <row r="7" ht="20.4" customHeight="1">
      <c r="A7" s="733" t="n">
        <v>3</v>
      </c>
      <c r="B7" s="731" t="inlineStr">
        <is>
          <t>မသန်းသန်းဇော်</t>
        </is>
      </c>
      <c r="C7" s="732" t="inlineStr">
        <is>
          <t>D</t>
        </is>
      </c>
      <c r="D7" s="733" t="inlineStr">
        <is>
          <t>ကြပ်စခန်း</t>
        </is>
      </c>
      <c r="E7" s="733" t="inlineStr">
        <is>
          <t>သာစည်မြို့</t>
        </is>
      </c>
      <c r="F7" s="733" t="inlineStr">
        <is>
          <t>Van 1-1</t>
        </is>
      </c>
      <c r="G7" s="733" t="n"/>
      <c r="H7" s="734" t="inlineStr">
        <is>
          <t>ရတနာလှိုင်</t>
        </is>
      </c>
      <c r="I7" s="730" t="n">
        <v>3</v>
      </c>
    </row>
    <row r="8" ht="20.4" customHeight="1">
      <c r="A8" s="730" t="n">
        <v>4</v>
      </c>
      <c r="B8" s="731" t="inlineStr">
        <is>
          <t>ပါရမီ</t>
        </is>
      </c>
      <c r="C8" s="732" t="inlineStr">
        <is>
          <t>D</t>
        </is>
      </c>
      <c r="D8" s="733" t="inlineStr">
        <is>
          <t>ယင်းမာပင်</t>
        </is>
      </c>
      <c r="E8" s="733" t="inlineStr">
        <is>
          <t>သာစည်မြို့</t>
        </is>
      </c>
      <c r="F8" s="733" t="inlineStr">
        <is>
          <t>Van 1-1</t>
        </is>
      </c>
      <c r="G8" s="733" t="inlineStr">
        <is>
          <t>09-2050864</t>
        </is>
      </c>
      <c r="H8" s="734" t="inlineStr">
        <is>
          <t>ရွှေမြင်း</t>
        </is>
      </c>
      <c r="I8" s="730" t="n">
        <v>3</v>
      </c>
    </row>
    <row r="9" ht="20.4" customHeight="1">
      <c r="A9" s="730" t="n">
        <v>5</v>
      </c>
      <c r="B9" s="731" t="inlineStr">
        <is>
          <t>ရွှေနန်းတော်</t>
        </is>
      </c>
      <c r="C9" s="732" t="inlineStr">
        <is>
          <t>D</t>
        </is>
      </c>
      <c r="D9" s="733" t="inlineStr">
        <is>
          <t>ရေပေါင်းစုံ</t>
        </is>
      </c>
      <c r="E9" s="733" t="inlineStr">
        <is>
          <t>သာစည်မြို့</t>
        </is>
      </c>
      <c r="F9" s="733" t="inlineStr">
        <is>
          <t>Van 1-1</t>
        </is>
      </c>
      <c r="G9" s="733" t="inlineStr">
        <is>
          <t>09-452292914</t>
        </is>
      </c>
      <c r="H9" s="734" t="inlineStr">
        <is>
          <t>ရွှေမြင်း</t>
        </is>
      </c>
      <c r="I9" s="730" t="n">
        <v>4</v>
      </c>
    </row>
    <row r="10" ht="20.4" customHeight="1">
      <c r="A10" s="730" t="n">
        <v>6</v>
      </c>
      <c r="B10" s="731" t="inlineStr">
        <is>
          <t>အမိုး</t>
        </is>
      </c>
      <c r="C10" s="732" t="inlineStr">
        <is>
          <t>D</t>
        </is>
      </c>
      <c r="D10" s="733" t="inlineStr">
        <is>
          <t>ရေပေါင်းစုံ</t>
        </is>
      </c>
      <c r="E10" s="733" t="inlineStr">
        <is>
          <t>သာစည်မြို့</t>
        </is>
      </c>
      <c r="F10" s="733" t="inlineStr">
        <is>
          <t>Van 1-1</t>
        </is>
      </c>
      <c r="G10" s="733" t="inlineStr">
        <is>
          <t>09-650007167</t>
        </is>
      </c>
      <c r="H10" s="734" t="inlineStr">
        <is>
          <t>SMM</t>
        </is>
      </c>
      <c r="I10" s="730" t="n">
        <v>4</v>
      </c>
    </row>
    <row r="11" ht="20.4" customHeight="1">
      <c r="A11" s="733" t="n">
        <v>7</v>
      </c>
      <c r="B11" s="731" t="inlineStr">
        <is>
          <t>မဝင်းအေး</t>
        </is>
      </c>
      <c r="C11" s="732" t="inlineStr">
        <is>
          <t>D</t>
        </is>
      </c>
      <c r="D11" s="733" t="inlineStr">
        <is>
          <t>ရေပေါင်းစုံ</t>
        </is>
      </c>
      <c r="E11" s="733" t="inlineStr">
        <is>
          <t>သာစည်မြို့</t>
        </is>
      </c>
      <c r="F11" s="733" t="inlineStr">
        <is>
          <t>Van 1-1</t>
        </is>
      </c>
      <c r="G11" s="733" t="n"/>
      <c r="H11" s="734" t="inlineStr">
        <is>
          <t>SMM</t>
        </is>
      </c>
      <c r="I11" s="730" t="n">
        <v>4</v>
      </c>
    </row>
    <row r="12" ht="20.4" customHeight="1">
      <c r="A12" s="730" t="n">
        <v>8</v>
      </c>
      <c r="B12" s="731" t="inlineStr">
        <is>
          <t>မယဥ်အေး</t>
        </is>
      </c>
      <c r="C12" s="732" t="inlineStr">
        <is>
          <t>D</t>
        </is>
      </c>
      <c r="D12" s="733" t="inlineStr">
        <is>
          <t>ရေပေါင်းစုံ</t>
        </is>
      </c>
      <c r="E12" s="733" t="inlineStr">
        <is>
          <t>သာစည်မြို့</t>
        </is>
      </c>
      <c r="F12" s="733" t="inlineStr">
        <is>
          <t>Van 1-1</t>
        </is>
      </c>
      <c r="G12" s="733" t="n"/>
      <c r="H12" s="734" t="inlineStr">
        <is>
          <t>SMM</t>
        </is>
      </c>
      <c r="I12" s="730" t="n">
        <v>4</v>
      </c>
    </row>
    <row r="13" ht="20.4" customHeight="1">
      <c r="A13" s="730" t="n">
        <v>9</v>
      </c>
      <c r="B13" s="731" t="inlineStr">
        <is>
          <t>ပီတိလျှံ</t>
        </is>
      </c>
      <c r="C13" s="732" t="inlineStr">
        <is>
          <t>D</t>
        </is>
      </c>
      <c r="D13" s="733" t="inlineStr">
        <is>
          <t>ကြပ်စခန်း</t>
        </is>
      </c>
      <c r="E13" s="733" t="inlineStr">
        <is>
          <t>သာစည်မြို့</t>
        </is>
      </c>
      <c r="F13" s="733" t="inlineStr">
        <is>
          <t>Van 1-1</t>
        </is>
      </c>
      <c r="G13" s="733" t="n"/>
      <c r="H13" s="734" t="inlineStr">
        <is>
          <t>SMM</t>
        </is>
      </c>
      <c r="I13" s="730" t="n">
        <v>4</v>
      </c>
    </row>
    <row r="14" ht="20.4" customHeight="1">
      <c r="A14" s="730" t="n">
        <v>10</v>
      </c>
      <c r="B14" s="731" t="inlineStr">
        <is>
          <t>သွန်းဆက်</t>
        </is>
      </c>
      <c r="C14" s="732" t="inlineStr">
        <is>
          <t>D</t>
        </is>
      </c>
      <c r="D14" s="733" t="inlineStr">
        <is>
          <t>ကြပ်စခန်း</t>
        </is>
      </c>
      <c r="E14" s="733" t="inlineStr">
        <is>
          <t>သာစည်မြို့</t>
        </is>
      </c>
      <c r="F14" s="733" t="inlineStr">
        <is>
          <t>Van 1-1</t>
        </is>
      </c>
      <c r="G14" s="733" t="n"/>
      <c r="H14" s="734" t="inlineStr">
        <is>
          <t>SMM</t>
        </is>
      </c>
      <c r="I14" s="730" t="n">
        <v>4</v>
      </c>
    </row>
    <row r="15" ht="20.4" customHeight="1">
      <c r="A15" s="733" t="n">
        <v>11</v>
      </c>
      <c r="B15" s="731" t="inlineStr">
        <is>
          <t>ဦးသောင်းလှ</t>
        </is>
      </c>
      <c r="C15" s="732" t="inlineStr">
        <is>
          <t>D</t>
        </is>
      </c>
      <c r="D15" s="733" t="inlineStr">
        <is>
          <t>7မိုင်</t>
        </is>
      </c>
      <c r="E15" s="733" t="inlineStr">
        <is>
          <t>သာစည်မြို့</t>
        </is>
      </c>
      <c r="F15" s="733" t="inlineStr">
        <is>
          <t>Van 1-1</t>
        </is>
      </c>
      <c r="G15" s="733" t="n"/>
      <c r="H15" s="734" t="inlineStr">
        <is>
          <t>SMM</t>
        </is>
      </c>
      <c r="I15" s="730" t="n">
        <v>4</v>
      </c>
    </row>
    <row r="16" ht="20.4" customHeight="1">
      <c r="A16" s="730" t="n">
        <v>12</v>
      </c>
      <c r="B16" s="731" t="inlineStr">
        <is>
          <t>မေနှင်းလွင်</t>
        </is>
      </c>
      <c r="C16" s="732" t="inlineStr">
        <is>
          <t>D</t>
        </is>
      </c>
      <c r="D16" s="733" t="inlineStr">
        <is>
          <t>နန်ပန်တက်</t>
        </is>
      </c>
      <c r="E16" s="733" t="inlineStr">
        <is>
          <t>သာစည်မြို့</t>
        </is>
      </c>
      <c r="F16" s="733" t="inlineStr">
        <is>
          <t>Van 1-1</t>
        </is>
      </c>
      <c r="G16" s="733" t="inlineStr">
        <is>
          <t>09-970692072</t>
        </is>
      </c>
      <c r="H16" s="734" t="inlineStr">
        <is>
          <t>SMM</t>
        </is>
      </c>
      <c r="I16" s="730" t="n">
        <v>4</v>
      </c>
    </row>
    <row r="17" ht="20.4" customHeight="1">
      <c r="A17" s="730" t="n">
        <v>13</v>
      </c>
      <c r="B17" s="731" t="inlineStr">
        <is>
          <t>ဦးရွှေမန်း</t>
        </is>
      </c>
      <c r="C17" s="732" t="inlineStr">
        <is>
          <t>D</t>
        </is>
      </c>
      <c r="D17" s="733" t="inlineStr">
        <is>
          <t>ငါးမင်းမေ့</t>
        </is>
      </c>
      <c r="E17" s="733" t="inlineStr">
        <is>
          <t>ညောင်ဦးမြို့</t>
        </is>
      </c>
      <c r="F17" s="733" t="inlineStr">
        <is>
          <t>Van 1-2</t>
        </is>
      </c>
      <c r="G17" s="732" t="inlineStr">
        <is>
          <t>09-767171172</t>
        </is>
      </c>
      <c r="H17" s="735" t="inlineStr">
        <is>
          <t>ကောင်စုဝေ</t>
        </is>
      </c>
      <c r="I17" s="736" t="n">
        <v>2</v>
      </c>
    </row>
    <row r="18" ht="20.4" customHeight="1">
      <c r="A18" s="730" t="n">
        <v>14</v>
      </c>
      <c r="B18" s="731" t="inlineStr">
        <is>
          <t>ကိုဝင်းလှိုင်</t>
        </is>
      </c>
      <c r="C18" s="732" t="inlineStr">
        <is>
          <t>D</t>
        </is>
      </c>
      <c r="D18" s="733" t="inlineStr">
        <is>
          <t>ငါးမင်းမေ့</t>
        </is>
      </c>
      <c r="E18" s="733" t="inlineStr">
        <is>
          <t>ညောင်ဦးမြို့</t>
        </is>
      </c>
      <c r="F18" s="733" t="inlineStr">
        <is>
          <t>Van 1-2</t>
        </is>
      </c>
      <c r="G18" s="732" t="inlineStr">
        <is>
          <t>09-690546030</t>
        </is>
      </c>
      <c r="H18" s="735" t="inlineStr">
        <is>
          <t>ကောင်စုဝေ</t>
        </is>
      </c>
      <c r="I18" s="736" t="n">
        <v>2</v>
      </c>
    </row>
    <row r="19" ht="20.4" customHeight="1">
      <c r="A19" s="733" t="n">
        <v>15</v>
      </c>
      <c r="B19" s="731" t="inlineStr">
        <is>
          <t>ကိုကျော်ဇင်ငြိမ်း</t>
        </is>
      </c>
      <c r="C19" s="732" t="inlineStr">
        <is>
          <t>D</t>
        </is>
      </c>
      <c r="D19" s="733" t="inlineStr">
        <is>
          <t>ငါးမင်းမေ့</t>
        </is>
      </c>
      <c r="E19" s="733" t="inlineStr">
        <is>
          <t>ညောင်ဦးမြို့</t>
        </is>
      </c>
      <c r="F19" s="733" t="inlineStr">
        <is>
          <t>Van 1-2</t>
        </is>
      </c>
      <c r="G19" s="732" t="inlineStr">
        <is>
          <t>09-780335297</t>
        </is>
      </c>
      <c r="H19" s="735" t="inlineStr">
        <is>
          <t>ကောင်စုဝေ</t>
        </is>
      </c>
      <c r="I19" s="736" t="n">
        <v>2</v>
      </c>
    </row>
    <row r="20" ht="20.4" customHeight="1">
      <c r="A20" s="730" t="n">
        <v>16</v>
      </c>
      <c r="B20" s="731" t="inlineStr">
        <is>
          <t>မစန်းမော်</t>
        </is>
      </c>
      <c r="C20" s="732" t="inlineStr">
        <is>
          <t>D</t>
        </is>
      </c>
      <c r="D20" s="733" t="inlineStr">
        <is>
          <t>တက်မ</t>
        </is>
      </c>
      <c r="E20" s="733" t="inlineStr">
        <is>
          <t>ညောင်ဦးမြို့</t>
        </is>
      </c>
      <c r="F20" s="733" t="inlineStr">
        <is>
          <t>Van 1-2</t>
        </is>
      </c>
      <c r="G20" s="732" t="inlineStr">
        <is>
          <t>09-401671384</t>
        </is>
      </c>
      <c r="H20" s="735" t="inlineStr">
        <is>
          <t>ကောင်စုဝေ</t>
        </is>
      </c>
      <c r="I20" s="736" t="n">
        <v>2</v>
      </c>
    </row>
    <row r="21" ht="20.4" customHeight="1">
      <c r="A21" s="730" t="n">
        <v>17</v>
      </c>
      <c r="B21" s="731" t="inlineStr">
        <is>
          <t>မမိုးမိုး</t>
        </is>
      </c>
      <c r="C21" s="732" t="inlineStr">
        <is>
          <t>D</t>
        </is>
      </c>
      <c r="D21" s="733" t="inlineStr">
        <is>
          <t>တက်မ</t>
        </is>
      </c>
      <c r="E21" s="733" t="inlineStr">
        <is>
          <t>ညောင်ဦးမြို့</t>
        </is>
      </c>
      <c r="F21" s="733" t="inlineStr">
        <is>
          <t>Van 1-2</t>
        </is>
      </c>
      <c r="G21" s="732" t="inlineStr">
        <is>
          <t>09-425136802</t>
        </is>
      </c>
      <c r="H21" s="735" t="inlineStr">
        <is>
          <t>ကောင်စုဝေ</t>
        </is>
      </c>
      <c r="I21" s="736" t="n">
        <v>2</v>
      </c>
    </row>
    <row r="22" ht="20.4" customHeight="1">
      <c r="A22" s="730" t="n">
        <v>18</v>
      </c>
      <c r="B22" s="731" t="inlineStr">
        <is>
          <t>မစန်းစန်းခိုင်</t>
        </is>
      </c>
      <c r="C22" s="732" t="inlineStr">
        <is>
          <t>D</t>
        </is>
      </c>
      <c r="D22" s="733" t="inlineStr">
        <is>
          <t>တက်မ</t>
        </is>
      </c>
      <c r="E22" s="733" t="inlineStr">
        <is>
          <t>ညောင်ဦးမြို့</t>
        </is>
      </c>
      <c r="F22" s="733" t="inlineStr">
        <is>
          <t>Van 1-2</t>
        </is>
      </c>
      <c r="G22" s="732" t="inlineStr">
        <is>
          <t>09-400099842</t>
        </is>
      </c>
      <c r="H22" s="735" t="inlineStr">
        <is>
          <t>ကောင်စုဝေ</t>
        </is>
      </c>
      <c r="I22" s="736" t="n">
        <v>2</v>
      </c>
    </row>
    <row r="23" ht="20.4" customHeight="1">
      <c r="A23" s="733" t="n">
        <v>19</v>
      </c>
      <c r="B23" s="731" t="inlineStr">
        <is>
          <t>ကိုဇော်ဝင်း</t>
        </is>
      </c>
      <c r="C23" s="732" t="inlineStr">
        <is>
          <t>D</t>
        </is>
      </c>
      <c r="D23" s="733" t="inlineStr">
        <is>
          <t>စပါးသင်း</t>
        </is>
      </c>
      <c r="E23" s="733" t="inlineStr">
        <is>
          <t>ညောင်ဦးမြို့</t>
        </is>
      </c>
      <c r="F23" s="733" t="inlineStr">
        <is>
          <t>Van 1-2</t>
        </is>
      </c>
      <c r="G23" s="732" t="inlineStr">
        <is>
          <t>09-421097267</t>
        </is>
      </c>
      <c r="H23" s="735" t="inlineStr">
        <is>
          <t>ကောင်စုဝေ</t>
        </is>
      </c>
      <c r="I23" s="736" t="n">
        <v>2</v>
      </c>
    </row>
    <row r="24" ht="20.4" customHeight="1">
      <c r="A24" s="730" t="n">
        <v>20</v>
      </c>
      <c r="B24" s="731" t="inlineStr">
        <is>
          <t>ဦးမြင့်ဆွေ</t>
        </is>
      </c>
      <c r="C24" s="732" t="inlineStr">
        <is>
          <t>D</t>
        </is>
      </c>
      <c r="D24" s="733" t="inlineStr">
        <is>
          <t>စပါးသင်း</t>
        </is>
      </c>
      <c r="E24" s="733" t="inlineStr">
        <is>
          <t>ညောင်ဦးမြို့</t>
        </is>
      </c>
      <c r="F24" s="733" t="inlineStr">
        <is>
          <t>Van 1-2</t>
        </is>
      </c>
      <c r="G24" s="732" t="inlineStr">
        <is>
          <t>09-763253453</t>
        </is>
      </c>
      <c r="H24" s="735" t="inlineStr">
        <is>
          <t>ကောင်စုဝေ</t>
        </is>
      </c>
      <c r="I24" s="736" t="n">
        <v>2</v>
      </c>
    </row>
    <row r="25" ht="20.4" customHeight="1">
      <c r="A25" s="730" t="n">
        <v>21</v>
      </c>
      <c r="B25" s="731" t="inlineStr">
        <is>
          <t>ကိုလှိုင်မင်း</t>
        </is>
      </c>
      <c r="C25" s="732" t="inlineStr">
        <is>
          <t>D</t>
        </is>
      </c>
      <c r="D25" s="733" t="inlineStr">
        <is>
          <t>စပါးသင်း</t>
        </is>
      </c>
      <c r="E25" s="733" t="inlineStr">
        <is>
          <t>ညောင်ဦးမြို့</t>
        </is>
      </c>
      <c r="F25" s="733" t="inlineStr">
        <is>
          <t>Van 1-2</t>
        </is>
      </c>
      <c r="G25" s="732" t="inlineStr">
        <is>
          <t>09-961414798</t>
        </is>
      </c>
      <c r="H25" s="735" t="inlineStr">
        <is>
          <t>ကောင်စုဝေ</t>
        </is>
      </c>
      <c r="I25" s="736" t="n">
        <v>2</v>
      </c>
    </row>
    <row r="26" ht="20.4" customHeight="1">
      <c r="A26" s="730" t="n">
        <v>22</v>
      </c>
      <c r="B26" s="731" t="inlineStr">
        <is>
          <t>ကိုအောင်ထိုက်</t>
        </is>
      </c>
      <c r="C26" s="732" t="inlineStr">
        <is>
          <t>D</t>
        </is>
      </c>
      <c r="D26" s="733" t="inlineStr">
        <is>
          <t>ထနောင်းပင်</t>
        </is>
      </c>
      <c r="E26" s="733" t="inlineStr">
        <is>
          <t>ညောင်ဦးမြို့</t>
        </is>
      </c>
      <c r="F26" s="733" t="inlineStr">
        <is>
          <t>Van 1-2</t>
        </is>
      </c>
      <c r="G26" s="732" t="n"/>
      <c r="H26" s="735" t="inlineStr">
        <is>
          <t>ကောင်စုဝေ</t>
        </is>
      </c>
      <c r="I26" s="736" t="n">
        <v>2</v>
      </c>
    </row>
    <row r="27" ht="20.4" customHeight="1">
      <c r="A27" s="733" t="n">
        <v>23</v>
      </c>
      <c r="B27" s="731" t="inlineStr">
        <is>
          <t>ကိုမြင့်ဦး</t>
        </is>
      </c>
      <c r="C27" s="732" t="inlineStr">
        <is>
          <t>D</t>
        </is>
      </c>
      <c r="D27" s="733" t="inlineStr">
        <is>
          <t>စုတည်</t>
        </is>
      </c>
      <c r="E27" s="733" t="inlineStr">
        <is>
          <t>ညောင်ဦးမြို့</t>
        </is>
      </c>
      <c r="F27" s="733" t="inlineStr">
        <is>
          <t>Van 1-2</t>
        </is>
      </c>
      <c r="G27" s="732" t="n"/>
      <c r="H27" s="735" t="inlineStr">
        <is>
          <t>ကောင်စုဝေ</t>
        </is>
      </c>
      <c r="I27" s="736" t="n">
        <v>2</v>
      </c>
    </row>
    <row r="28" ht="20.4" customHeight="1">
      <c r="A28" s="730" t="n">
        <v>24</v>
      </c>
      <c r="B28" s="731" t="inlineStr">
        <is>
          <t>ရာပြည့်မိုး</t>
        </is>
      </c>
      <c r="C28" s="733" t="inlineStr">
        <is>
          <t>B</t>
        </is>
      </c>
      <c r="D28" s="733" t="inlineStr">
        <is>
          <t>ညောင်ဦး</t>
        </is>
      </c>
      <c r="E28" s="733" t="inlineStr">
        <is>
          <t>ညောင်ဦးမြို့</t>
        </is>
      </c>
      <c r="F28" s="733" t="inlineStr">
        <is>
          <t>Van 1-3</t>
        </is>
      </c>
      <c r="G28" s="737" t="inlineStr">
        <is>
          <t>09-457077479</t>
        </is>
      </c>
      <c r="H28" s="735" t="inlineStr">
        <is>
          <t>SMM</t>
        </is>
      </c>
      <c r="I28" s="730" t="n">
        <v>4</v>
      </c>
    </row>
    <row r="29" ht="20.4" customHeight="1">
      <c r="A29" s="730" t="n">
        <v>25</v>
      </c>
      <c r="B29" s="731" t="inlineStr">
        <is>
          <t>ဦးထိန်</t>
        </is>
      </c>
      <c r="C29" s="733" t="inlineStr">
        <is>
          <t>D</t>
        </is>
      </c>
      <c r="D29" s="733" t="inlineStr">
        <is>
          <t>သူကောင်း</t>
        </is>
      </c>
      <c r="E29" s="733" t="inlineStr">
        <is>
          <t>ညောင်ဦးမြို့</t>
        </is>
      </c>
      <c r="F29" s="733" t="inlineStr">
        <is>
          <t>Van 1-3</t>
        </is>
      </c>
      <c r="G29" s="737" t="inlineStr">
        <is>
          <t>09-43178053</t>
        </is>
      </c>
      <c r="H29" s="735" t="inlineStr">
        <is>
          <t>နန်းတော်သစ်</t>
        </is>
      </c>
      <c r="I29" s="730" t="n">
        <v>2</v>
      </c>
    </row>
    <row r="30" ht="20.4" customHeight="1">
      <c r="A30" s="730" t="n">
        <v>26</v>
      </c>
      <c r="B30" s="731" t="inlineStr">
        <is>
          <t>Triple -7</t>
        </is>
      </c>
      <c r="C30" s="733" t="inlineStr">
        <is>
          <t>B</t>
        </is>
      </c>
      <c r="D30" s="733" t="inlineStr">
        <is>
          <t>ရွာသစ်</t>
        </is>
      </c>
      <c r="E30" s="733" t="inlineStr">
        <is>
          <t>ညောင်ဦးမြို့</t>
        </is>
      </c>
      <c r="F30" s="733" t="inlineStr">
        <is>
          <t>Van 1-3</t>
        </is>
      </c>
      <c r="G30" s="737" t="inlineStr">
        <is>
          <t>09-975446797</t>
        </is>
      </c>
      <c r="H30" s="735" t="inlineStr">
        <is>
          <t>ကောင်းဟိန်း</t>
        </is>
      </c>
      <c r="I30" s="730" t="n">
        <v>2</v>
      </c>
    </row>
    <row r="31" ht="20.4" customHeight="1">
      <c r="A31" s="733" t="n">
        <v>27</v>
      </c>
      <c r="B31" s="731" t="inlineStr">
        <is>
          <t>ရွှေရောင်စဉ်</t>
        </is>
      </c>
      <c r="C31" s="733" t="inlineStr">
        <is>
          <t>B</t>
        </is>
      </c>
      <c r="D31" s="733" t="inlineStr">
        <is>
          <t>ရွာသစ်</t>
        </is>
      </c>
      <c r="E31" s="733" t="inlineStr">
        <is>
          <t>ညောင်ဦးမြို့</t>
        </is>
      </c>
      <c r="F31" s="733" t="inlineStr">
        <is>
          <t>Van 1-3</t>
        </is>
      </c>
      <c r="G31" s="727" t="n"/>
      <c r="H31" s="735" t="inlineStr">
        <is>
          <t>SMM</t>
        </is>
      </c>
      <c r="I31" s="730" t="n">
        <v>4</v>
      </c>
    </row>
    <row r="32" ht="20.4" customHeight="1">
      <c r="A32" s="730" t="n">
        <v>28</v>
      </c>
      <c r="B32" s="731" t="inlineStr">
        <is>
          <t>ကိုအောင်မျိုးသန့်</t>
        </is>
      </c>
      <c r="C32" s="733" t="inlineStr">
        <is>
          <t>B</t>
        </is>
      </c>
      <c r="D32" s="733" t="inlineStr">
        <is>
          <t>ရွာသစ်</t>
        </is>
      </c>
      <c r="E32" s="733" t="inlineStr">
        <is>
          <t>ညောင်ဦးမြို့</t>
        </is>
      </c>
      <c r="F32" s="733" t="inlineStr">
        <is>
          <t>Van 1-3</t>
        </is>
      </c>
      <c r="G32" s="727" t="n"/>
      <c r="H32" s="735" t="inlineStr">
        <is>
          <t>ကောင်းဟိန်း</t>
        </is>
      </c>
      <c r="I32" s="730" t="n">
        <v>2</v>
      </c>
    </row>
    <row r="33" ht="20.4" customHeight="1">
      <c r="A33" s="730" t="n">
        <v>29</v>
      </c>
      <c r="B33" s="731" t="inlineStr">
        <is>
          <t>မိတ်ဆက်</t>
        </is>
      </c>
      <c r="C33" s="733" t="inlineStr">
        <is>
          <t>B</t>
        </is>
      </c>
      <c r="D33" s="733" t="inlineStr">
        <is>
          <t>ညောင်ဦး</t>
        </is>
      </c>
      <c r="E33" s="733" t="inlineStr">
        <is>
          <t>ညောင်ဦးမြို့</t>
        </is>
      </c>
      <c r="F33" s="733" t="inlineStr">
        <is>
          <t>Van 1-3</t>
        </is>
      </c>
      <c r="G33" s="727" t="inlineStr">
        <is>
          <t>09-444004644</t>
        </is>
      </c>
      <c r="H33" s="735" t="inlineStr">
        <is>
          <t>SMM</t>
        </is>
      </c>
      <c r="I33" s="730" t="n">
        <v>3</v>
      </c>
    </row>
    <row r="34" ht="20.4" customHeight="1">
      <c r="A34" s="730" t="n">
        <v>30</v>
      </c>
      <c r="B34" s="731" t="inlineStr">
        <is>
          <t>ဒေါ်သန်းထွား</t>
        </is>
      </c>
      <c r="C34" s="733" t="inlineStr">
        <is>
          <t>B</t>
        </is>
      </c>
      <c r="D34" s="733" t="inlineStr">
        <is>
          <t>ညောင်ဦး</t>
        </is>
      </c>
      <c r="E34" s="733" t="inlineStr">
        <is>
          <t>ညောင်ဦးမြို့</t>
        </is>
      </c>
      <c r="F34" s="733" t="inlineStr">
        <is>
          <t>Van 1-3</t>
        </is>
      </c>
      <c r="G34" s="727" t="inlineStr">
        <is>
          <t>09-444333011</t>
        </is>
      </c>
      <c r="H34" s="735" t="inlineStr">
        <is>
          <t>SMM</t>
        </is>
      </c>
      <c r="I34" s="730" t="n">
        <v>4</v>
      </c>
    </row>
    <row r="35" ht="20.4" customHeight="1">
      <c r="A35" s="733" t="n">
        <v>31</v>
      </c>
      <c r="B35" s="731" t="inlineStr">
        <is>
          <t>မော်</t>
        </is>
      </c>
      <c r="C35" s="733" t="inlineStr">
        <is>
          <t>B</t>
        </is>
      </c>
      <c r="D35" s="733" t="inlineStr">
        <is>
          <t>ညောင်ဦး</t>
        </is>
      </c>
      <c r="E35" s="733" t="inlineStr">
        <is>
          <t>ညောင်ဦးမြို့</t>
        </is>
      </c>
      <c r="F35" s="733" t="inlineStr">
        <is>
          <t>Van 1-3</t>
        </is>
      </c>
      <c r="G35" s="727" t="inlineStr">
        <is>
          <t>09-444004744</t>
        </is>
      </c>
      <c r="H35" s="735" t="inlineStr">
        <is>
          <t>MDY</t>
        </is>
      </c>
      <c r="I35" s="730" t="n">
        <v>4</v>
      </c>
    </row>
    <row r="36" ht="20.4" customHeight="1">
      <c r="A36" s="730" t="n">
        <v>32</v>
      </c>
      <c r="B36" s="731" t="inlineStr">
        <is>
          <t>ကောင်းစံ</t>
        </is>
      </c>
      <c r="C36" s="733" t="inlineStr">
        <is>
          <t>B</t>
        </is>
      </c>
      <c r="D36" s="733" t="inlineStr">
        <is>
          <t>ပုဂံမြို့သစ်</t>
        </is>
      </c>
      <c r="E36" s="733" t="inlineStr">
        <is>
          <t>ညောင်ဦးမြို့</t>
        </is>
      </c>
      <c r="F36" s="733" t="inlineStr">
        <is>
          <t>Van 1-3</t>
        </is>
      </c>
      <c r="G36" s="727" t="inlineStr">
        <is>
          <t>09-401559020</t>
        </is>
      </c>
      <c r="H36" s="735" t="inlineStr">
        <is>
          <t>SMM</t>
        </is>
      </c>
      <c r="I36" s="730" t="n">
        <v>3</v>
      </c>
    </row>
    <row r="37" ht="20.4" customHeight="1">
      <c r="A37" s="730" t="n">
        <v>33</v>
      </c>
      <c r="B37" s="731" t="inlineStr">
        <is>
          <t>ထွေးထွေး</t>
        </is>
      </c>
      <c r="C37" s="733" t="inlineStr">
        <is>
          <t>B</t>
        </is>
      </c>
      <c r="D37" s="733" t="inlineStr">
        <is>
          <t>ပုဂံမြို့သစ်</t>
        </is>
      </c>
      <c r="E37" s="733" t="inlineStr">
        <is>
          <t>ညောင်ဦးမြို့</t>
        </is>
      </c>
      <c r="F37" s="733" t="inlineStr">
        <is>
          <t>Van 1-3</t>
        </is>
      </c>
      <c r="G37" s="737" t="inlineStr">
        <is>
          <t>09-790164918</t>
        </is>
      </c>
      <c r="H37" s="735" t="inlineStr">
        <is>
          <t>SMM</t>
        </is>
      </c>
      <c r="I37" s="730" t="n">
        <v>4</v>
      </c>
    </row>
    <row r="38" ht="20.4" customHeight="1">
      <c r="A38" s="730" t="n">
        <v>34</v>
      </c>
      <c r="B38" s="731" t="inlineStr">
        <is>
          <t>ကိုဟိန်းသူ</t>
        </is>
      </c>
      <c r="C38" s="733" t="inlineStr">
        <is>
          <t>B</t>
        </is>
      </c>
      <c r="D38" s="733" t="inlineStr">
        <is>
          <t>ညောင်ဦး</t>
        </is>
      </c>
      <c r="E38" s="733" t="inlineStr">
        <is>
          <t>ညောင်ဦးမြို့</t>
        </is>
      </c>
      <c r="F38" s="733" t="inlineStr">
        <is>
          <t>Van 1-3</t>
        </is>
      </c>
      <c r="G38" s="727" t="inlineStr">
        <is>
          <t>09-2043175</t>
        </is>
      </c>
      <c r="H38" s="735" t="inlineStr">
        <is>
          <t>SMM</t>
        </is>
      </c>
      <c r="I38" s="730" t="n">
        <v>4</v>
      </c>
    </row>
    <row r="39" ht="20.4" customHeight="1">
      <c r="A39" s="733" t="n">
        <v>35</v>
      </c>
      <c r="B39" s="731" t="inlineStr">
        <is>
          <t>ရှင်းရှင်းလေး</t>
        </is>
      </c>
      <c r="C39" s="733" t="inlineStr">
        <is>
          <t>B</t>
        </is>
      </c>
      <c r="D39" s="733" t="inlineStr">
        <is>
          <t>ညောင်ဦး</t>
        </is>
      </c>
      <c r="E39" s="733" t="inlineStr">
        <is>
          <t>ညောင်ဦးမြို့</t>
        </is>
      </c>
      <c r="F39" s="733" t="inlineStr">
        <is>
          <t>Van 1-3</t>
        </is>
      </c>
      <c r="G39" s="727" t="n"/>
      <c r="H39" s="735" t="inlineStr">
        <is>
          <t>SMM</t>
        </is>
      </c>
      <c r="I39" s="730" t="n">
        <v>3</v>
      </c>
    </row>
    <row r="40" ht="20.4" customHeight="1">
      <c r="A40" s="730" t="n">
        <v>36</v>
      </c>
      <c r="B40" s="731" t="inlineStr">
        <is>
          <t>ဓူဝံကြယ်</t>
        </is>
      </c>
      <c r="C40" s="733" t="inlineStr">
        <is>
          <t>B</t>
        </is>
      </c>
      <c r="D40" s="733" t="inlineStr">
        <is>
          <t>ညောင်ဦး</t>
        </is>
      </c>
      <c r="E40" s="733" t="inlineStr">
        <is>
          <t>ညောင်ဦးမြို့</t>
        </is>
      </c>
      <c r="F40" s="733" t="inlineStr">
        <is>
          <t>Van 1-3</t>
        </is>
      </c>
      <c r="G40" s="737" t="n"/>
      <c r="H40" s="735" t="inlineStr">
        <is>
          <t>SMM</t>
        </is>
      </c>
      <c r="I40" s="730" t="n">
        <v>3</v>
      </c>
    </row>
    <row r="41" ht="20.4" customHeight="1">
      <c r="A41" s="730" t="n">
        <v>37</v>
      </c>
      <c r="B41" s="731" t="inlineStr">
        <is>
          <t>စန်းထက်အောင်</t>
        </is>
      </c>
      <c r="C41" s="733" t="inlineStr">
        <is>
          <t>C</t>
        </is>
      </c>
      <c r="D41" s="733" t="inlineStr">
        <is>
          <t>ညောင်ဦး</t>
        </is>
      </c>
      <c r="E41" s="733" t="inlineStr">
        <is>
          <t>ညောင်ဦးမြို့</t>
        </is>
      </c>
      <c r="F41" s="733" t="inlineStr">
        <is>
          <t>Van 1-3</t>
        </is>
      </c>
      <c r="G41" s="737" t="n"/>
      <c r="H41" s="735" t="inlineStr">
        <is>
          <t>SMM</t>
        </is>
      </c>
      <c r="I41" s="730" t="n">
        <v>3</v>
      </c>
    </row>
    <row r="42" ht="20.4" customHeight="1">
      <c r="A42" s="730" t="n">
        <v>38</v>
      </c>
      <c r="B42" s="731" t="inlineStr">
        <is>
          <t>ရွှေကမ္ဘာ</t>
        </is>
      </c>
      <c r="C42" s="733" t="inlineStr">
        <is>
          <t>B</t>
        </is>
      </c>
      <c r="D42" s="733" t="inlineStr">
        <is>
          <t>ညောင်ဦး</t>
        </is>
      </c>
      <c r="E42" s="733" t="inlineStr">
        <is>
          <t>ညောင်ဦးမြို့</t>
        </is>
      </c>
      <c r="F42" s="733" t="inlineStr">
        <is>
          <t>Van 1-3</t>
        </is>
      </c>
      <c r="G42" s="737" t="inlineStr">
        <is>
          <t>09-428312275</t>
        </is>
      </c>
      <c r="H42" s="735" t="inlineStr">
        <is>
          <t>SMM</t>
        </is>
      </c>
      <c r="I42" s="730" t="n">
        <v>3</v>
      </c>
    </row>
    <row r="43" ht="20.4" customHeight="1">
      <c r="A43" s="733" t="n">
        <v>39</v>
      </c>
      <c r="B43" s="738" t="inlineStr">
        <is>
          <t>ကိုဖိုးသက်</t>
        </is>
      </c>
      <c r="C43" s="733" t="inlineStr">
        <is>
          <t>D</t>
        </is>
      </c>
      <c r="D43" s="733" t="inlineStr">
        <is>
          <t>မြေသင်းတွင်းရွာ</t>
        </is>
      </c>
      <c r="E43" s="733" t="inlineStr">
        <is>
          <t>ညောင်ဦးမြို့</t>
        </is>
      </c>
      <c r="F43" s="733" t="inlineStr">
        <is>
          <t>Van 1-3</t>
        </is>
      </c>
      <c r="G43" s="737" t="n"/>
      <c r="H43" s="735" t="inlineStr">
        <is>
          <t>SMM</t>
        </is>
      </c>
      <c r="I43" s="730" t="n">
        <v>3</v>
      </c>
    </row>
    <row r="44" ht="20.4" customHeight="1">
      <c r="A44" s="730" t="n">
        <v>40</v>
      </c>
      <c r="B44" s="739" t="inlineStr">
        <is>
          <t>ကိုသက်</t>
        </is>
      </c>
      <c r="C44" s="730" t="inlineStr">
        <is>
          <t>B</t>
        </is>
      </c>
      <c r="D44" s="733" t="inlineStr">
        <is>
          <t>ရန်နောင်</t>
        </is>
      </c>
      <c r="E44" s="733" t="inlineStr">
        <is>
          <t>ပျော်ဘွယ်မြို့</t>
        </is>
      </c>
      <c r="F44" s="733" t="inlineStr">
        <is>
          <t>Van 1-4</t>
        </is>
      </c>
      <c r="G44" s="733" t="inlineStr">
        <is>
          <t>09-770439691</t>
        </is>
      </c>
      <c r="H44" s="740" t="inlineStr">
        <is>
          <t>မိတ်ဆွေစစ်</t>
        </is>
      </c>
      <c r="I44" s="733" t="n">
        <v>2</v>
      </c>
    </row>
    <row r="45" ht="20.4" customHeight="1">
      <c r="A45" s="730" t="n">
        <v>41</v>
      </c>
      <c r="B45" s="739" t="inlineStr">
        <is>
          <t>ခင်</t>
        </is>
      </c>
      <c r="C45" s="730" t="inlineStr">
        <is>
          <t>B</t>
        </is>
      </c>
      <c r="D45" s="733" t="inlineStr">
        <is>
          <t>ပျော်ဘွယ်</t>
        </is>
      </c>
      <c r="E45" s="733" t="inlineStr">
        <is>
          <t>ပျော်ဘွယ်မြို့</t>
        </is>
      </c>
      <c r="F45" s="733" t="inlineStr">
        <is>
          <t>Van 1-4</t>
        </is>
      </c>
      <c r="G45" s="733" t="inlineStr">
        <is>
          <t>09-790157962</t>
        </is>
      </c>
      <c r="H45" s="740" t="inlineStr">
        <is>
          <t>ဦးရဲမြင့်</t>
        </is>
      </c>
      <c r="I45" s="733" t="n">
        <v>4</v>
      </c>
    </row>
    <row r="46" ht="20.4" customHeight="1">
      <c r="A46" s="730" t="n">
        <v>42</v>
      </c>
      <c r="B46" s="731" t="inlineStr">
        <is>
          <t>ကိုသိန်းဇော်</t>
        </is>
      </c>
      <c r="C46" s="733" t="inlineStr">
        <is>
          <t>D</t>
        </is>
      </c>
      <c r="D46" s="733" t="inlineStr">
        <is>
          <t>ပဲ့ကန်</t>
        </is>
      </c>
      <c r="E46" s="733" t="inlineStr">
        <is>
          <t>ပျော်ဘွယ်မြို့</t>
        </is>
      </c>
      <c r="F46" s="733" t="inlineStr">
        <is>
          <t>Van 1-4</t>
        </is>
      </c>
      <c r="G46" s="733" t="inlineStr">
        <is>
          <t>09-693300346</t>
        </is>
      </c>
      <c r="H46" s="740" t="inlineStr">
        <is>
          <t>ခင်</t>
        </is>
      </c>
      <c r="I46" s="733" t="n">
        <v>2</v>
      </c>
    </row>
    <row r="47" ht="20.4" customHeight="1">
      <c r="A47" s="733" t="n">
        <v>43</v>
      </c>
      <c r="B47" s="731" t="inlineStr">
        <is>
          <t>ကိုမျိုးဇော်</t>
        </is>
      </c>
      <c r="C47" s="733" t="inlineStr">
        <is>
          <t>D</t>
        </is>
      </c>
      <c r="D47" s="733" t="inlineStr">
        <is>
          <t>စံကျော်နက်</t>
        </is>
      </c>
      <c r="E47" s="733" t="inlineStr">
        <is>
          <t>ပျော်ဘွယ်မြို့</t>
        </is>
      </c>
      <c r="F47" s="733" t="inlineStr">
        <is>
          <t>Van 1-4</t>
        </is>
      </c>
      <c r="G47" s="733" t="inlineStr">
        <is>
          <t>09-662547209</t>
        </is>
      </c>
      <c r="H47" s="740" t="inlineStr">
        <is>
          <t>ခင်</t>
        </is>
      </c>
      <c r="I47" s="733" t="n">
        <v>2</v>
      </c>
    </row>
    <row r="48" ht="20.4" customHeight="1">
      <c r="A48" s="730" t="n">
        <v>44</v>
      </c>
      <c r="B48" s="731" t="inlineStr">
        <is>
          <t>ရွှေနွယ်ရိပ်</t>
        </is>
      </c>
      <c r="C48" s="733" t="inlineStr">
        <is>
          <t>D</t>
        </is>
      </c>
      <c r="D48" s="733" t="inlineStr">
        <is>
          <t>ချဉ်ပစ်ကျီး</t>
        </is>
      </c>
      <c r="E48" s="733" t="inlineStr">
        <is>
          <t>ပျော်ဘွယ်မြို့</t>
        </is>
      </c>
      <c r="F48" s="733" t="inlineStr">
        <is>
          <t>Van 1-4</t>
        </is>
      </c>
      <c r="G48" s="733" t="n"/>
      <c r="H48" s="740" t="inlineStr">
        <is>
          <t>ခင်</t>
        </is>
      </c>
      <c r="I48" s="733" t="n">
        <v>2</v>
      </c>
    </row>
    <row r="49" ht="20.4" customHeight="1">
      <c r="A49" s="730" t="n">
        <v>45</v>
      </c>
      <c r="B49" s="731" t="inlineStr">
        <is>
          <t>ကိုဂတုံး</t>
        </is>
      </c>
      <c r="C49" s="733" t="inlineStr">
        <is>
          <t>D</t>
        </is>
      </c>
      <c r="D49" s="733" t="inlineStr">
        <is>
          <t>ချဉ်ပစ်ကျီး</t>
        </is>
      </c>
      <c r="E49" s="733" t="inlineStr">
        <is>
          <t>ပျော်ဘွယ်မြို့</t>
        </is>
      </c>
      <c r="F49" s="733" t="inlineStr">
        <is>
          <t>Van 1-4</t>
        </is>
      </c>
      <c r="G49" s="733" t="n"/>
      <c r="H49" s="740" t="inlineStr">
        <is>
          <t>ခင်</t>
        </is>
      </c>
      <c r="I49" s="733" t="n">
        <v>2</v>
      </c>
    </row>
    <row r="50" ht="20.4" customHeight="1">
      <c r="A50" s="730" t="n">
        <v>46</v>
      </c>
      <c r="B50" s="731" t="inlineStr">
        <is>
          <t>ကိုမောင်နိုင်</t>
        </is>
      </c>
      <c r="C50" s="733" t="inlineStr">
        <is>
          <t>D</t>
        </is>
      </c>
      <c r="D50" s="733" t="inlineStr">
        <is>
          <t>တောင်ကန်ကြီး</t>
        </is>
      </c>
      <c r="E50" s="733" t="inlineStr">
        <is>
          <t>ပျော်ဘွယ်မြို့</t>
        </is>
      </c>
      <c r="F50" s="733" t="inlineStr">
        <is>
          <t>Van 1-4</t>
        </is>
      </c>
      <c r="G50" s="733" t="n"/>
      <c r="H50" s="740" t="inlineStr">
        <is>
          <t>ခင်</t>
        </is>
      </c>
      <c r="I50" s="733" t="n">
        <v>2</v>
      </c>
    </row>
    <row r="51" ht="20.4" customHeight="1">
      <c r="A51" s="733" t="n">
        <v>47</v>
      </c>
      <c r="B51" s="731" t="inlineStr">
        <is>
          <t>မသန်းသန်းဦး</t>
        </is>
      </c>
      <c r="C51" s="733" t="inlineStr">
        <is>
          <t>D</t>
        </is>
      </c>
      <c r="D51" s="733" t="inlineStr">
        <is>
          <t>တောင်ကန်ကြီး</t>
        </is>
      </c>
      <c r="E51" s="733" t="inlineStr">
        <is>
          <t>ပျော်ဘွယ်မြို့</t>
        </is>
      </c>
      <c r="F51" s="733" t="inlineStr">
        <is>
          <t>Van 1-4</t>
        </is>
      </c>
      <c r="G51" s="733" t="n"/>
      <c r="H51" s="740" t="inlineStr">
        <is>
          <t>ခင်</t>
        </is>
      </c>
      <c r="I51" s="733" t="n">
        <v>2</v>
      </c>
    </row>
    <row r="52" ht="20.4" customHeight="1">
      <c r="A52" s="730" t="n">
        <v>48</v>
      </c>
      <c r="B52" s="731" t="inlineStr">
        <is>
          <t>ကိုဇော်ကြီး</t>
        </is>
      </c>
      <c r="C52" s="733" t="inlineStr">
        <is>
          <t>D</t>
        </is>
      </c>
      <c r="D52" s="733" t="inlineStr">
        <is>
          <t>တောင်ကန်ကြီး</t>
        </is>
      </c>
      <c r="E52" s="733" t="inlineStr">
        <is>
          <t>ပျော်ဘွယ်မြို့</t>
        </is>
      </c>
      <c r="F52" s="733" t="inlineStr">
        <is>
          <t>Van 1-4</t>
        </is>
      </c>
      <c r="G52" s="733" t="n"/>
      <c r="H52" s="740" t="inlineStr">
        <is>
          <t>ခင်</t>
        </is>
      </c>
      <c r="I52" s="733" t="n">
        <v>2</v>
      </c>
    </row>
    <row r="53" ht="20.4" customHeight="1">
      <c r="A53" s="730" t="n">
        <v>49</v>
      </c>
      <c r="B53" s="731" t="inlineStr">
        <is>
          <t>ကိုငြိမ်းလွင်</t>
        </is>
      </c>
      <c r="C53" s="733" t="inlineStr">
        <is>
          <t>D</t>
        </is>
      </c>
      <c r="D53" s="733" t="inlineStr">
        <is>
          <t>တောင်ကန်ကြီး</t>
        </is>
      </c>
      <c r="E53" s="733" t="inlineStr">
        <is>
          <t>ပျော်ဘွယ်မြို့</t>
        </is>
      </c>
      <c r="F53" s="733" t="inlineStr">
        <is>
          <t>Van 1-4</t>
        </is>
      </c>
      <c r="G53" s="733" t="n"/>
      <c r="H53" s="740" t="inlineStr">
        <is>
          <t>ခင်</t>
        </is>
      </c>
      <c r="I53" s="733" t="n">
        <v>2</v>
      </c>
    </row>
    <row r="54" ht="20.4" customHeight="1">
      <c r="A54" s="730" t="n">
        <v>50</v>
      </c>
      <c r="B54" s="731" t="inlineStr">
        <is>
          <t>မသင်းသင်းဆွေ</t>
        </is>
      </c>
      <c r="C54" s="733" t="inlineStr">
        <is>
          <t>D</t>
        </is>
      </c>
      <c r="D54" s="733" t="inlineStr">
        <is>
          <t>စံပယ်ကုန်း</t>
        </is>
      </c>
      <c r="E54" s="733" t="inlineStr">
        <is>
          <t>ပျော်ဘွယ်မြို့</t>
        </is>
      </c>
      <c r="F54" s="733" t="inlineStr">
        <is>
          <t>Van 1-4</t>
        </is>
      </c>
      <c r="G54" s="1259" t="inlineStr">
        <is>
          <t>09-254807742</t>
        </is>
      </c>
      <c r="H54" s="740" t="inlineStr">
        <is>
          <t>ခင်</t>
        </is>
      </c>
      <c r="I54" s="733" t="n">
        <v>2</v>
      </c>
    </row>
    <row r="55" ht="20.4" customHeight="1">
      <c r="A55" s="733" t="n">
        <v>51</v>
      </c>
      <c r="B55" s="731" t="inlineStr">
        <is>
          <t>မစိုး</t>
        </is>
      </c>
      <c r="C55" s="733" t="inlineStr">
        <is>
          <t>D</t>
        </is>
      </c>
      <c r="D55" s="733" t="inlineStr">
        <is>
          <t>တလင်းကုန်း</t>
        </is>
      </c>
      <c r="E55" s="733" t="inlineStr">
        <is>
          <t>ပျော်ဘွယ်မြို့</t>
        </is>
      </c>
      <c r="F55" s="733" t="inlineStr">
        <is>
          <t>Van 1-4</t>
        </is>
      </c>
      <c r="G55" s="733" t="n"/>
      <c r="H55" s="740" t="inlineStr">
        <is>
          <t>ခင်</t>
        </is>
      </c>
      <c r="I55" s="733" t="n">
        <v>2</v>
      </c>
    </row>
    <row r="56" ht="20.4" customHeight="1">
      <c r="A56" s="730" t="n">
        <v>52</v>
      </c>
      <c r="B56" s="739" t="inlineStr">
        <is>
          <t>မမိုး</t>
        </is>
      </c>
      <c r="C56" s="733" t="inlineStr">
        <is>
          <t>D</t>
        </is>
      </c>
      <c r="D56" s="733" t="inlineStr">
        <is>
          <t>တလင်းကုန်း</t>
        </is>
      </c>
      <c r="E56" s="733" t="inlineStr">
        <is>
          <t>ပျော်ဘွယ်မြို့</t>
        </is>
      </c>
      <c r="F56" s="733" t="inlineStr">
        <is>
          <t>Van 1-4</t>
        </is>
      </c>
      <c r="G56" s="733" t="n"/>
      <c r="H56" s="740" t="inlineStr">
        <is>
          <t>ခင်</t>
        </is>
      </c>
      <c r="I56" s="733" t="n">
        <v>2</v>
      </c>
    </row>
    <row r="57" ht="20.4" customHeight="1">
      <c r="A57" s="730" t="n">
        <v>53</v>
      </c>
      <c r="B57" s="739" t="inlineStr">
        <is>
          <t>ကိုစိုးတင့်</t>
        </is>
      </c>
      <c r="C57" s="733" t="inlineStr">
        <is>
          <t>D</t>
        </is>
      </c>
      <c r="D57" s="733" t="inlineStr">
        <is>
          <t>သစ်လှကျင်း</t>
        </is>
      </c>
      <c r="E57" s="733" t="inlineStr">
        <is>
          <t>ပျော်ဘွယ်မြို့</t>
        </is>
      </c>
      <c r="F57" s="733" t="inlineStr">
        <is>
          <t>Van 1-4</t>
        </is>
      </c>
      <c r="G57" s="733" t="n"/>
      <c r="H57" s="740" t="inlineStr">
        <is>
          <t>ခင်</t>
        </is>
      </c>
      <c r="I57" s="733" t="n">
        <v>2</v>
      </c>
    </row>
    <row r="58" ht="20.4" customHeight="1">
      <c r="A58" s="730" t="n">
        <v>54</v>
      </c>
      <c r="B58" s="739" t="inlineStr">
        <is>
          <t>ဦးဥာဏ်အောင်</t>
        </is>
      </c>
      <c r="C58" s="733" t="inlineStr">
        <is>
          <t>D</t>
        </is>
      </c>
      <c r="D58" s="733" t="inlineStr">
        <is>
          <t>သဖန်းချောင်း</t>
        </is>
      </c>
      <c r="E58" s="733" t="inlineStr">
        <is>
          <t>ပျော်ဘွယ်မြို့</t>
        </is>
      </c>
      <c r="F58" s="733" t="inlineStr">
        <is>
          <t>Van 1-4</t>
        </is>
      </c>
      <c r="G58" s="733" t="inlineStr">
        <is>
          <t>09-978242142</t>
        </is>
      </c>
      <c r="H58" s="740" t="inlineStr">
        <is>
          <t>ခင်</t>
        </is>
      </c>
      <c r="I58" s="733" t="n">
        <v>2</v>
      </c>
    </row>
    <row r="59" ht="20.4" customHeight="1">
      <c r="A59" s="733" t="n">
        <v>55</v>
      </c>
      <c r="B59" s="731" t="inlineStr">
        <is>
          <t>ရွှေအုန်းပင်</t>
        </is>
      </c>
      <c r="C59" s="732" t="inlineStr">
        <is>
          <t>B</t>
        </is>
      </c>
      <c r="D59" s="733" t="inlineStr">
        <is>
          <t>ရွာတန်း</t>
        </is>
      </c>
      <c r="E59" s="733" t="inlineStr">
        <is>
          <t>ရမည်းသင်းမြို့</t>
        </is>
      </c>
      <c r="F59" s="733" t="inlineStr">
        <is>
          <t>Van 1-5</t>
        </is>
      </c>
      <c r="G59" s="732" t="inlineStr">
        <is>
          <t>-</t>
        </is>
      </c>
      <c r="H59" s="740" t="inlineStr">
        <is>
          <t>စံချိန်(ရမသ)</t>
        </is>
      </c>
      <c r="I59" s="730" t="n">
        <v>3</v>
      </c>
    </row>
    <row r="60" ht="20.4" customHeight="1">
      <c r="A60" s="730" t="n">
        <v>56</v>
      </c>
      <c r="B60" s="731" t="inlineStr">
        <is>
          <t>စိုးမိုး</t>
        </is>
      </c>
      <c r="C60" s="732" t="inlineStr">
        <is>
          <t>B</t>
        </is>
      </c>
      <c r="D60" s="733" t="inlineStr">
        <is>
          <t>ရွာတန်း</t>
        </is>
      </c>
      <c r="E60" s="733" t="inlineStr">
        <is>
          <t>ရမည်းသင်းမြို့</t>
        </is>
      </c>
      <c r="F60" s="733" t="inlineStr">
        <is>
          <t>Van 1-5</t>
        </is>
      </c>
      <c r="G60" s="732" t="inlineStr">
        <is>
          <t>09-257777902</t>
        </is>
      </c>
      <c r="H60" s="740" t="inlineStr">
        <is>
          <t>စံချိန်(ရမသ)</t>
        </is>
      </c>
      <c r="I60" s="730" t="n">
        <v>3</v>
      </c>
    </row>
    <row r="61" ht="20.4" customHeight="1">
      <c r="A61" s="730" t="n">
        <v>57</v>
      </c>
      <c r="B61" s="731" t="inlineStr">
        <is>
          <t>တက်လူ</t>
        </is>
      </c>
      <c r="C61" s="732" t="inlineStr">
        <is>
          <t>B</t>
        </is>
      </c>
      <c r="D61" s="733" t="inlineStr">
        <is>
          <t>ရွာတန်း</t>
        </is>
      </c>
      <c r="E61" s="733" t="inlineStr">
        <is>
          <t>ရမည်းသင်းမြို့</t>
        </is>
      </c>
      <c r="F61" s="733" t="inlineStr">
        <is>
          <t>Van 1-5</t>
        </is>
      </c>
      <c r="G61" s="732" t="inlineStr">
        <is>
          <t>09-43044698</t>
        </is>
      </c>
      <c r="H61" s="740" t="inlineStr">
        <is>
          <t>စံချိန်(ရမသ)</t>
        </is>
      </c>
      <c r="I61" s="730" t="n">
        <v>3</v>
      </c>
    </row>
    <row r="62" ht="20.4" customHeight="1">
      <c r="A62" s="730" t="n">
        <v>58</v>
      </c>
      <c r="B62" s="731" t="inlineStr">
        <is>
          <t>စံချိန်</t>
        </is>
      </c>
      <c r="C62" s="732" t="inlineStr">
        <is>
          <t>B</t>
        </is>
      </c>
      <c r="D62" s="733" t="inlineStr">
        <is>
          <t>ရွာတန်း</t>
        </is>
      </c>
      <c r="E62" s="733" t="inlineStr">
        <is>
          <t>ရမည်းသင်းမြို့</t>
        </is>
      </c>
      <c r="F62" s="733" t="inlineStr">
        <is>
          <t>Van 1-5</t>
        </is>
      </c>
      <c r="G62" s="732" t="inlineStr">
        <is>
          <t>09-951268040</t>
        </is>
      </c>
      <c r="H62" s="740" t="inlineStr">
        <is>
          <t>စံချိန်(ရမသ)</t>
        </is>
      </c>
      <c r="I62" s="730" t="n">
        <v>3</v>
      </c>
    </row>
    <row r="63" ht="20.4" customHeight="1">
      <c r="A63" s="733" t="n">
        <v>59</v>
      </c>
      <c r="B63" s="731" t="inlineStr">
        <is>
          <t>ပိုင်ဖြိုး</t>
        </is>
      </c>
      <c r="C63" s="732" t="inlineStr">
        <is>
          <t>B</t>
        </is>
      </c>
      <c r="D63" s="733" t="inlineStr">
        <is>
          <t>ရွာတန်း</t>
        </is>
      </c>
      <c r="E63" s="733" t="inlineStr">
        <is>
          <t>ရမည်းသင်းမြို့</t>
        </is>
      </c>
      <c r="F63" s="733" t="inlineStr">
        <is>
          <t>Van 1-5</t>
        </is>
      </c>
      <c r="G63" s="732" t="inlineStr">
        <is>
          <t>09-2173684</t>
        </is>
      </c>
      <c r="H63" s="740" t="inlineStr">
        <is>
          <t>စံချိန်(ရမသ)</t>
        </is>
      </c>
      <c r="I63" s="730" t="n">
        <v>3</v>
      </c>
    </row>
    <row r="64" ht="20.4" customHeight="1">
      <c r="A64" s="730" t="n">
        <v>60</v>
      </c>
      <c r="B64" s="731" t="inlineStr">
        <is>
          <t>မသီတာဝင်း</t>
        </is>
      </c>
      <c r="C64" s="732" t="inlineStr">
        <is>
          <t>D</t>
        </is>
      </c>
      <c r="D64" s="733" t="inlineStr">
        <is>
          <t>ဘိုကုန်း</t>
        </is>
      </c>
      <c r="E64" s="733" t="inlineStr">
        <is>
          <t>ရမည်းသင်းမြို့</t>
        </is>
      </c>
      <c r="F64" s="733" t="inlineStr">
        <is>
          <t>Van 1-5</t>
        </is>
      </c>
      <c r="G64" s="732" t="inlineStr">
        <is>
          <t>09-689254334</t>
        </is>
      </c>
      <c r="H64" s="740" t="inlineStr">
        <is>
          <t>စံချိန်(ရမသ)</t>
        </is>
      </c>
      <c r="I64" s="730" t="n">
        <v>3</v>
      </c>
    </row>
    <row r="65" ht="20.4" customHeight="1">
      <c r="A65" s="730" t="n">
        <v>61</v>
      </c>
      <c r="B65" s="731" t="inlineStr">
        <is>
          <t>ကိုပါကြီး</t>
        </is>
      </c>
      <c r="C65" s="732" t="inlineStr">
        <is>
          <t>D</t>
        </is>
      </c>
      <c r="D65" s="733" t="inlineStr">
        <is>
          <t>ဘိုကုန်း</t>
        </is>
      </c>
      <c r="E65" s="733" t="inlineStr">
        <is>
          <t>ရမည်းသင်းမြို့</t>
        </is>
      </c>
      <c r="F65" s="733" t="inlineStr">
        <is>
          <t>Van 1-5</t>
        </is>
      </c>
      <c r="G65" s="732" t="inlineStr">
        <is>
          <t>09-650198491</t>
        </is>
      </c>
      <c r="H65" s="740" t="inlineStr">
        <is>
          <t>စံချိန်(ရမသ)</t>
        </is>
      </c>
      <c r="I65" s="730" t="n">
        <v>3</v>
      </c>
    </row>
    <row r="66" ht="20.4" customHeight="1">
      <c r="A66" s="730" t="n">
        <v>62</v>
      </c>
      <c r="B66" s="731" t="inlineStr">
        <is>
          <t>မခင်မာဆွေ</t>
        </is>
      </c>
      <c r="C66" s="732" t="inlineStr">
        <is>
          <t>D</t>
        </is>
      </c>
      <c r="D66" s="733" t="inlineStr">
        <is>
          <t>ဘိုကုန်း</t>
        </is>
      </c>
      <c r="E66" s="733" t="inlineStr">
        <is>
          <t>ရမည်းသင်းမြို့</t>
        </is>
      </c>
      <c r="F66" s="733" t="inlineStr">
        <is>
          <t>Van 1-5</t>
        </is>
      </c>
      <c r="G66" s="732" t="inlineStr">
        <is>
          <t>09-669722639</t>
        </is>
      </c>
      <c r="H66" s="740" t="inlineStr">
        <is>
          <t>စံချိန်(ရမသ)</t>
        </is>
      </c>
      <c r="I66" s="730" t="n">
        <v>3</v>
      </c>
    </row>
    <row r="67" ht="20.4" customHeight="1">
      <c r="A67" s="733" t="n">
        <v>63</v>
      </c>
      <c r="B67" s="731" t="inlineStr">
        <is>
          <t>ကိုထွန်းထွန်း</t>
        </is>
      </c>
      <c r="C67" s="732" t="inlineStr">
        <is>
          <t>D</t>
        </is>
      </c>
      <c r="D67" s="733" t="inlineStr">
        <is>
          <t>ဘိုကုန်း</t>
        </is>
      </c>
      <c r="E67" s="733" t="inlineStr">
        <is>
          <t>ရမည်းသင်းမြို့</t>
        </is>
      </c>
      <c r="F67" s="733" t="inlineStr">
        <is>
          <t>Van 1-5</t>
        </is>
      </c>
      <c r="G67" s="732" t="inlineStr">
        <is>
          <t>09-965010557</t>
        </is>
      </c>
      <c r="H67" s="740" t="inlineStr">
        <is>
          <t>စံချိန်(ရမသ)</t>
        </is>
      </c>
      <c r="I67" s="730" t="n">
        <v>3</v>
      </c>
    </row>
    <row r="68" ht="20.4" customHeight="1">
      <c r="A68" s="730" t="n">
        <v>64</v>
      </c>
      <c r="B68" s="731" t="inlineStr">
        <is>
          <t>မစိန်</t>
        </is>
      </c>
      <c r="C68" s="732" t="inlineStr">
        <is>
          <t>D</t>
        </is>
      </c>
      <c r="D68" s="733" t="inlineStr">
        <is>
          <t>ကံဦး</t>
        </is>
      </c>
      <c r="E68" s="733" t="inlineStr">
        <is>
          <t>ရမည်းသင်းမြို့</t>
        </is>
      </c>
      <c r="F68" s="733" t="inlineStr">
        <is>
          <t>Van 1-5</t>
        </is>
      </c>
      <c r="G68" s="732" t="inlineStr">
        <is>
          <t>09-691765321</t>
        </is>
      </c>
      <c r="H68" s="740" t="inlineStr">
        <is>
          <t>စံချိန်(ရမသ)</t>
        </is>
      </c>
      <c r="I68" s="730" t="n">
        <v>3</v>
      </c>
    </row>
    <row r="69" ht="20.4" customHeight="1">
      <c r="A69" s="730" t="n">
        <v>65</v>
      </c>
      <c r="B69" s="731" t="inlineStr">
        <is>
          <t>မစိုးသီတာ</t>
        </is>
      </c>
      <c r="C69" s="732" t="inlineStr">
        <is>
          <t>D</t>
        </is>
      </c>
      <c r="D69" s="733" t="inlineStr">
        <is>
          <t>ကံဦး</t>
        </is>
      </c>
      <c r="E69" s="733" t="inlineStr">
        <is>
          <t>ရမည်းသင်းမြို့</t>
        </is>
      </c>
      <c r="F69" s="733" t="inlineStr">
        <is>
          <t>Van 1-5</t>
        </is>
      </c>
      <c r="G69" s="732" t="inlineStr">
        <is>
          <t>-</t>
        </is>
      </c>
      <c r="H69" s="740" t="inlineStr">
        <is>
          <t>စံချိန်(ရမသ)</t>
        </is>
      </c>
      <c r="I69" s="730" t="n">
        <v>3</v>
      </c>
    </row>
    <row r="70" ht="20.4" customHeight="1">
      <c r="A70" s="730" t="n">
        <v>66</v>
      </c>
      <c r="B70" s="731" t="inlineStr">
        <is>
          <t>ကိုစိုးရာဇာ</t>
        </is>
      </c>
      <c r="C70" s="732" t="inlineStr">
        <is>
          <t>D</t>
        </is>
      </c>
      <c r="D70" s="733" t="inlineStr">
        <is>
          <t>လျော်ဖြူကိုင်း</t>
        </is>
      </c>
      <c r="E70" s="733" t="inlineStr">
        <is>
          <t>ရမည်းသင်းမြို့</t>
        </is>
      </c>
      <c r="F70" s="733" t="inlineStr">
        <is>
          <t>Van 1-5</t>
        </is>
      </c>
      <c r="G70" s="732" t="inlineStr">
        <is>
          <t>-</t>
        </is>
      </c>
      <c r="H70" s="740" t="inlineStr">
        <is>
          <t>စံချိန်(ရမသ)</t>
        </is>
      </c>
      <c r="I70" s="730" t="n">
        <v>3</v>
      </c>
    </row>
    <row r="71" ht="20.4" customHeight="1">
      <c r="A71" s="733" t="n">
        <v>67</v>
      </c>
      <c r="B71" s="742" t="inlineStr">
        <is>
          <t>ကိုအောင်ကိုဝင်း</t>
        </is>
      </c>
      <c r="C71" s="732" t="inlineStr">
        <is>
          <t>D</t>
        </is>
      </c>
      <c r="D71" s="733" t="inlineStr">
        <is>
          <t>ရွှေတောင်ကုန်း</t>
        </is>
      </c>
      <c r="E71" s="733" t="inlineStr">
        <is>
          <t>ရမည်းသင်းမြို့</t>
        </is>
      </c>
      <c r="F71" s="733" t="inlineStr">
        <is>
          <t>Van 1-5</t>
        </is>
      </c>
      <c r="G71" s="732" t="n"/>
      <c r="H71" s="740" t="inlineStr">
        <is>
          <t>စံချိန်(ရမသ)</t>
        </is>
      </c>
      <c r="I71" s="730" t="n">
        <v>3</v>
      </c>
    </row>
    <row r="72" ht="20.4" customHeight="1">
      <c r="A72" s="730" t="n">
        <v>68</v>
      </c>
      <c r="B72" s="731" t="inlineStr">
        <is>
          <t>ကိုသိန်းလွင်</t>
        </is>
      </c>
      <c r="C72" s="732" t="inlineStr">
        <is>
          <t>D</t>
        </is>
      </c>
      <c r="D72" s="733" t="inlineStr">
        <is>
          <t>ကံဦး</t>
        </is>
      </c>
      <c r="E72" s="733" t="inlineStr">
        <is>
          <t>ရမည်းသင်းမြို့</t>
        </is>
      </c>
      <c r="F72" s="733" t="inlineStr">
        <is>
          <t>Van 1-5</t>
        </is>
      </c>
      <c r="G72" s="732" t="inlineStr">
        <is>
          <t>09-677728188</t>
        </is>
      </c>
      <c r="H72" s="740" t="inlineStr">
        <is>
          <t>စံချိန်(ရမသ)</t>
        </is>
      </c>
      <c r="I72" s="730" t="n">
        <v>3</v>
      </c>
    </row>
    <row r="73" ht="20.4" customHeight="1">
      <c r="A73" s="730" t="n">
        <v>69</v>
      </c>
      <c r="B73" s="731" t="inlineStr">
        <is>
          <t>မသီတာထွန်း</t>
        </is>
      </c>
      <c r="C73" s="732" t="inlineStr">
        <is>
          <t>D</t>
        </is>
      </c>
      <c r="D73" s="733" t="inlineStr">
        <is>
          <t>ကံဦး</t>
        </is>
      </c>
      <c r="E73" s="733" t="inlineStr">
        <is>
          <t>ရမည်းသင်းမြို့</t>
        </is>
      </c>
      <c r="F73" s="733" t="inlineStr">
        <is>
          <t>Van 1-5</t>
        </is>
      </c>
      <c r="G73" s="732" t="inlineStr">
        <is>
          <t>09-650507887</t>
        </is>
      </c>
      <c r="H73" s="740" t="inlineStr">
        <is>
          <t>စံချိန်(ရမသ)</t>
        </is>
      </c>
      <c r="I73" s="730" t="n">
        <v>3</v>
      </c>
    </row>
    <row r="74" ht="20.4" customHeight="1">
      <c r="A74" s="730" t="n">
        <v>70</v>
      </c>
      <c r="B74" s="731" t="inlineStr">
        <is>
          <t>ဝမ်းဝမ်း</t>
        </is>
      </c>
      <c r="C74" s="732" t="inlineStr">
        <is>
          <t>D</t>
        </is>
      </c>
      <c r="D74" s="733" t="inlineStr">
        <is>
          <t>လျော်ဖြူကိုင်း</t>
        </is>
      </c>
      <c r="E74" s="733" t="inlineStr">
        <is>
          <t>ရမည်းသင်းမြို့</t>
        </is>
      </c>
      <c r="F74" s="733" t="inlineStr">
        <is>
          <t>Van 1-5</t>
        </is>
      </c>
      <c r="G74" s="732" t="n"/>
      <c r="H74" s="740" t="inlineStr">
        <is>
          <t>စံချိန်(ရမသ)</t>
        </is>
      </c>
      <c r="I74" s="730" t="n">
        <v>3</v>
      </c>
    </row>
    <row r="75" ht="20.4" customHeight="1">
      <c r="A75" s="733" t="n">
        <v>71</v>
      </c>
      <c r="B75" s="731" t="inlineStr">
        <is>
          <t>မအေးမြင့်</t>
        </is>
      </c>
      <c r="C75" s="732" t="inlineStr">
        <is>
          <t>D</t>
        </is>
      </c>
      <c r="D75" s="733" t="inlineStr">
        <is>
          <t>ရေငံရွာ</t>
        </is>
      </c>
      <c r="E75" s="733" t="inlineStr">
        <is>
          <t>ကျောက်ပန်းတောင်းမြို့</t>
        </is>
      </c>
      <c r="F75" s="733" t="inlineStr">
        <is>
          <t>Van 1-6</t>
        </is>
      </c>
      <c r="G75" s="733" t="inlineStr">
        <is>
          <t>09-454997563</t>
        </is>
      </c>
      <c r="H75" s="743" t="inlineStr">
        <is>
          <t>SMM</t>
        </is>
      </c>
      <c r="I75" s="730" t="n">
        <v>4</v>
      </c>
    </row>
    <row r="76" ht="20.4" customHeight="1">
      <c r="A76" s="730" t="n">
        <v>72</v>
      </c>
      <c r="B76" s="731" t="inlineStr">
        <is>
          <t>မဌေးမြင့်</t>
        </is>
      </c>
      <c r="C76" s="732" t="inlineStr">
        <is>
          <t>D</t>
        </is>
      </c>
      <c r="D76" s="733" t="inlineStr">
        <is>
          <t>ရေငံရွာ</t>
        </is>
      </c>
      <c r="E76" s="733" t="inlineStr">
        <is>
          <t>ကျောက်ပန်းတောင်းမြို့</t>
        </is>
      </c>
      <c r="F76" s="733" t="inlineStr">
        <is>
          <t>Van 1-6</t>
        </is>
      </c>
      <c r="G76" s="733" t="inlineStr">
        <is>
          <t>09-682268605</t>
        </is>
      </c>
      <c r="H76" s="743" t="inlineStr">
        <is>
          <t>SMM</t>
        </is>
      </c>
      <c r="I76" s="730" t="n">
        <v>4</v>
      </c>
    </row>
    <row r="77" ht="20.4" customHeight="1">
      <c r="A77" s="730" t="n">
        <v>73</v>
      </c>
      <c r="B77" s="731" t="inlineStr">
        <is>
          <t>စိန်ဟင်္သာ</t>
        </is>
      </c>
      <c r="C77" s="732" t="inlineStr">
        <is>
          <t>C</t>
        </is>
      </c>
      <c r="D77" s="733" t="inlineStr">
        <is>
          <t>လက်ပံပျား</t>
        </is>
      </c>
      <c r="E77" s="733" t="inlineStr">
        <is>
          <t>ကျောက်ပန်းတောင်းမြို့</t>
        </is>
      </c>
      <c r="F77" s="733" t="inlineStr">
        <is>
          <t>Van 1-6</t>
        </is>
      </c>
      <c r="G77" s="733" t="n"/>
      <c r="H77" s="743" t="inlineStr">
        <is>
          <t>SMM</t>
        </is>
      </c>
      <c r="I77" s="730" t="n">
        <v>4</v>
      </c>
    </row>
    <row r="78" ht="20.4" customHeight="1">
      <c r="A78" s="730" t="n">
        <v>74</v>
      </c>
      <c r="B78" s="731" t="inlineStr">
        <is>
          <t>ရွာသားကြီး</t>
        </is>
      </c>
      <c r="C78" s="732" t="inlineStr">
        <is>
          <t>D</t>
        </is>
      </c>
      <c r="D78" s="733" t="inlineStr">
        <is>
          <t>လက်ပံပျား</t>
        </is>
      </c>
      <c r="E78" s="733" t="inlineStr">
        <is>
          <t>ကျောက်ပန်းတောင်းမြို့</t>
        </is>
      </c>
      <c r="F78" s="733" t="inlineStr">
        <is>
          <t>Van 1-6</t>
        </is>
      </c>
      <c r="G78" s="733" t="n"/>
      <c r="H78" s="743" t="inlineStr">
        <is>
          <t>SMM</t>
        </is>
      </c>
      <c r="I78" s="730" t="n">
        <v>4</v>
      </c>
    </row>
    <row r="79" ht="20.4" customHeight="1">
      <c r="A79" s="733" t="n">
        <v>75</v>
      </c>
      <c r="B79" s="731" t="inlineStr">
        <is>
          <t>ကိုညွှန့်ဝင်း</t>
        </is>
      </c>
      <c r="C79" s="732" t="inlineStr">
        <is>
          <t>C</t>
        </is>
      </c>
      <c r="D79" s="733" t="inlineStr">
        <is>
          <t>ဝက်ချုပ်ကုန်း</t>
        </is>
      </c>
      <c r="E79" s="733" t="inlineStr">
        <is>
          <t>ကျောက်ပန်းတောင်းမြို့</t>
        </is>
      </c>
      <c r="F79" s="733" t="inlineStr">
        <is>
          <t>Van 1-6</t>
        </is>
      </c>
      <c r="G79" s="733" t="inlineStr">
        <is>
          <t>09-445398247</t>
        </is>
      </c>
      <c r="H79" s="743" t="inlineStr">
        <is>
          <t>SMM</t>
        </is>
      </c>
      <c r="I79" s="730" t="n">
        <v>4</v>
      </c>
    </row>
    <row r="80" ht="20.4" customHeight="1">
      <c r="A80" s="730" t="n">
        <v>76</v>
      </c>
      <c r="B80" s="731" t="inlineStr">
        <is>
          <t>ကောင်းသဇင်</t>
        </is>
      </c>
      <c r="C80" s="732" t="inlineStr">
        <is>
          <t>C</t>
        </is>
      </c>
      <c r="D80" s="733" t="inlineStr">
        <is>
          <t>ဝက်ချုပ်ကုန်း</t>
        </is>
      </c>
      <c r="E80" s="733" t="inlineStr">
        <is>
          <t>ကျောက်ပန်းတောင်းမြို့</t>
        </is>
      </c>
      <c r="F80" s="733" t="inlineStr">
        <is>
          <t>Van 1-6</t>
        </is>
      </c>
      <c r="G80" s="733" t="inlineStr">
        <is>
          <t>09-252554085</t>
        </is>
      </c>
      <c r="H80" s="743" t="inlineStr">
        <is>
          <t>SMM</t>
        </is>
      </c>
      <c r="I80" s="730" t="n">
        <v>4</v>
      </c>
    </row>
    <row r="81" ht="20.4" customHeight="1">
      <c r="A81" s="730" t="n">
        <v>77</v>
      </c>
      <c r="B81" s="731" t="inlineStr">
        <is>
          <t>ကိုစိုးဦး</t>
        </is>
      </c>
      <c r="C81" s="732" t="inlineStr">
        <is>
          <t>C</t>
        </is>
      </c>
      <c r="D81" s="733" t="inlineStr">
        <is>
          <t>ဝက်ချုပ်ကုန်း</t>
        </is>
      </c>
      <c r="E81" s="733" t="inlineStr">
        <is>
          <t>ကျောက်ပန်းတောင်းမြို့</t>
        </is>
      </c>
      <c r="F81" s="733" t="inlineStr">
        <is>
          <t>Van 1-6</t>
        </is>
      </c>
      <c r="G81" s="733" t="inlineStr">
        <is>
          <t>09-444803541</t>
        </is>
      </c>
      <c r="H81" s="743" t="inlineStr">
        <is>
          <t>SMM</t>
        </is>
      </c>
      <c r="I81" s="730" t="n">
        <v>4</v>
      </c>
    </row>
    <row r="82" ht="20.4" customHeight="1">
      <c r="A82" s="730" t="n">
        <v>78</v>
      </c>
      <c r="B82" s="739" t="inlineStr">
        <is>
          <t>မခင်မာစန်း</t>
        </is>
      </c>
      <c r="C82" s="732" t="inlineStr">
        <is>
          <t>D</t>
        </is>
      </c>
      <c r="D82" s="733" t="inlineStr">
        <is>
          <t>ညောင်ပင်ဝိုင်း</t>
        </is>
      </c>
      <c r="E82" s="733" t="inlineStr">
        <is>
          <t>ကျောက်ပန်းတောင်းမြို့</t>
        </is>
      </c>
      <c r="F82" s="733" t="inlineStr">
        <is>
          <t>Van 1-6</t>
        </is>
      </c>
      <c r="G82" s="733" t="n"/>
      <c r="H82" s="743" t="inlineStr">
        <is>
          <t>SMM</t>
        </is>
      </c>
      <c r="I82" s="730" t="n">
        <v>4</v>
      </c>
    </row>
    <row r="83" ht="20.4" customHeight="1">
      <c r="A83" s="733" t="n">
        <v>79</v>
      </c>
      <c r="B83" s="739" t="inlineStr">
        <is>
          <t>မဥမ္မာချို</t>
        </is>
      </c>
      <c r="C83" s="732" t="inlineStr">
        <is>
          <t>D</t>
        </is>
      </c>
      <c r="D83" s="733" t="inlineStr">
        <is>
          <t>ဖက်တောရ</t>
        </is>
      </c>
      <c r="E83" s="733" t="inlineStr">
        <is>
          <t>ကျောက်ပန်းတောင်းမြို့</t>
        </is>
      </c>
      <c r="F83" s="733" t="inlineStr">
        <is>
          <t>Van 1-6</t>
        </is>
      </c>
      <c r="G83" s="733" t="inlineStr">
        <is>
          <t>09-426882746</t>
        </is>
      </c>
      <c r="H83" s="743" t="inlineStr">
        <is>
          <t>SMM</t>
        </is>
      </c>
      <c r="I83" s="730" t="n">
        <v>4</v>
      </c>
    </row>
    <row r="84" ht="20.4" customHeight="1">
      <c r="A84" s="730" t="n">
        <v>80</v>
      </c>
      <c r="B84" s="739" t="inlineStr">
        <is>
          <t>မဌေး</t>
        </is>
      </c>
      <c r="C84" s="732" t="inlineStr">
        <is>
          <t>D</t>
        </is>
      </c>
      <c r="D84" s="733" t="inlineStr">
        <is>
          <t>မိုးနံကျင်း</t>
        </is>
      </c>
      <c r="E84" s="733" t="inlineStr">
        <is>
          <t>ကျောက်ပန်းတောင်းမြို့</t>
        </is>
      </c>
      <c r="F84" s="733" t="inlineStr">
        <is>
          <t>Van 1-6</t>
        </is>
      </c>
      <c r="G84" s="733" t="inlineStr">
        <is>
          <t>09-400441621</t>
        </is>
      </c>
      <c r="H84" s="743" t="inlineStr">
        <is>
          <t>SMM</t>
        </is>
      </c>
      <c r="I84" s="730" t="n">
        <v>4</v>
      </c>
    </row>
    <row r="85" ht="20.4" customHeight="1">
      <c r="A85" s="730" t="n">
        <v>81</v>
      </c>
      <c r="B85" s="739" t="inlineStr">
        <is>
          <t>မစန္ဒာလွင်</t>
        </is>
      </c>
      <c r="C85" s="732" t="inlineStr">
        <is>
          <t>D</t>
        </is>
      </c>
      <c r="D85" s="733" t="inlineStr">
        <is>
          <t>ကံရွာ</t>
        </is>
      </c>
      <c r="E85" s="733" t="inlineStr">
        <is>
          <t>ကျောက်ပန်းတောင်းမြို့</t>
        </is>
      </c>
      <c r="F85" s="733" t="inlineStr">
        <is>
          <t>Van 1-6</t>
        </is>
      </c>
      <c r="G85" s="733" t="inlineStr">
        <is>
          <t>09-451820173</t>
        </is>
      </c>
      <c r="H85" s="743" t="inlineStr">
        <is>
          <t>SMM</t>
        </is>
      </c>
      <c r="I85" s="730" t="n">
        <v>4</v>
      </c>
    </row>
    <row r="86" ht="20.4" customHeight="1">
      <c r="A86" s="730" t="n">
        <v>82</v>
      </c>
      <c r="B86" s="739" t="inlineStr">
        <is>
          <t>ရွာသားကြီး</t>
        </is>
      </c>
      <c r="C86" s="732" t="inlineStr">
        <is>
          <t>D</t>
        </is>
      </c>
      <c r="D86" s="733" t="inlineStr">
        <is>
          <t>လက်ပံပျား</t>
        </is>
      </c>
      <c r="E86" s="733" t="inlineStr">
        <is>
          <t>ကျောက်ပန်းတောင်းမြို့</t>
        </is>
      </c>
      <c r="F86" s="733" t="inlineStr">
        <is>
          <t>Van 1-6</t>
        </is>
      </c>
      <c r="G86" s="733" t="n"/>
      <c r="H86" s="743" t="inlineStr">
        <is>
          <t>SMM</t>
        </is>
      </c>
      <c r="I86" s="730" t="n">
        <v>4</v>
      </c>
    </row>
    <row r="87" ht="20.4" customHeight="1">
      <c r="A87" s="733" t="n">
        <v>83</v>
      </c>
      <c r="B87" s="739" t="inlineStr">
        <is>
          <t>ကိုလွှမ်းမိုးအောင်</t>
        </is>
      </c>
      <c r="C87" s="732" t="inlineStr">
        <is>
          <t>D</t>
        </is>
      </c>
      <c r="D87" s="733" t="inlineStr">
        <is>
          <t>ဝက်ချုပ်ကုန်း</t>
        </is>
      </c>
      <c r="E87" s="733" t="inlineStr">
        <is>
          <t>ကျောက်ပန်းတောင်းမြို့</t>
        </is>
      </c>
      <c r="F87" s="733" t="inlineStr">
        <is>
          <t>Van 1-6</t>
        </is>
      </c>
      <c r="G87" s="733" t="inlineStr">
        <is>
          <t>09-263043379</t>
        </is>
      </c>
      <c r="H87" s="743" t="inlineStr">
        <is>
          <t>SMM</t>
        </is>
      </c>
      <c r="I87" s="730" t="n">
        <v>4</v>
      </c>
    </row>
    <row r="88" ht="20.4" customHeight="1">
      <c r="A88" s="730" t="n">
        <v>84</v>
      </c>
      <c r="B88" s="744" t="inlineStr">
        <is>
          <t>ကိုအေးမွန်</t>
        </is>
      </c>
      <c r="C88" s="745" t="inlineStr">
        <is>
          <t>D</t>
        </is>
      </c>
      <c r="D88" s="746" t="inlineStr">
        <is>
          <t>ပန်းပဲလေး</t>
        </is>
      </c>
      <c r="E88" s="733" t="inlineStr">
        <is>
          <t>ကျောက်ပန်းတောင်းမြို့</t>
        </is>
      </c>
      <c r="F88" s="733" t="inlineStr">
        <is>
          <t>Van 1-7</t>
        </is>
      </c>
      <c r="G88" s="747" t="inlineStr">
        <is>
          <t>09-797722275</t>
        </is>
      </c>
      <c r="H88" s="743" t="inlineStr">
        <is>
          <t>ကောင်ထက်သူ</t>
        </is>
      </c>
      <c r="I88" s="748" t="n">
        <v>3</v>
      </c>
    </row>
    <row r="89" ht="20.4" customHeight="1">
      <c r="A89" s="730" t="n">
        <v>85</v>
      </c>
      <c r="B89" s="731" t="inlineStr">
        <is>
          <t>ကိုပြည်သူအောင်</t>
        </is>
      </c>
      <c r="C89" s="733" t="inlineStr">
        <is>
          <t>D</t>
        </is>
      </c>
      <c r="D89" s="733" t="inlineStr">
        <is>
          <t>ရေထွက်</t>
        </is>
      </c>
      <c r="E89" s="733" t="inlineStr">
        <is>
          <t>ကျောက်ပန်းတောင်းမြို့</t>
        </is>
      </c>
      <c r="F89" s="733" t="inlineStr">
        <is>
          <t>Van 1-7</t>
        </is>
      </c>
      <c r="G89" s="730" t="inlineStr">
        <is>
          <t>09-967019490</t>
        </is>
      </c>
      <c r="H89" s="743" t="inlineStr">
        <is>
          <t>ဦးစိုးဝင်း</t>
        </is>
      </c>
      <c r="I89" s="748" t="n">
        <v>3</v>
      </c>
    </row>
    <row r="90" ht="20.4" customHeight="1">
      <c r="A90" s="730" t="n">
        <v>86</v>
      </c>
      <c r="B90" s="731" t="inlineStr">
        <is>
          <t>ကိုလှကြိုင်</t>
        </is>
      </c>
      <c r="C90" s="730" t="inlineStr">
        <is>
          <t>D</t>
        </is>
      </c>
      <c r="D90" s="733" t="inlineStr">
        <is>
          <t>ရေထွက်</t>
        </is>
      </c>
      <c r="E90" s="733" t="inlineStr">
        <is>
          <t>ကျောက်ပန်းတောင်းမြို့</t>
        </is>
      </c>
      <c r="F90" s="733" t="inlineStr">
        <is>
          <t>Van 1-7</t>
        </is>
      </c>
      <c r="G90" s="730" t="inlineStr">
        <is>
          <t>09-943376919</t>
        </is>
      </c>
      <c r="H90" s="743" t="inlineStr">
        <is>
          <t>ဦးစိုးဝင်း</t>
        </is>
      </c>
      <c r="I90" s="748" t="n">
        <v>3</v>
      </c>
    </row>
    <row r="91" ht="20.4" customHeight="1">
      <c r="A91" s="733" t="n">
        <v>87</v>
      </c>
      <c r="B91" s="731" t="inlineStr">
        <is>
          <t>ကိုစိုးမင်းနှိုင်</t>
        </is>
      </c>
      <c r="C91" s="730" t="inlineStr">
        <is>
          <t>D</t>
        </is>
      </c>
      <c r="D91" s="733" t="inlineStr">
        <is>
          <t>ရေထွက်</t>
        </is>
      </c>
      <c r="E91" s="733" t="inlineStr">
        <is>
          <t>ကျောက်ပန်းတောင်းမြို့</t>
        </is>
      </c>
      <c r="F91" s="733" t="inlineStr">
        <is>
          <t>Van 1-7</t>
        </is>
      </c>
      <c r="G91" s="730" t="n"/>
      <c r="H91" s="743" t="inlineStr">
        <is>
          <t>ဦးစိုးဝင်း</t>
        </is>
      </c>
      <c r="I91" s="748" t="n">
        <v>3</v>
      </c>
    </row>
    <row r="92" ht="20.4" customHeight="1">
      <c r="A92" s="730" t="n">
        <v>88</v>
      </c>
      <c r="B92" s="731" t="inlineStr">
        <is>
          <t>ကိုမှတ်ကြီး</t>
        </is>
      </c>
      <c r="C92" s="730" t="inlineStr">
        <is>
          <t>D</t>
        </is>
      </c>
      <c r="D92" s="733" t="inlineStr">
        <is>
          <t>ကျောက်စစ်ကန်</t>
        </is>
      </c>
      <c r="E92" s="733" t="inlineStr">
        <is>
          <t>ကျောက်ပန်းတောင်းမြို့</t>
        </is>
      </c>
      <c r="F92" s="733" t="inlineStr">
        <is>
          <t>Van 1-7</t>
        </is>
      </c>
      <c r="G92" s="730" t="inlineStr">
        <is>
          <t>09-761577794</t>
        </is>
      </c>
      <c r="H92" s="743" t="inlineStr">
        <is>
          <t>လွင်</t>
        </is>
      </c>
      <c r="I92" s="748" t="n">
        <v>3</v>
      </c>
    </row>
    <row r="93" ht="20.4" customHeight="1">
      <c r="A93" s="730" t="n">
        <v>89</v>
      </c>
      <c r="B93" s="731" t="inlineStr">
        <is>
          <t>ကိုသန်းထိုက်</t>
        </is>
      </c>
      <c r="C93" s="730" t="inlineStr">
        <is>
          <t>D</t>
        </is>
      </c>
      <c r="D93" s="733" t="inlineStr">
        <is>
          <t>ကျောက်စစ်ကန်</t>
        </is>
      </c>
      <c r="E93" s="733" t="inlineStr">
        <is>
          <t>ကျောက်ပန်းတောင်းမြို့</t>
        </is>
      </c>
      <c r="F93" s="733" t="inlineStr">
        <is>
          <t>Van 1-7</t>
        </is>
      </c>
      <c r="G93" s="730" t="inlineStr">
        <is>
          <t>09-451536998</t>
        </is>
      </c>
      <c r="H93" s="743" t="inlineStr">
        <is>
          <t>လွင်</t>
        </is>
      </c>
      <c r="I93" s="748" t="n">
        <v>3</v>
      </c>
    </row>
    <row r="94" ht="20.4" customHeight="1">
      <c r="A94" s="730" t="n">
        <v>90</v>
      </c>
      <c r="B94" s="731" t="inlineStr">
        <is>
          <t>ကိုဌေးအောင်</t>
        </is>
      </c>
      <c r="C94" s="730" t="inlineStr">
        <is>
          <t>D</t>
        </is>
      </c>
      <c r="D94" s="733" t="inlineStr">
        <is>
          <t>ကျောက်စစ်ကန်</t>
        </is>
      </c>
      <c r="E94" s="733" t="inlineStr">
        <is>
          <t>ကျောက်ပန်းတောင်းမြို့</t>
        </is>
      </c>
      <c r="F94" s="733" t="inlineStr">
        <is>
          <t>Van 1-7</t>
        </is>
      </c>
      <c r="G94" s="730" t="inlineStr">
        <is>
          <t>09-650208000</t>
        </is>
      </c>
      <c r="H94" s="743" t="inlineStr">
        <is>
          <t>လွင်</t>
        </is>
      </c>
      <c r="I94" s="748" t="n">
        <v>3</v>
      </c>
    </row>
    <row r="95" ht="20.4" customHeight="1">
      <c r="A95" s="733" t="n">
        <v>91</v>
      </c>
      <c r="B95" s="731" t="inlineStr">
        <is>
          <t>ကိုမာလုံ</t>
        </is>
      </c>
      <c r="C95" s="730" t="inlineStr">
        <is>
          <t>D</t>
        </is>
      </c>
      <c r="D95" s="733" t="inlineStr">
        <is>
          <t>ရိုးခြား</t>
        </is>
      </c>
      <c r="E95" s="733" t="inlineStr">
        <is>
          <t>ကျောက်ပန်းတောင်းမြို့</t>
        </is>
      </c>
      <c r="F95" s="733" t="inlineStr">
        <is>
          <t>Van 1-7</t>
        </is>
      </c>
      <c r="G95" s="730" t="inlineStr">
        <is>
          <t>09-400727619</t>
        </is>
      </c>
      <c r="H95" s="743" t="inlineStr">
        <is>
          <t>လွင်</t>
        </is>
      </c>
      <c r="I95" s="748" t="n">
        <v>3</v>
      </c>
    </row>
    <row r="96" ht="20.4" customHeight="1">
      <c r="A96" s="730" t="n">
        <v>92</v>
      </c>
      <c r="B96" s="731" t="inlineStr">
        <is>
          <t>ကိုဥာဏ်လင်း</t>
        </is>
      </c>
      <c r="C96" s="730" t="inlineStr">
        <is>
          <t>D</t>
        </is>
      </c>
      <c r="D96" s="733" t="inlineStr">
        <is>
          <t>ရိုးခြား</t>
        </is>
      </c>
      <c r="E96" s="733" t="inlineStr">
        <is>
          <t>ကျောက်ပန်းတောင်းမြို့</t>
        </is>
      </c>
      <c r="F96" s="733" t="inlineStr">
        <is>
          <t>Van 1-7</t>
        </is>
      </c>
      <c r="G96" s="730" t="n"/>
      <c r="H96" s="743" t="inlineStr">
        <is>
          <t>လွင်</t>
        </is>
      </c>
      <c r="I96" s="748" t="n">
        <v>3</v>
      </c>
    </row>
    <row r="97" ht="20.4" customFormat="1" customHeight="1" s="750">
      <c r="A97" s="730" t="n">
        <v>93</v>
      </c>
      <c r="B97" s="739" t="inlineStr">
        <is>
          <t>ရှစ်ဝမ်းတူး</t>
        </is>
      </c>
      <c r="C97" s="730" t="inlineStr">
        <is>
          <t>D</t>
        </is>
      </c>
      <c r="D97" s="733" t="inlineStr">
        <is>
          <t>ရိုးခြား</t>
        </is>
      </c>
      <c r="E97" s="733" t="inlineStr">
        <is>
          <t>ကျောက်ပန်းတောင်းမြို့</t>
        </is>
      </c>
      <c r="F97" s="733" t="inlineStr">
        <is>
          <t>Van 1-7</t>
        </is>
      </c>
      <c r="G97" s="730" t="n"/>
      <c r="H97" s="743" t="inlineStr">
        <is>
          <t>လွင်</t>
        </is>
      </c>
      <c r="I97" s="748" t="n">
        <v>3</v>
      </c>
      <c r="J97" s="749" t="n"/>
      <c r="K97" s="749" t="n"/>
      <c r="L97" s="749" t="n"/>
      <c r="M97" s="749" t="n"/>
      <c r="N97" s="749" t="n"/>
      <c r="O97" s="749" t="n"/>
      <c r="P97" s="749" t="n"/>
      <c r="Q97" s="749" t="n"/>
      <c r="R97" s="749" t="n"/>
      <c r="S97" s="749" t="n"/>
      <c r="T97" s="749" t="n"/>
      <c r="U97" s="749" t="n"/>
      <c r="V97" s="749" t="n"/>
      <c r="W97" s="749" t="n"/>
      <c r="X97" s="749" t="n"/>
      <c r="Y97" s="749" t="n"/>
      <c r="Z97" s="749" t="n"/>
      <c r="AA97" s="749" t="n"/>
      <c r="AB97" s="749" t="n"/>
      <c r="AC97" s="749" t="n"/>
      <c r="AD97" s="749" t="n"/>
      <c r="AE97" s="749" t="n"/>
      <c r="AF97" s="749" t="n"/>
      <c r="AG97" s="749" t="n"/>
      <c r="AH97" s="749" t="n"/>
      <c r="AI97" s="749" t="n"/>
      <c r="AJ97" s="749" t="n"/>
      <c r="AK97" s="749" t="n"/>
      <c r="AL97" s="749" t="n"/>
      <c r="AM97" s="749" t="n"/>
      <c r="AN97" s="749" t="n"/>
      <c r="AO97" s="749" t="n"/>
      <c r="AP97" s="749" t="n"/>
      <c r="AQ97" s="749" t="n"/>
      <c r="AR97" s="749" t="n"/>
      <c r="AS97" s="749" t="n"/>
      <c r="AT97" s="749" t="n"/>
      <c r="AU97" s="749" t="n"/>
      <c r="AV97" s="749" t="n"/>
      <c r="AW97" s="749" t="n"/>
      <c r="AX97" s="749" t="n"/>
      <c r="AY97" s="749" t="n"/>
      <c r="AZ97" s="749" t="n"/>
      <c r="BA97" s="749" t="n"/>
      <c r="BB97" s="749" t="n"/>
      <c r="BC97" s="749" t="n"/>
      <c r="BD97" s="749" t="n"/>
      <c r="BE97" s="749" t="n"/>
      <c r="BF97" s="749" t="n"/>
      <c r="BG97" s="749" t="n"/>
      <c r="BH97" s="749" t="n"/>
      <c r="BI97" s="749" t="n"/>
      <c r="BJ97" s="749" t="n"/>
      <c r="BK97" s="749" t="n"/>
      <c r="BL97" s="749" t="n"/>
      <c r="BM97" s="749" t="n"/>
      <c r="BN97" s="749" t="n"/>
      <c r="BO97" s="749" t="n"/>
      <c r="BP97" s="749" t="n"/>
      <c r="BQ97" s="749" t="n"/>
      <c r="BR97" s="749" t="n"/>
      <c r="BS97" s="749" t="n"/>
      <c r="BT97" s="749" t="n"/>
      <c r="BU97" s="749" t="n"/>
      <c r="BV97" s="749" t="n"/>
      <c r="BW97" s="749" t="n"/>
      <c r="BX97" s="749" t="n"/>
      <c r="BY97" s="749" t="n"/>
      <c r="BZ97" s="749" t="n"/>
      <c r="CA97" s="749" t="n"/>
      <c r="CB97" s="749" t="n"/>
      <c r="CC97" s="749" t="n"/>
      <c r="CD97" s="749" t="n"/>
      <c r="CE97" s="749" t="n"/>
      <c r="CF97" s="749" t="n"/>
      <c r="CG97" s="749" t="n"/>
      <c r="CH97" s="749" t="n"/>
      <c r="CI97" s="749" t="n"/>
      <c r="CJ97" s="749" t="n"/>
      <c r="CK97" s="749" t="n"/>
      <c r="CL97" s="749" t="n"/>
      <c r="CM97" s="749" t="n"/>
      <c r="CN97" s="749" t="n"/>
      <c r="CO97" s="749" t="n"/>
      <c r="CP97" s="749" t="n"/>
      <c r="CQ97" s="749" t="n"/>
      <c r="CR97" s="749" t="n"/>
      <c r="CS97" s="749" t="n"/>
      <c r="CT97" s="749" t="n"/>
    </row>
    <row r="98" ht="20.4" customHeight="1">
      <c r="A98" s="730" t="n">
        <v>94</v>
      </c>
      <c r="B98" s="739" t="inlineStr">
        <is>
          <t>ဆွေလဲခိုင်</t>
        </is>
      </c>
      <c r="C98" s="730" t="inlineStr">
        <is>
          <t>D</t>
        </is>
      </c>
      <c r="D98" s="733" t="inlineStr">
        <is>
          <t>ကျောက်ပန်းတောင်း</t>
        </is>
      </c>
      <c r="E98" s="733" t="inlineStr">
        <is>
          <t>ကျောက်ပန်းတောင်းမြို့</t>
        </is>
      </c>
      <c r="F98" s="733" t="inlineStr">
        <is>
          <t>Van 1-7</t>
        </is>
      </c>
      <c r="G98" s="730" t="inlineStr">
        <is>
          <t>09-43012246</t>
        </is>
      </c>
      <c r="H98" s="743" t="inlineStr">
        <is>
          <t>လွင်</t>
        </is>
      </c>
      <c r="I98" s="748" t="n">
        <v>3</v>
      </c>
    </row>
    <row r="99" ht="20.4" customHeight="1">
      <c r="A99" s="733" t="n">
        <v>95</v>
      </c>
      <c r="B99" s="731" t="inlineStr">
        <is>
          <t>မရွှေရည်</t>
        </is>
      </c>
      <c r="C99" s="733" t="inlineStr">
        <is>
          <t>D</t>
        </is>
      </c>
      <c r="D99" s="733" t="inlineStr">
        <is>
          <t>ပုပ္ပါး</t>
        </is>
      </c>
      <c r="E99" s="733" t="inlineStr">
        <is>
          <t>ပုပ္ပါးမြို့</t>
        </is>
      </c>
      <c r="F99" s="733" t="inlineStr">
        <is>
          <t>Van 1-8</t>
        </is>
      </c>
      <c r="G99" s="1259" t="inlineStr">
        <is>
          <t>09-403715290</t>
        </is>
      </c>
      <c r="H99" s="743" t="inlineStr">
        <is>
          <t>ဦးစိုးဝင်း</t>
        </is>
      </c>
      <c r="I99" s="730" t="n">
        <v>3</v>
      </c>
    </row>
    <row r="100" ht="20.4" customFormat="1" customHeight="1" s="751">
      <c r="A100" s="730" t="n">
        <v>96</v>
      </c>
      <c r="B100" s="731" t="inlineStr">
        <is>
          <t>မကြူ</t>
        </is>
      </c>
      <c r="C100" s="733" t="inlineStr">
        <is>
          <t>C</t>
        </is>
      </c>
      <c r="D100" s="733" t="inlineStr">
        <is>
          <t>ပုပ္ပါး</t>
        </is>
      </c>
      <c r="E100" s="733" t="inlineStr">
        <is>
          <t>ပုပ္ပါးမြို့</t>
        </is>
      </c>
      <c r="F100" s="733" t="inlineStr">
        <is>
          <t>Van 1-8</t>
        </is>
      </c>
      <c r="G100" s="733" t="inlineStr">
        <is>
          <t>09-941984656</t>
        </is>
      </c>
      <c r="H100" s="743" t="inlineStr">
        <is>
          <t>ဦးစိုးဝင်း</t>
        </is>
      </c>
      <c r="I100" s="730" t="n">
        <v>3</v>
      </c>
    </row>
    <row r="101" ht="20.4" customFormat="1" customHeight="1" s="751">
      <c r="A101" s="730" t="n">
        <v>97</v>
      </c>
      <c r="B101" s="731" t="inlineStr">
        <is>
          <t>မသူ</t>
        </is>
      </c>
      <c r="C101" s="733" t="inlineStr">
        <is>
          <t>D</t>
        </is>
      </c>
      <c r="D101" s="733" t="inlineStr">
        <is>
          <t>ပုပ္ပါး</t>
        </is>
      </c>
      <c r="E101" s="733" t="inlineStr">
        <is>
          <t>ပုပ္ပါးမြို့</t>
        </is>
      </c>
      <c r="F101" s="733" t="inlineStr">
        <is>
          <t>Van 1-8</t>
        </is>
      </c>
      <c r="G101" s="733" t="inlineStr">
        <is>
          <t>09-790179945</t>
        </is>
      </c>
      <c r="H101" s="743" t="inlineStr">
        <is>
          <t>ဦးစိုးဝင်း</t>
        </is>
      </c>
      <c r="I101" s="730" t="n">
        <v>3</v>
      </c>
    </row>
    <row r="102" ht="20.4" customFormat="1" customHeight="1" s="751">
      <c r="A102" s="730" t="n">
        <v>98</v>
      </c>
      <c r="B102" s="731" t="inlineStr">
        <is>
          <t>မတင်တင်အေး</t>
        </is>
      </c>
      <c r="C102" s="733" t="inlineStr">
        <is>
          <t>D</t>
        </is>
      </c>
      <c r="D102" s="733" t="inlineStr">
        <is>
          <t>တောင်ပေါ်ရွာ</t>
        </is>
      </c>
      <c r="E102" s="733" t="inlineStr">
        <is>
          <t>ပုပ္ပါးမြို့</t>
        </is>
      </c>
      <c r="F102" s="733" t="inlineStr">
        <is>
          <t>Van 1-8</t>
        </is>
      </c>
      <c r="G102" s="733" t="inlineStr">
        <is>
          <t>09-699418999</t>
        </is>
      </c>
      <c r="H102" s="743" t="inlineStr">
        <is>
          <t>ဦးစိုးဝင်း</t>
        </is>
      </c>
      <c r="I102" s="730" t="n">
        <v>3</v>
      </c>
    </row>
    <row r="103" ht="20.4" customFormat="1" customHeight="1" s="751">
      <c r="A103" s="733" t="n">
        <v>99</v>
      </c>
      <c r="B103" s="731" t="inlineStr">
        <is>
          <t>ငွေလမင်း</t>
        </is>
      </c>
      <c r="C103" s="733" t="inlineStr">
        <is>
          <t>D</t>
        </is>
      </c>
      <c r="D103" s="733" t="inlineStr">
        <is>
          <t>တောင်ပေါ်ရွာ</t>
        </is>
      </c>
      <c r="E103" s="733" t="inlineStr">
        <is>
          <t>ပုပ္ပါးမြို့</t>
        </is>
      </c>
      <c r="F103" s="733" t="inlineStr">
        <is>
          <t>Van 1-8</t>
        </is>
      </c>
      <c r="G103" s="733" t="inlineStr">
        <is>
          <t>09-696461939</t>
        </is>
      </c>
      <c r="H103" s="743" t="inlineStr">
        <is>
          <t>ဦးစိုးဝင်း</t>
        </is>
      </c>
      <c r="I103" s="730" t="n">
        <v>3</v>
      </c>
    </row>
    <row r="104" ht="20.4" customHeight="1">
      <c r="A104" s="730" t="n">
        <v>100</v>
      </c>
      <c r="B104" s="731" t="inlineStr">
        <is>
          <t>အောင်ချမ်းသာ</t>
        </is>
      </c>
      <c r="C104" s="733" t="inlineStr">
        <is>
          <t>D</t>
        </is>
      </c>
      <c r="D104" s="733" t="inlineStr">
        <is>
          <t>တောင်ပေါ်ရွာ</t>
        </is>
      </c>
      <c r="E104" s="733" t="inlineStr">
        <is>
          <t>ပုပ္ပါးမြို့</t>
        </is>
      </c>
      <c r="F104" s="733" t="inlineStr">
        <is>
          <t>Van 1-8</t>
        </is>
      </c>
      <c r="G104" s="733" t="inlineStr">
        <is>
          <t>09-696468000</t>
        </is>
      </c>
      <c r="H104" s="743" t="inlineStr">
        <is>
          <t>ဦးစိုးဝင်း</t>
        </is>
      </c>
      <c r="I104" s="730" t="n">
        <v>3</v>
      </c>
    </row>
    <row r="105" ht="20.4" customHeight="1">
      <c r="A105" s="730" t="n">
        <v>101</v>
      </c>
      <c r="B105" s="731" t="inlineStr">
        <is>
          <t>ကိုမြင့်ဇော်</t>
        </is>
      </c>
      <c r="C105" s="733" t="inlineStr">
        <is>
          <t>D</t>
        </is>
      </c>
      <c r="D105" s="733" t="inlineStr">
        <is>
          <t>ပုပ္ပါး</t>
        </is>
      </c>
      <c r="E105" s="733" t="inlineStr">
        <is>
          <t>ပုပ္ပါးမြို့</t>
        </is>
      </c>
      <c r="F105" s="733" t="inlineStr">
        <is>
          <t>Van 1-8</t>
        </is>
      </c>
      <c r="G105" s="733" t="n"/>
      <c r="H105" s="743" t="inlineStr">
        <is>
          <t>ဦးစိုးဝင်း</t>
        </is>
      </c>
      <c r="I105" s="730" t="n">
        <v>3</v>
      </c>
    </row>
    <row r="106" ht="20.4" customHeight="1">
      <c r="A106" s="730" t="n">
        <v>102</v>
      </c>
      <c r="B106" s="731" t="inlineStr">
        <is>
          <t>နဒီအောင်</t>
        </is>
      </c>
      <c r="C106" s="733" t="inlineStr">
        <is>
          <t>D</t>
        </is>
      </c>
      <c r="D106" s="733" t="inlineStr">
        <is>
          <t>တောင်ပေါ်ရွာ</t>
        </is>
      </c>
      <c r="E106" s="733" t="inlineStr">
        <is>
          <t>ပုပ္ပါးမြို့</t>
        </is>
      </c>
      <c r="F106" s="733" t="inlineStr">
        <is>
          <t>Van 1-8</t>
        </is>
      </c>
      <c r="G106" s="733" t="n"/>
      <c r="H106" s="743" t="inlineStr">
        <is>
          <t>ဦးစိုးဝင်း</t>
        </is>
      </c>
      <c r="I106" s="730" t="n">
        <v>3</v>
      </c>
    </row>
    <row r="107" ht="20.4" customHeight="1">
      <c r="A107" s="733" t="n">
        <v>103</v>
      </c>
      <c r="B107" s="731" t="inlineStr">
        <is>
          <t>ကိုဖိုးထောင်</t>
        </is>
      </c>
      <c r="C107" s="733" t="inlineStr">
        <is>
          <t>D</t>
        </is>
      </c>
      <c r="D107" s="733" t="inlineStr">
        <is>
          <t>ကံဓာတ်ကုန်း</t>
        </is>
      </c>
      <c r="E107" s="733" t="inlineStr">
        <is>
          <t>ပုပ္ပါးမြို့</t>
        </is>
      </c>
      <c r="F107" s="733" t="inlineStr">
        <is>
          <t>Van 1-8</t>
        </is>
      </c>
      <c r="G107" s="727" t="inlineStr">
        <is>
          <t>09-402752064</t>
        </is>
      </c>
      <c r="H107" s="743" t="inlineStr">
        <is>
          <t>ဦးစိုးဝင်း</t>
        </is>
      </c>
      <c r="I107" s="730" t="n">
        <v>3</v>
      </c>
    </row>
    <row r="108" ht="20.4" customHeight="1">
      <c r="A108" s="730" t="n">
        <v>104</v>
      </c>
      <c r="B108" s="731" t="inlineStr">
        <is>
          <t>ဦးတင်နွယ်ဦး</t>
        </is>
      </c>
      <c r="C108" s="733" t="inlineStr">
        <is>
          <t>D</t>
        </is>
      </c>
      <c r="D108" s="733" t="inlineStr">
        <is>
          <t>ကံဓာတ်ကုန်း</t>
        </is>
      </c>
      <c r="E108" s="733" t="inlineStr">
        <is>
          <t>ပုပ္ပါးမြို့</t>
        </is>
      </c>
      <c r="F108" s="733" t="inlineStr">
        <is>
          <t>Van 1-8</t>
        </is>
      </c>
      <c r="G108" s="727" t="inlineStr">
        <is>
          <t>09-265299133</t>
        </is>
      </c>
      <c r="H108" s="743" t="inlineStr">
        <is>
          <t>ဦးစိုးဝင်း</t>
        </is>
      </c>
      <c r="I108" s="730" t="n">
        <v>3</v>
      </c>
    </row>
    <row r="109" ht="20.4" customHeight="1">
      <c r="A109" s="730" t="n">
        <v>105</v>
      </c>
      <c r="B109" s="731" t="inlineStr">
        <is>
          <t>ဟိန်းထက်အောင်</t>
        </is>
      </c>
      <c r="C109" s="733" t="inlineStr">
        <is>
          <t>D</t>
        </is>
      </c>
      <c r="D109" s="733" t="inlineStr">
        <is>
          <t>ပုပ္ပါး</t>
        </is>
      </c>
      <c r="E109" s="733" t="inlineStr">
        <is>
          <t>ပုပ္ပါးမြို့</t>
        </is>
      </c>
      <c r="F109" s="733" t="inlineStr">
        <is>
          <t>Van 1-8</t>
        </is>
      </c>
      <c r="G109" s="727" t="inlineStr">
        <is>
          <t>09-775519770</t>
        </is>
      </c>
      <c r="H109" s="743" t="inlineStr">
        <is>
          <t>ဦးစိုးဝင်း</t>
        </is>
      </c>
      <c r="I109" s="730" t="n">
        <v>3</v>
      </c>
    </row>
    <row r="110" ht="20.4" customHeight="1">
      <c r="A110" s="730" t="n">
        <v>106</v>
      </c>
      <c r="B110" s="731" t="inlineStr">
        <is>
          <t>ဒေါ်ခင်ဝင်း</t>
        </is>
      </c>
      <c r="C110" s="732" t="inlineStr">
        <is>
          <t>D</t>
        </is>
      </c>
      <c r="D110" s="752" t="inlineStr">
        <is>
          <t>အိုင့်ကုန်း</t>
        </is>
      </c>
      <c r="E110" s="733" t="inlineStr">
        <is>
          <t>ကျောက်ပန်းတောင်းမြို့</t>
        </is>
      </c>
      <c r="F110" s="733" t="inlineStr">
        <is>
          <t>Van 1-9</t>
        </is>
      </c>
      <c r="G110" s="737" t="n"/>
      <c r="H110" s="743" t="inlineStr">
        <is>
          <t>ရွှေမြင်း</t>
        </is>
      </c>
      <c r="I110" s="730" t="n">
        <v>3</v>
      </c>
    </row>
    <row r="111" ht="20.4" customHeight="1">
      <c r="A111" s="733" t="n">
        <v>107</v>
      </c>
      <c r="B111" s="731" t="inlineStr">
        <is>
          <t>မစန်းမြင့်အေး</t>
        </is>
      </c>
      <c r="C111" s="732" t="inlineStr">
        <is>
          <t>D</t>
        </is>
      </c>
      <c r="D111" s="752" t="inlineStr">
        <is>
          <t>အိုင့်ကုန်း</t>
        </is>
      </c>
      <c r="E111" s="733" t="inlineStr">
        <is>
          <t>ကျောက်ပန်းတောင်းမြို့</t>
        </is>
      </c>
      <c r="F111" s="733" t="inlineStr">
        <is>
          <t>Van 1-9</t>
        </is>
      </c>
      <c r="G111" s="733" t="inlineStr">
        <is>
          <t>09-674670252</t>
        </is>
      </c>
      <c r="H111" s="743" t="inlineStr">
        <is>
          <t>ရွှေမြင်း</t>
        </is>
      </c>
      <c r="I111" s="730" t="n">
        <v>3</v>
      </c>
    </row>
    <row r="112" ht="20.4" customHeight="1">
      <c r="A112" s="730" t="n">
        <v>108</v>
      </c>
      <c r="B112" s="731" t="inlineStr">
        <is>
          <t>မစန်းစန်းဝင်း</t>
        </is>
      </c>
      <c r="C112" s="732" t="inlineStr">
        <is>
          <t>D</t>
        </is>
      </c>
      <c r="D112" s="752" t="inlineStr">
        <is>
          <t>ကျေးသာအိုင့်</t>
        </is>
      </c>
      <c r="E112" s="733" t="inlineStr">
        <is>
          <t>ကျောက်ပန်းတောင်းမြို့</t>
        </is>
      </c>
      <c r="F112" s="733" t="inlineStr">
        <is>
          <t>Van 1-9</t>
        </is>
      </c>
      <c r="G112" s="733" t="inlineStr">
        <is>
          <t>09-698989388</t>
        </is>
      </c>
      <c r="H112" s="743" t="inlineStr">
        <is>
          <t>ရွှေမြင်း</t>
        </is>
      </c>
      <c r="I112" s="730" t="n">
        <v>3</v>
      </c>
    </row>
    <row r="113" ht="20.4" customHeight="1">
      <c r="A113" s="730" t="n">
        <v>109</v>
      </c>
      <c r="B113" s="731" t="inlineStr">
        <is>
          <t>ကိုမောင်နိုင်</t>
        </is>
      </c>
      <c r="C113" s="732" t="inlineStr">
        <is>
          <t>D</t>
        </is>
      </c>
      <c r="D113" s="752" t="inlineStr">
        <is>
          <t>ကျေးသာအိုင့်</t>
        </is>
      </c>
      <c r="E113" s="733" t="inlineStr">
        <is>
          <t>ကျောက်ပန်းတောင်းမြို့</t>
        </is>
      </c>
      <c r="F113" s="733" t="inlineStr">
        <is>
          <t>Van 1-9</t>
        </is>
      </c>
      <c r="G113" s="733" t="inlineStr">
        <is>
          <t>09-258335095</t>
        </is>
      </c>
      <c r="H113" s="743" t="inlineStr">
        <is>
          <t>ရွှေမြင်း</t>
        </is>
      </c>
      <c r="I113" s="730" t="n">
        <v>3</v>
      </c>
    </row>
    <row r="114" ht="20.4" customHeight="1">
      <c r="A114" s="730" t="n">
        <v>110</v>
      </c>
      <c r="B114" s="731" t="inlineStr">
        <is>
          <t>မလှဝင်းရီ</t>
        </is>
      </c>
      <c r="C114" s="732" t="inlineStr">
        <is>
          <t>D</t>
        </is>
      </c>
      <c r="D114" s="752" t="inlineStr">
        <is>
          <t>သာစည်</t>
        </is>
      </c>
      <c r="E114" s="733" t="inlineStr">
        <is>
          <t>ကျောက်ပန်းတောင်းမြို့</t>
        </is>
      </c>
      <c r="F114" s="733" t="inlineStr">
        <is>
          <t>Van 1-9</t>
        </is>
      </c>
      <c r="G114" s="733" t="inlineStr">
        <is>
          <t>09-664361374</t>
        </is>
      </c>
      <c r="H114" s="743" t="inlineStr">
        <is>
          <t>ရွှေမြင်း</t>
        </is>
      </c>
      <c r="I114" s="730" t="n">
        <v>3</v>
      </c>
    </row>
    <row r="115" ht="20.4" customHeight="1">
      <c r="A115" s="733" t="n">
        <v>111</v>
      </c>
      <c r="B115" s="731" t="inlineStr">
        <is>
          <t>ဦးစံမိုး</t>
        </is>
      </c>
      <c r="C115" s="732" t="inlineStr">
        <is>
          <t>C</t>
        </is>
      </c>
      <c r="D115" s="752" t="inlineStr">
        <is>
          <t>ကျီကုန်း</t>
        </is>
      </c>
      <c r="E115" s="733" t="inlineStr">
        <is>
          <t>ကျောက်ပန်းတောင်းမြို့</t>
        </is>
      </c>
      <c r="F115" s="733" t="inlineStr">
        <is>
          <t>Van 1-9</t>
        </is>
      </c>
      <c r="G115" s="733" t="inlineStr">
        <is>
          <t>09-651800733</t>
        </is>
      </c>
      <c r="H115" s="743" t="inlineStr">
        <is>
          <t>ရွှေမြင်း</t>
        </is>
      </c>
      <c r="I115" s="730" t="n">
        <v>3</v>
      </c>
    </row>
    <row r="116" ht="20.4" customHeight="1">
      <c r="A116" s="730" t="n">
        <v>112</v>
      </c>
      <c r="B116" s="731" t="inlineStr">
        <is>
          <t>ကိုဆန်းဦး</t>
        </is>
      </c>
      <c r="C116" s="732" t="inlineStr">
        <is>
          <t>C</t>
        </is>
      </c>
      <c r="D116" s="752" t="inlineStr">
        <is>
          <t>ကျောက်ဖူး</t>
        </is>
      </c>
      <c r="E116" s="733" t="inlineStr">
        <is>
          <t>ကျောက်ပန်းတောင်းမြို့</t>
        </is>
      </c>
      <c r="F116" s="733" t="inlineStr">
        <is>
          <t>Van 1-9</t>
        </is>
      </c>
      <c r="G116" s="733" t="inlineStr">
        <is>
          <t>09-676806081</t>
        </is>
      </c>
      <c r="H116" s="743" t="inlineStr">
        <is>
          <t>ရွှေမြင်း</t>
        </is>
      </c>
      <c r="I116" s="730" t="n">
        <v>3</v>
      </c>
    </row>
    <row r="117" ht="20.4" customHeight="1">
      <c r="A117" s="730" t="n">
        <v>113</v>
      </c>
      <c r="B117" s="731" t="inlineStr">
        <is>
          <t>ကိုမျိုး</t>
        </is>
      </c>
      <c r="C117" s="732" t="inlineStr">
        <is>
          <t>C</t>
        </is>
      </c>
      <c r="D117" s="752" t="inlineStr">
        <is>
          <t>သီးပင်ကုန်း</t>
        </is>
      </c>
      <c r="E117" s="733" t="inlineStr">
        <is>
          <t>ကျောက်ပန်းတောင်းမြို့</t>
        </is>
      </c>
      <c r="F117" s="733" t="inlineStr">
        <is>
          <t>Van 1-9</t>
        </is>
      </c>
      <c r="G117" s="733" t="inlineStr">
        <is>
          <t>09-459899190</t>
        </is>
      </c>
      <c r="H117" s="743" t="inlineStr">
        <is>
          <t>ရွှေမြင်း</t>
        </is>
      </c>
      <c r="I117" s="730" t="n">
        <v>3</v>
      </c>
    </row>
    <row r="118" ht="20.4" customHeight="1">
      <c r="A118" s="730" t="n">
        <v>114</v>
      </c>
      <c r="B118" s="731" t="inlineStr">
        <is>
          <t>ကိုသန်းထိုက်</t>
        </is>
      </c>
      <c r="C118" s="732" t="inlineStr">
        <is>
          <t>C</t>
        </is>
      </c>
      <c r="D118" s="752" t="inlineStr">
        <is>
          <t>အိုင့်ကုန်း</t>
        </is>
      </c>
      <c r="E118" s="733" t="inlineStr">
        <is>
          <t>ကျောက်ပန်းတောင်းမြို့</t>
        </is>
      </c>
      <c r="F118" s="733" t="inlineStr">
        <is>
          <t>Van 1-9</t>
        </is>
      </c>
      <c r="G118" s="733" t="inlineStr">
        <is>
          <t>09-769553122</t>
        </is>
      </c>
      <c r="H118" s="743" t="inlineStr">
        <is>
          <t>ရွှေမြင်း</t>
        </is>
      </c>
      <c r="I118" s="730" t="n">
        <v>3</v>
      </c>
    </row>
    <row r="119" ht="20.4" customHeight="1">
      <c r="A119" s="733" t="n">
        <v>115</v>
      </c>
      <c r="B119" s="731" t="inlineStr">
        <is>
          <t>ဆရာသန်းလွင်</t>
        </is>
      </c>
      <c r="C119" s="732" t="inlineStr">
        <is>
          <t>D</t>
        </is>
      </c>
      <c r="D119" s="733" t="inlineStr">
        <is>
          <t>ရှမ်းရွာ</t>
        </is>
      </c>
      <c r="E119" s="733" t="inlineStr">
        <is>
          <t>ပျော်ဘွယ်မြို့</t>
        </is>
      </c>
      <c r="F119" s="733" t="inlineStr">
        <is>
          <t>Van 1-10</t>
        </is>
      </c>
      <c r="G119" s="727" t="inlineStr">
        <is>
          <t>09-663035717</t>
        </is>
      </c>
      <c r="H119" s="743" t="inlineStr">
        <is>
          <t>ဖိုးသာထူး</t>
        </is>
      </c>
      <c r="I119" s="730" t="n">
        <v>3</v>
      </c>
    </row>
    <row r="120" ht="20.4" customHeight="1">
      <c r="A120" s="730" t="n">
        <v>116</v>
      </c>
      <c r="B120" s="731" t="inlineStr">
        <is>
          <t>ကိုဝေ</t>
        </is>
      </c>
      <c r="C120" s="732" t="inlineStr">
        <is>
          <t>D</t>
        </is>
      </c>
      <c r="D120" s="733" t="inlineStr">
        <is>
          <t>ရှမ်းရွာ</t>
        </is>
      </c>
      <c r="E120" s="733" t="inlineStr">
        <is>
          <t>ပျော်ဘွယ်မြို့</t>
        </is>
      </c>
      <c r="F120" s="733" t="inlineStr">
        <is>
          <t>Van 1-10</t>
        </is>
      </c>
      <c r="G120" s="733" t="inlineStr">
        <is>
          <t>09-672435488</t>
        </is>
      </c>
      <c r="H120" s="743" t="inlineStr">
        <is>
          <t>ဖိုးသာထူး</t>
        </is>
      </c>
      <c r="I120" s="730" t="n">
        <v>3</v>
      </c>
    </row>
    <row r="121" ht="20.4" customHeight="1">
      <c r="A121" s="730" t="n">
        <v>117</v>
      </c>
      <c r="B121" s="731" t="inlineStr">
        <is>
          <t>မဥမ္မာလွင်/ထက်</t>
        </is>
      </c>
      <c r="C121" s="732" t="inlineStr">
        <is>
          <t>D</t>
        </is>
      </c>
      <c r="D121" s="733" t="inlineStr">
        <is>
          <t>ရှမ်းရွာ</t>
        </is>
      </c>
      <c r="E121" s="733" t="inlineStr">
        <is>
          <t>ပျော်ဘွယ်မြို့</t>
        </is>
      </c>
      <c r="F121" s="733" t="inlineStr">
        <is>
          <t>Van 1-10</t>
        </is>
      </c>
      <c r="G121" s="733" t="inlineStr">
        <is>
          <t>09-429494825</t>
        </is>
      </c>
      <c r="H121" s="743" t="inlineStr">
        <is>
          <t>ဖိုးသာထူး</t>
        </is>
      </c>
      <c r="I121" s="730" t="n">
        <v>3</v>
      </c>
    </row>
    <row r="122" ht="20.4" customHeight="1">
      <c r="A122" s="730" t="n">
        <v>118</v>
      </c>
      <c r="B122" s="731" t="inlineStr">
        <is>
          <t>မမာခိုင်</t>
        </is>
      </c>
      <c r="C122" s="732" t="inlineStr">
        <is>
          <t>D</t>
        </is>
      </c>
      <c r="D122" s="733" t="inlineStr">
        <is>
          <t>ရှမ်းရွာ</t>
        </is>
      </c>
      <c r="E122" s="733" t="inlineStr">
        <is>
          <t>ပျော်ဘွယ်မြို့</t>
        </is>
      </c>
      <c r="F122" s="733" t="inlineStr">
        <is>
          <t>Van 1-10</t>
        </is>
      </c>
      <c r="G122" s="733" t="inlineStr">
        <is>
          <t>09-672435488</t>
        </is>
      </c>
      <c r="H122" s="743" t="inlineStr">
        <is>
          <t>ဖိုးသာထူး</t>
        </is>
      </c>
      <c r="I122" s="730" t="n">
        <v>3</v>
      </c>
    </row>
    <row r="123" ht="20.4" customHeight="1">
      <c r="A123" s="733" t="n">
        <v>119</v>
      </c>
      <c r="B123" s="731" t="inlineStr">
        <is>
          <t>အန်တီမိုး</t>
        </is>
      </c>
      <c r="C123" s="732" t="inlineStr">
        <is>
          <t>D</t>
        </is>
      </c>
      <c r="D123" s="733" t="inlineStr">
        <is>
          <t>ရှမ်းရွာ</t>
        </is>
      </c>
      <c r="E123" s="733" t="inlineStr">
        <is>
          <t>ပျော်ဘွယ်မြို့</t>
        </is>
      </c>
      <c r="F123" s="733" t="inlineStr">
        <is>
          <t>Van 1-10</t>
        </is>
      </c>
      <c r="G123" s="733" t="inlineStr">
        <is>
          <t>09-252300730</t>
        </is>
      </c>
      <c r="H123" s="743" t="inlineStr">
        <is>
          <t>ဖိုးသာထူး</t>
        </is>
      </c>
      <c r="I123" s="730" t="n">
        <v>3</v>
      </c>
    </row>
    <row r="124" ht="20.4" customHeight="1">
      <c r="A124" s="730" t="n">
        <v>120</v>
      </c>
      <c r="B124" s="753" t="inlineStr">
        <is>
          <t>ကိုကိုညီညီ</t>
        </is>
      </c>
      <c r="C124" s="732" t="inlineStr">
        <is>
          <t>D</t>
        </is>
      </c>
      <c r="D124" s="732" t="inlineStr">
        <is>
          <t>ရွှေညောင်ဖူး</t>
        </is>
      </c>
      <c r="E124" s="733" t="inlineStr">
        <is>
          <t>ပျော်ဘွယ်မြို့</t>
        </is>
      </c>
      <c r="F124" s="733" t="inlineStr">
        <is>
          <t>Van 1-10</t>
        </is>
      </c>
      <c r="G124" s="733" t="inlineStr">
        <is>
          <t>09-889151297</t>
        </is>
      </c>
      <c r="H124" s="743" t="inlineStr">
        <is>
          <t>လပြည့်စံ</t>
        </is>
      </c>
      <c r="I124" s="730" t="n">
        <v>3</v>
      </c>
    </row>
    <row r="125" ht="20.4" customHeight="1">
      <c r="A125" s="730" t="n">
        <v>121</v>
      </c>
      <c r="B125" s="753" t="inlineStr">
        <is>
          <t>ကိုချစ်ဖွယ်</t>
        </is>
      </c>
      <c r="C125" s="732" t="inlineStr">
        <is>
          <t>D</t>
        </is>
      </c>
      <c r="D125" s="732" t="inlineStr">
        <is>
          <t>ရွှေညောင်ဖူး</t>
        </is>
      </c>
      <c r="E125" s="733" t="inlineStr">
        <is>
          <t>ပျော်ဘွယ်မြို့</t>
        </is>
      </c>
      <c r="F125" s="733" t="inlineStr">
        <is>
          <t>Van 1-10</t>
        </is>
      </c>
      <c r="G125" s="733" t="n"/>
      <c r="H125" s="743" t="inlineStr">
        <is>
          <t>လပြည့်စံ</t>
        </is>
      </c>
      <c r="I125" s="730" t="n">
        <v>3</v>
      </c>
    </row>
    <row r="126" ht="20.4" customHeight="1">
      <c r="A126" s="730" t="n">
        <v>122</v>
      </c>
      <c r="B126" s="754" t="inlineStr">
        <is>
          <t>ကိုဇော်လွင်</t>
        </is>
      </c>
      <c r="C126" s="732" t="inlineStr">
        <is>
          <t>D</t>
        </is>
      </c>
      <c r="D126" s="732" t="inlineStr">
        <is>
          <t>ဝကုန်း</t>
        </is>
      </c>
      <c r="E126" s="733" t="inlineStr">
        <is>
          <t>ပျော်ဘွယ်မြို့</t>
        </is>
      </c>
      <c r="F126" s="733" t="inlineStr">
        <is>
          <t>Van 1-10</t>
        </is>
      </c>
      <c r="G126" s="733" t="inlineStr">
        <is>
          <t>09-699828854</t>
        </is>
      </c>
      <c r="H126" s="743" t="inlineStr">
        <is>
          <t>SMM</t>
        </is>
      </c>
      <c r="I126" s="730" t="n">
        <v>3</v>
      </c>
    </row>
    <row r="127" ht="20.4" customHeight="1">
      <c r="A127" s="733" t="n">
        <v>123</v>
      </c>
      <c r="B127" s="754" t="inlineStr">
        <is>
          <t>ရွှေဇီးပင်</t>
        </is>
      </c>
      <c r="C127" s="732" t="inlineStr">
        <is>
          <t>D</t>
        </is>
      </c>
      <c r="D127" s="732" t="inlineStr">
        <is>
          <t>ခံဘူး</t>
        </is>
      </c>
      <c r="E127" s="733" t="inlineStr">
        <is>
          <t>ပျော်ဘွယ်မြို့</t>
        </is>
      </c>
      <c r="F127" s="733" t="inlineStr">
        <is>
          <t>Van 1-10</t>
        </is>
      </c>
      <c r="G127" s="733" t="inlineStr">
        <is>
          <t>09-797311040</t>
        </is>
      </c>
      <c r="H127" s="743" t="inlineStr">
        <is>
          <t>ရွှေမြင်းပျံ</t>
        </is>
      </c>
      <c r="I127" s="730" t="n">
        <v>3</v>
      </c>
    </row>
    <row r="128" ht="20.4" customHeight="1">
      <c r="A128" s="730" t="n">
        <v>124</v>
      </c>
      <c r="B128" s="754" t="inlineStr">
        <is>
          <t>မိဘမေတ္တာ</t>
        </is>
      </c>
      <c r="C128" s="732" t="inlineStr">
        <is>
          <t>D</t>
        </is>
      </c>
      <c r="D128" s="732" t="inlineStr">
        <is>
          <t>ခံဘူး</t>
        </is>
      </c>
      <c r="E128" s="733" t="inlineStr">
        <is>
          <t>ပျော်ဘွယ်မြို့</t>
        </is>
      </c>
      <c r="F128" s="733" t="inlineStr">
        <is>
          <t>Van 1-10</t>
        </is>
      </c>
      <c r="G128" s="733" t="inlineStr">
        <is>
          <t>09-402737336</t>
        </is>
      </c>
      <c r="H128" s="743" t="inlineStr">
        <is>
          <t>ရွှေမြင်းပျံ</t>
        </is>
      </c>
      <c r="I128" s="730" t="n">
        <v>3</v>
      </c>
    </row>
    <row r="129" ht="20.4" customHeight="1">
      <c r="A129" s="730" t="n">
        <v>125</v>
      </c>
      <c r="B129" s="731" t="inlineStr">
        <is>
          <t>မသင်ဇာမိုး</t>
        </is>
      </c>
      <c r="C129" s="730" t="inlineStr">
        <is>
          <t>D</t>
        </is>
      </c>
      <c r="D129" s="733" t="inlineStr">
        <is>
          <t>အောက်တောက်</t>
        </is>
      </c>
      <c r="E129" s="733" t="inlineStr">
        <is>
          <t>ရမည်းသင်းမြို့</t>
        </is>
      </c>
      <c r="F129" s="733" t="inlineStr">
        <is>
          <t>Van 1-11</t>
        </is>
      </c>
      <c r="G129" s="733" t="inlineStr">
        <is>
          <t>09-793176808</t>
        </is>
      </c>
      <c r="H129" s="743" t="inlineStr">
        <is>
          <t>စံချိန်(ရမသ)</t>
        </is>
      </c>
      <c r="I129" s="730" t="n">
        <v>3</v>
      </c>
    </row>
    <row r="130" ht="20.4" customHeight="1">
      <c r="A130" s="730" t="n">
        <v>126</v>
      </c>
      <c r="B130" s="731" t="inlineStr">
        <is>
          <t>မသက်ထူးစံ</t>
        </is>
      </c>
      <c r="C130" s="730" t="inlineStr">
        <is>
          <t>D</t>
        </is>
      </c>
      <c r="D130" s="733" t="inlineStr">
        <is>
          <t>အောက်တောက်</t>
        </is>
      </c>
      <c r="E130" s="733" t="inlineStr">
        <is>
          <t>ရမည်းသင်းမြို့</t>
        </is>
      </c>
      <c r="F130" s="733" t="inlineStr">
        <is>
          <t>Van 1-11</t>
        </is>
      </c>
      <c r="G130" s="1259" t="inlineStr">
        <is>
          <t>09-666904671</t>
        </is>
      </c>
      <c r="H130" s="743" t="inlineStr">
        <is>
          <t>စံချိန်(ရမသ)</t>
        </is>
      </c>
      <c r="I130" s="730" t="n">
        <v>3</v>
      </c>
    </row>
    <row r="131" ht="20.4" customHeight="1">
      <c r="A131" s="733" t="n">
        <v>127</v>
      </c>
      <c r="B131" s="731" t="inlineStr">
        <is>
          <t>ဌေးကမ္ဘာ</t>
        </is>
      </c>
      <c r="C131" s="730" t="inlineStr">
        <is>
          <t>B</t>
        </is>
      </c>
      <c r="D131" s="733" t="inlineStr">
        <is>
          <t>ပြတိုက်</t>
        </is>
      </c>
      <c r="E131" s="733" t="inlineStr">
        <is>
          <t>ရမည်းသင်းမြို့</t>
        </is>
      </c>
      <c r="F131" s="733" t="inlineStr">
        <is>
          <t>Van 1-11</t>
        </is>
      </c>
      <c r="G131" s="733" t="inlineStr">
        <is>
          <t>09-961419302</t>
        </is>
      </c>
      <c r="H131" s="743" t="inlineStr">
        <is>
          <t>ရွှေမြင်းပျံ</t>
        </is>
      </c>
      <c r="I131" s="730" t="n">
        <v>3</v>
      </c>
    </row>
    <row r="132" ht="20.4" customHeight="1">
      <c r="A132" s="730" t="n">
        <v>128</v>
      </c>
      <c r="B132" s="731" t="inlineStr">
        <is>
          <t>မပြုံးပြုံး</t>
        </is>
      </c>
      <c r="C132" s="730" t="inlineStr">
        <is>
          <t>D</t>
        </is>
      </c>
      <c r="D132" s="733" t="inlineStr">
        <is>
          <t>အောက်တောက်</t>
        </is>
      </c>
      <c r="E132" s="733" t="inlineStr">
        <is>
          <t>ရမည်းသင်းမြို့</t>
        </is>
      </c>
      <c r="F132" s="733" t="inlineStr">
        <is>
          <t>Van 1-11</t>
        </is>
      </c>
      <c r="G132" s="733" t="inlineStr">
        <is>
          <t>09-790159711</t>
        </is>
      </c>
      <c r="H132" s="743" t="inlineStr">
        <is>
          <t>စံချိန်(ရမသ)</t>
        </is>
      </c>
      <c r="I132" s="730" t="n">
        <v>3</v>
      </c>
    </row>
    <row r="133" ht="20.4" customHeight="1">
      <c r="A133" s="730" t="n">
        <v>129</v>
      </c>
      <c r="B133" s="731" t="inlineStr">
        <is>
          <t>ဒေါ်ခင်ညို</t>
        </is>
      </c>
      <c r="C133" s="730" t="inlineStr">
        <is>
          <t>D</t>
        </is>
      </c>
      <c r="D133" s="733" t="inlineStr">
        <is>
          <t>အောက်တောက်</t>
        </is>
      </c>
      <c r="E133" s="733" t="inlineStr">
        <is>
          <t>ရမည်းသင်းမြို့</t>
        </is>
      </c>
      <c r="F133" s="733" t="inlineStr">
        <is>
          <t>Van 1-11</t>
        </is>
      </c>
      <c r="G133" s="733" t="inlineStr">
        <is>
          <t>09-764182702</t>
        </is>
      </c>
      <c r="H133" s="743" t="inlineStr">
        <is>
          <t>စံချိန်(ရမသ)</t>
        </is>
      </c>
      <c r="I133" s="730" t="n">
        <v>3</v>
      </c>
    </row>
    <row r="134" ht="20.4" customHeight="1">
      <c r="A134" s="730" t="n">
        <v>130</v>
      </c>
      <c r="B134" s="755" t="inlineStr">
        <is>
          <t>ဒေါ်လှကြည်</t>
        </is>
      </c>
      <c r="C134" s="730" t="inlineStr">
        <is>
          <t>D</t>
        </is>
      </c>
      <c r="D134" s="733" t="inlineStr">
        <is>
          <t>ဈေးကုန်းကြီး</t>
        </is>
      </c>
      <c r="E134" s="733" t="inlineStr">
        <is>
          <t>ရမည်းသင်းမြို့</t>
        </is>
      </c>
      <c r="F134" s="733" t="inlineStr">
        <is>
          <t>Van 1-11</t>
        </is>
      </c>
      <c r="G134" s="733" t="inlineStr">
        <is>
          <t>09-957746409</t>
        </is>
      </c>
      <c r="H134" s="743" t="inlineStr">
        <is>
          <t>မိုးယံ</t>
        </is>
      </c>
      <c r="I134" s="730" t="n">
        <v>3</v>
      </c>
    </row>
    <row r="135" ht="20.4" customHeight="1">
      <c r="A135" s="733" t="n">
        <v>131</v>
      </c>
      <c r="B135" s="742" t="inlineStr">
        <is>
          <t>မတင်တင်ညို</t>
        </is>
      </c>
      <c r="C135" s="730" t="inlineStr">
        <is>
          <t>D</t>
        </is>
      </c>
      <c r="D135" s="733" t="inlineStr">
        <is>
          <t>ဈေးကုန်းကြီး</t>
        </is>
      </c>
      <c r="E135" s="733" t="inlineStr">
        <is>
          <t>ရမည်းသင်းမြို့</t>
        </is>
      </c>
      <c r="F135" s="733" t="inlineStr">
        <is>
          <t>Van 1-11</t>
        </is>
      </c>
      <c r="G135" s="733" t="inlineStr">
        <is>
          <t>09-960406416</t>
        </is>
      </c>
      <c r="H135" s="743" t="inlineStr">
        <is>
          <t>မိုးယံ</t>
        </is>
      </c>
      <c r="I135" s="730" t="n">
        <v>3</v>
      </c>
    </row>
    <row r="136" ht="20.4" customHeight="1">
      <c r="A136" s="730" t="n">
        <v>132</v>
      </c>
      <c r="B136" s="755" t="inlineStr">
        <is>
          <t>ကိုမြင့်အောင်</t>
        </is>
      </c>
      <c r="C136" s="730" t="inlineStr">
        <is>
          <t>D</t>
        </is>
      </c>
      <c r="D136" s="733" t="inlineStr">
        <is>
          <t>အလည်ကုန်း</t>
        </is>
      </c>
      <c r="E136" s="733" t="inlineStr">
        <is>
          <t>ရမည်းသင်းမြို့</t>
        </is>
      </c>
      <c r="F136" s="733" t="inlineStr">
        <is>
          <t>Van 1-11</t>
        </is>
      </c>
      <c r="G136" s="733" t="inlineStr">
        <is>
          <t>09-402793386</t>
        </is>
      </c>
      <c r="H136" s="743" t="inlineStr">
        <is>
          <t>မိုးယံ</t>
        </is>
      </c>
      <c r="I136" s="730" t="n">
        <v>3</v>
      </c>
    </row>
    <row r="137" ht="20.4" customHeight="1">
      <c r="A137" s="730" t="n">
        <v>133</v>
      </c>
      <c r="B137" s="755" t="inlineStr">
        <is>
          <t>ကိုဖိုးဖာ</t>
        </is>
      </c>
      <c r="C137" s="730" t="inlineStr">
        <is>
          <t>D</t>
        </is>
      </c>
      <c r="D137" s="733" t="inlineStr">
        <is>
          <t>အလည်ကုန်း</t>
        </is>
      </c>
      <c r="E137" s="733" t="inlineStr">
        <is>
          <t>ရမည်းသင်းမြို့</t>
        </is>
      </c>
      <c r="F137" s="733" t="inlineStr">
        <is>
          <t>Van 1-11</t>
        </is>
      </c>
      <c r="G137" s="733" t="inlineStr">
        <is>
          <t>09-670605328</t>
        </is>
      </c>
      <c r="H137" s="743" t="inlineStr">
        <is>
          <t>မိုးယံ</t>
        </is>
      </c>
      <c r="I137" s="730" t="n">
        <v>3</v>
      </c>
    </row>
    <row r="138" ht="20.4" customHeight="1">
      <c r="A138" s="730" t="n">
        <v>134</v>
      </c>
      <c r="B138" s="731" t="inlineStr">
        <is>
          <t>ကိုလေးငယ်</t>
        </is>
      </c>
      <c r="C138" s="730" t="inlineStr">
        <is>
          <t>D</t>
        </is>
      </c>
      <c r="D138" s="733" t="inlineStr">
        <is>
          <t>အင်းကုန်း</t>
        </is>
      </c>
      <c r="E138" s="733" t="inlineStr">
        <is>
          <t>ရမည်းသင်းမြို့</t>
        </is>
      </c>
      <c r="F138" s="733" t="inlineStr">
        <is>
          <t>Van 1-11</t>
        </is>
      </c>
      <c r="G138" s="727" t="inlineStr">
        <is>
          <t>09-256101637</t>
        </is>
      </c>
      <c r="H138" s="743" t="inlineStr">
        <is>
          <t>စံချိန်(ရမသ)</t>
        </is>
      </c>
      <c r="I138" s="730" t="n">
        <v>3</v>
      </c>
    </row>
    <row r="139" ht="20.4" customHeight="1">
      <c r="A139" s="733" t="n">
        <v>135</v>
      </c>
      <c r="B139" s="731" t="inlineStr">
        <is>
          <t>ကိုစိုးနိုင်</t>
        </is>
      </c>
      <c r="C139" s="730" t="inlineStr">
        <is>
          <t>D</t>
        </is>
      </c>
      <c r="D139" s="733" t="inlineStr">
        <is>
          <t>အင်းကုန်း</t>
        </is>
      </c>
      <c r="E139" s="733" t="inlineStr">
        <is>
          <t>ရမည်းသင်းမြို့</t>
        </is>
      </c>
      <c r="F139" s="733" t="inlineStr">
        <is>
          <t>Van 1-11</t>
        </is>
      </c>
      <c r="G139" s="727" t="inlineStr">
        <is>
          <t>09-685936399</t>
        </is>
      </c>
      <c r="H139" s="743" t="inlineStr">
        <is>
          <t>စံချိန်(ရမသ)</t>
        </is>
      </c>
      <c r="I139" s="730" t="n">
        <v>3</v>
      </c>
    </row>
    <row r="140" ht="20.4" customHeight="1">
      <c r="A140" s="730" t="n">
        <v>136</v>
      </c>
      <c r="B140" s="742" t="inlineStr">
        <is>
          <t>မစန်းနုဝေ</t>
        </is>
      </c>
      <c r="C140" s="730" t="inlineStr">
        <is>
          <t>D</t>
        </is>
      </c>
      <c r="D140" s="733" t="inlineStr">
        <is>
          <t>အင်းကုန်း</t>
        </is>
      </c>
      <c r="E140" s="733" t="inlineStr">
        <is>
          <t>ရမည်းသင်းမြို့</t>
        </is>
      </c>
      <c r="F140" s="733" t="inlineStr">
        <is>
          <t>Van 1-11</t>
        </is>
      </c>
      <c r="G140" s="727" t="inlineStr">
        <is>
          <t>09-400452178</t>
        </is>
      </c>
      <c r="H140" s="743" t="inlineStr">
        <is>
          <t>စံချိန်(ရမသ)</t>
        </is>
      </c>
      <c r="I140" s="730" t="n">
        <v>3</v>
      </c>
    </row>
    <row r="141" ht="20.4" customHeight="1">
      <c r="A141" s="730" t="n">
        <v>137</v>
      </c>
      <c r="B141" s="742" t="inlineStr">
        <is>
          <t>ကိုဇော်ကြီး</t>
        </is>
      </c>
      <c r="C141" s="730" t="inlineStr">
        <is>
          <t>D</t>
        </is>
      </c>
      <c r="D141" s="733" t="inlineStr">
        <is>
          <t>အင်းကုန်း</t>
        </is>
      </c>
      <c r="E141" s="733" t="inlineStr">
        <is>
          <t>ရမည်းသင်းမြို့</t>
        </is>
      </c>
      <c r="F141" s="733" t="inlineStr">
        <is>
          <t>Van 1-11</t>
        </is>
      </c>
      <c r="G141" s="737" t="inlineStr">
        <is>
          <t>09-668040235</t>
        </is>
      </c>
      <c r="H141" s="743" t="inlineStr">
        <is>
          <t>စံချိန်(ရမသ)</t>
        </is>
      </c>
      <c r="I141" s="730" t="n">
        <v>3</v>
      </c>
    </row>
    <row r="142" ht="20.4" customHeight="1">
      <c r="A142" s="730" t="n">
        <v>138</v>
      </c>
      <c r="B142" s="756" t="inlineStr">
        <is>
          <t>ကိုသိန်းထွန်းဦး</t>
        </is>
      </c>
      <c r="C142" s="756" t="inlineStr">
        <is>
          <t>D</t>
        </is>
      </c>
      <c r="D142" s="756" t="inlineStr">
        <is>
          <t>ထနောင်းကုန်း</t>
        </is>
      </c>
      <c r="E142" s="733" t="inlineStr">
        <is>
          <t>သာစည်မြို့</t>
        </is>
      </c>
      <c r="F142" s="733" t="inlineStr">
        <is>
          <t>Van 2-1</t>
        </is>
      </c>
      <c r="G142" s="737" t="inlineStr">
        <is>
          <t>09-953538942</t>
        </is>
      </c>
      <c r="H142" s="740" t="inlineStr">
        <is>
          <t>ရွှေမြင်း</t>
        </is>
      </c>
      <c r="I142" s="757" t="n">
        <v>3</v>
      </c>
    </row>
    <row r="143" ht="20.4" customHeight="1">
      <c r="A143" s="733" t="n">
        <v>139</v>
      </c>
      <c r="B143" s="756" t="inlineStr">
        <is>
          <t>ကိုဝင်းဇော်</t>
        </is>
      </c>
      <c r="C143" s="756" t="inlineStr">
        <is>
          <t>D</t>
        </is>
      </c>
      <c r="D143" s="756" t="inlineStr">
        <is>
          <t>ထနောင်းကုန်း</t>
        </is>
      </c>
      <c r="E143" s="733" t="inlineStr">
        <is>
          <t>သာစည်မြို့</t>
        </is>
      </c>
      <c r="F143" s="733" t="inlineStr">
        <is>
          <t>Van 2-1</t>
        </is>
      </c>
      <c r="G143" s="737" t="inlineStr">
        <is>
          <t>09-673185667</t>
        </is>
      </c>
      <c r="H143" s="740" t="inlineStr">
        <is>
          <t>ရွှေမြင်း</t>
        </is>
      </c>
      <c r="I143" s="757" t="n">
        <v>3</v>
      </c>
    </row>
    <row r="144" ht="20.4" customHeight="1">
      <c r="A144" s="730" t="n">
        <v>140</v>
      </c>
      <c r="B144" s="756" t="inlineStr">
        <is>
          <t>မခင်မာဌေး</t>
        </is>
      </c>
      <c r="C144" s="756" t="inlineStr">
        <is>
          <t>D</t>
        </is>
      </c>
      <c r="D144" s="756" t="inlineStr">
        <is>
          <t>ကြာပစ်ကန်</t>
        </is>
      </c>
      <c r="E144" s="733" t="inlineStr">
        <is>
          <t>သာစည်မြို့</t>
        </is>
      </c>
      <c r="F144" s="733" t="inlineStr">
        <is>
          <t>Van 2-1</t>
        </is>
      </c>
      <c r="G144" s="737" t="inlineStr">
        <is>
          <t>09-798918475</t>
        </is>
      </c>
      <c r="H144" s="740" t="inlineStr">
        <is>
          <t>ရွှေမြင်း</t>
        </is>
      </c>
      <c r="I144" s="757" t="n">
        <v>3</v>
      </c>
    </row>
    <row r="145" ht="20.4" customHeight="1">
      <c r="A145" s="730" t="n">
        <v>141</v>
      </c>
      <c r="B145" s="756" t="inlineStr">
        <is>
          <t>ကိုအောင်ကိုလင်း</t>
        </is>
      </c>
      <c r="C145" s="756" t="inlineStr">
        <is>
          <t>D</t>
        </is>
      </c>
      <c r="D145" s="756" t="inlineStr">
        <is>
          <t>ကြာပစ်ကန်</t>
        </is>
      </c>
      <c r="E145" s="733" t="inlineStr">
        <is>
          <t>သာစည်မြို့</t>
        </is>
      </c>
      <c r="F145" s="733" t="inlineStr">
        <is>
          <t>Van 2-1</t>
        </is>
      </c>
      <c r="G145" s="737" t="n"/>
      <c r="H145" s="740" t="inlineStr">
        <is>
          <t>ရွှေမြင်း</t>
        </is>
      </c>
      <c r="I145" s="757" t="n">
        <v>3</v>
      </c>
    </row>
    <row r="146" ht="20.4" customHeight="1">
      <c r="A146" s="730" t="n">
        <v>142</v>
      </c>
      <c r="B146" s="756" t="inlineStr">
        <is>
          <t>မဖြူဖြူဝင်း</t>
        </is>
      </c>
      <c r="C146" s="756" t="inlineStr">
        <is>
          <t>D</t>
        </is>
      </c>
      <c r="D146" s="756" t="inlineStr">
        <is>
          <t>ထနောင်းကန်</t>
        </is>
      </c>
      <c r="E146" s="733" t="inlineStr">
        <is>
          <t>သာစည်မြို့</t>
        </is>
      </c>
      <c r="F146" s="733" t="inlineStr">
        <is>
          <t>Van 2-1</t>
        </is>
      </c>
      <c r="G146" s="737" t="inlineStr">
        <is>
          <t>09-974512448</t>
        </is>
      </c>
      <c r="H146" s="740" t="inlineStr">
        <is>
          <t>ရွှေမြင်း</t>
        </is>
      </c>
      <c r="I146" s="757" t="n">
        <v>3</v>
      </c>
    </row>
    <row r="147" ht="20.4" customHeight="1">
      <c r="A147" s="733" t="n">
        <v>143</v>
      </c>
      <c r="B147" s="756" t="inlineStr">
        <is>
          <t>ကိုကျော်ဟိန်း</t>
        </is>
      </c>
      <c r="C147" s="756" t="inlineStr">
        <is>
          <t>D</t>
        </is>
      </c>
      <c r="D147" s="756" t="inlineStr">
        <is>
          <t>ထနောင်းကန်</t>
        </is>
      </c>
      <c r="E147" s="733" t="inlineStr">
        <is>
          <t>သာစည်မြို့</t>
        </is>
      </c>
      <c r="F147" s="733" t="inlineStr">
        <is>
          <t>Van 2-1</t>
        </is>
      </c>
      <c r="G147" s="737" t="inlineStr">
        <is>
          <t>09-777436779</t>
        </is>
      </c>
      <c r="H147" s="740" t="inlineStr">
        <is>
          <t>ရွှေမြင်း</t>
        </is>
      </c>
      <c r="I147" s="757" t="n">
        <v>3</v>
      </c>
    </row>
    <row r="148" ht="20.4" customHeight="1">
      <c r="A148" s="730" t="n">
        <v>144</v>
      </c>
      <c r="B148" s="756" t="inlineStr">
        <is>
          <t>မမိုးသူ</t>
        </is>
      </c>
      <c r="C148" s="756" t="inlineStr">
        <is>
          <t>D</t>
        </is>
      </c>
      <c r="D148" s="756" t="inlineStr">
        <is>
          <t>ထနောင်းကန်</t>
        </is>
      </c>
      <c r="E148" s="733" t="inlineStr">
        <is>
          <t>သာစည်မြို့</t>
        </is>
      </c>
      <c r="F148" s="733" t="inlineStr">
        <is>
          <t>Van 2-1</t>
        </is>
      </c>
      <c r="G148" s="737" t="n"/>
      <c r="H148" s="740" t="inlineStr">
        <is>
          <t>ရွှေမြင်း</t>
        </is>
      </c>
      <c r="I148" s="757" t="n">
        <v>3</v>
      </c>
    </row>
    <row r="149" ht="20.4" customHeight="1">
      <c r="A149" s="730" t="n">
        <v>145</v>
      </c>
      <c r="B149" s="756" t="inlineStr">
        <is>
          <t>မခင်မာဆန်း</t>
        </is>
      </c>
      <c r="C149" s="756" t="inlineStr">
        <is>
          <t>D</t>
        </is>
      </c>
      <c r="D149" s="756" t="inlineStr">
        <is>
          <t>မောင်းမဆည်</t>
        </is>
      </c>
      <c r="E149" s="733" t="inlineStr">
        <is>
          <t>သာစည်မြို့</t>
        </is>
      </c>
      <c r="F149" s="733" t="inlineStr">
        <is>
          <t>Van 2-1</t>
        </is>
      </c>
      <c r="G149" s="737" t="inlineStr">
        <is>
          <t>09-773409230</t>
        </is>
      </c>
      <c r="H149" s="740" t="inlineStr">
        <is>
          <t>မင်းစုဝေ/နိုင်</t>
        </is>
      </c>
      <c r="I149" s="757" t="n">
        <v>3</v>
      </c>
    </row>
    <row r="150" ht="20.4" customHeight="1">
      <c r="A150" s="730" t="n">
        <v>146</v>
      </c>
      <c r="B150" s="756" t="inlineStr">
        <is>
          <t>ကိုသိန်းတန်</t>
        </is>
      </c>
      <c r="C150" s="756" t="inlineStr">
        <is>
          <t>D</t>
        </is>
      </c>
      <c r="D150" s="756" t="inlineStr">
        <is>
          <t>မောင်းမဆည်</t>
        </is>
      </c>
      <c r="E150" s="733" t="inlineStr">
        <is>
          <t>သာစည်မြို့</t>
        </is>
      </c>
      <c r="F150" s="733" t="inlineStr">
        <is>
          <t>Van 2-1</t>
        </is>
      </c>
      <c r="G150" s="737" t="inlineStr">
        <is>
          <t>09-958100730</t>
        </is>
      </c>
      <c r="H150" s="740" t="inlineStr">
        <is>
          <t>မင်းစုဝေ/နိုင်</t>
        </is>
      </c>
      <c r="I150" s="757" t="n">
        <v>3</v>
      </c>
    </row>
    <row r="151" ht="20.4" customHeight="1">
      <c r="A151" s="733" t="n">
        <v>147</v>
      </c>
      <c r="B151" s="756" t="inlineStr">
        <is>
          <t>မဖြူဖြူသင်း</t>
        </is>
      </c>
      <c r="C151" s="756" t="inlineStr">
        <is>
          <t>D</t>
        </is>
      </c>
      <c r="D151" s="756" t="inlineStr">
        <is>
          <t>မောင်းမဆည်</t>
        </is>
      </c>
      <c r="E151" s="733" t="inlineStr">
        <is>
          <t>သာစည်မြို့</t>
        </is>
      </c>
      <c r="F151" s="733" t="inlineStr">
        <is>
          <t>Van 2-1</t>
        </is>
      </c>
      <c r="G151" s="727" t="inlineStr">
        <is>
          <t>09-663372996</t>
        </is>
      </c>
      <c r="H151" s="740" t="inlineStr">
        <is>
          <t>မင်းစုဝေ/နိုင်</t>
        </is>
      </c>
      <c r="I151" s="757" t="n">
        <v>3</v>
      </c>
    </row>
    <row r="152" ht="20.4" customHeight="1">
      <c r="A152" s="730" t="n">
        <v>148</v>
      </c>
      <c r="B152" s="756" t="inlineStr">
        <is>
          <t>ဦးဝင်းပို</t>
        </is>
      </c>
      <c r="C152" s="756" t="inlineStr">
        <is>
          <t>D</t>
        </is>
      </c>
      <c r="D152" s="756" t="inlineStr">
        <is>
          <t>မောင်းမဆည်</t>
        </is>
      </c>
      <c r="E152" s="733" t="inlineStr">
        <is>
          <t>သာစည်မြို့</t>
        </is>
      </c>
      <c r="F152" s="733" t="inlineStr">
        <is>
          <t>Van 2-1</t>
        </is>
      </c>
      <c r="G152" s="737" t="inlineStr">
        <is>
          <t>09-682668200</t>
        </is>
      </c>
      <c r="H152" s="740" t="inlineStr">
        <is>
          <t>မင်းစုဝေ/နိုင်</t>
        </is>
      </c>
      <c r="I152" s="757" t="n">
        <v>3</v>
      </c>
    </row>
    <row r="153" ht="20.4" customHeight="1">
      <c r="A153" s="730" t="n">
        <v>149</v>
      </c>
      <c r="B153" s="756" t="inlineStr">
        <is>
          <t>ကိုသိန်းငွေ</t>
        </is>
      </c>
      <c r="C153" s="756" t="inlineStr">
        <is>
          <t>D</t>
        </is>
      </c>
      <c r="D153" s="756" t="inlineStr">
        <is>
          <t>မောင်းမဆည်</t>
        </is>
      </c>
      <c r="E153" s="733" t="inlineStr">
        <is>
          <t>သာစည်မြို့</t>
        </is>
      </c>
      <c r="F153" s="733" t="inlineStr">
        <is>
          <t>Van 2-1</t>
        </is>
      </c>
      <c r="G153" s="737" t="inlineStr">
        <is>
          <t>09-668894642</t>
        </is>
      </c>
      <c r="H153" s="740" t="inlineStr">
        <is>
          <t>မင်းစုဝေ/နိုင်</t>
        </is>
      </c>
      <c r="I153" s="757" t="n">
        <v>3</v>
      </c>
    </row>
    <row r="154" ht="20.4" customHeight="1">
      <c r="A154" s="730" t="n">
        <v>150</v>
      </c>
      <c r="B154" s="756" t="inlineStr">
        <is>
          <t>မအေးမြထွေး</t>
        </is>
      </c>
      <c r="C154" s="758" t="inlineStr">
        <is>
          <t>D</t>
        </is>
      </c>
      <c r="D154" s="756" t="inlineStr">
        <is>
          <t>ကျောက်ပနား</t>
        </is>
      </c>
      <c r="E154" s="733" t="inlineStr">
        <is>
          <t>ဝမ်းတွင်းမြို့</t>
        </is>
      </c>
      <c r="F154" s="733" t="inlineStr">
        <is>
          <t>Van 2-2</t>
        </is>
      </c>
      <c r="G154" s="727" t="inlineStr">
        <is>
          <t>09-881043390</t>
        </is>
      </c>
      <c r="H154" s="740" t="inlineStr">
        <is>
          <t>ဟိဏ်းထက်</t>
        </is>
      </c>
      <c r="I154" s="727" t="n">
        <v>3</v>
      </c>
    </row>
    <row r="155" ht="20.4" customHeight="1">
      <c r="A155" s="733" t="n">
        <v>151</v>
      </c>
      <c r="B155" s="756" t="inlineStr">
        <is>
          <t>ကိုထွန်းဝင်းမြိုင်</t>
        </is>
      </c>
      <c r="C155" s="758" t="inlineStr">
        <is>
          <t>D</t>
        </is>
      </c>
      <c r="D155" s="756" t="inlineStr">
        <is>
          <t>သာဂရ</t>
        </is>
      </c>
      <c r="E155" s="733" t="inlineStr">
        <is>
          <t>ဝမ်းတွင်းမြို့</t>
        </is>
      </c>
      <c r="F155" s="733" t="inlineStr">
        <is>
          <t>Van 2-2</t>
        </is>
      </c>
      <c r="G155" s="737" t="inlineStr">
        <is>
          <t>09-693042103</t>
        </is>
      </c>
      <c r="H155" s="740" t="inlineStr">
        <is>
          <t>ဟိဏ်းထက်</t>
        </is>
      </c>
      <c r="I155" s="727" t="n">
        <v>3</v>
      </c>
    </row>
    <row r="156" ht="20.4" customHeight="1">
      <c r="A156" s="730" t="n">
        <v>152</v>
      </c>
      <c r="B156" s="756" t="inlineStr">
        <is>
          <t>မတင်စန်းမူ</t>
        </is>
      </c>
      <c r="C156" s="758" t="inlineStr">
        <is>
          <t>D</t>
        </is>
      </c>
      <c r="D156" s="756" t="inlineStr">
        <is>
          <t>သာဂရ</t>
        </is>
      </c>
      <c r="E156" s="733" t="inlineStr">
        <is>
          <t>ဝမ်းတွင်းမြို့</t>
        </is>
      </c>
      <c r="F156" s="733" t="inlineStr">
        <is>
          <t>Van 2-2</t>
        </is>
      </c>
      <c r="G156" s="737" t="inlineStr">
        <is>
          <t>09-40333375</t>
        </is>
      </c>
      <c r="H156" s="740" t="inlineStr">
        <is>
          <t>ရွှေခြင်္သေ့</t>
        </is>
      </c>
      <c r="I156" s="727" t="n">
        <v>3</v>
      </c>
    </row>
    <row r="157" ht="20.4" customHeight="1">
      <c r="A157" s="730" t="n">
        <v>153</v>
      </c>
      <c r="B157" s="756" t="inlineStr">
        <is>
          <t>ကိုသိန်းကျော်ဌေး</t>
        </is>
      </c>
      <c r="C157" s="758" t="inlineStr">
        <is>
          <t>D</t>
        </is>
      </c>
      <c r="D157" s="756" t="inlineStr">
        <is>
          <t>သာဂရ</t>
        </is>
      </c>
      <c r="E157" s="733" t="inlineStr">
        <is>
          <t>ဝမ်းတွင်းမြို့</t>
        </is>
      </c>
      <c r="F157" s="733" t="inlineStr">
        <is>
          <t>Van 2-2</t>
        </is>
      </c>
      <c r="G157" s="737" t="inlineStr">
        <is>
          <t>09-687499939</t>
        </is>
      </c>
      <c r="H157" s="740" t="inlineStr">
        <is>
          <t>ဟိဏ်းထက်</t>
        </is>
      </c>
      <c r="I157" s="727" t="n">
        <v>3</v>
      </c>
    </row>
    <row r="158" ht="20.4" customHeight="1">
      <c r="A158" s="730" t="n">
        <v>154</v>
      </c>
      <c r="B158" s="756" t="inlineStr">
        <is>
          <t>ကိုစိုးမင်းအောင်</t>
        </is>
      </c>
      <c r="C158" s="758" t="inlineStr">
        <is>
          <t>D</t>
        </is>
      </c>
      <c r="D158" s="756" t="inlineStr">
        <is>
          <t>သာဂရ</t>
        </is>
      </c>
      <c r="E158" s="733" t="inlineStr">
        <is>
          <t>ဝမ်းတွင်းမြို့</t>
        </is>
      </c>
      <c r="F158" s="733" t="inlineStr">
        <is>
          <t>Van 2-2</t>
        </is>
      </c>
      <c r="G158" s="737" t="inlineStr">
        <is>
          <t>09-444579571</t>
        </is>
      </c>
      <c r="H158" s="740" t="inlineStr">
        <is>
          <t>ဟိဏ်းထက်</t>
        </is>
      </c>
      <c r="I158" s="727" t="n">
        <v>3</v>
      </c>
    </row>
    <row r="159" ht="20.4" customHeight="1">
      <c r="A159" s="733" t="n">
        <v>155</v>
      </c>
      <c r="B159" s="756" t="inlineStr">
        <is>
          <t>ဦးခင်မောင်ချို</t>
        </is>
      </c>
      <c r="C159" s="758" t="inlineStr">
        <is>
          <t>D</t>
        </is>
      </c>
      <c r="D159" s="756" t="inlineStr">
        <is>
          <t>သာဂရ</t>
        </is>
      </c>
      <c r="E159" s="733" t="inlineStr">
        <is>
          <t>ဝမ်းတွင်းမြို့</t>
        </is>
      </c>
      <c r="F159" s="733" t="inlineStr">
        <is>
          <t>Van 2-2</t>
        </is>
      </c>
      <c r="G159" s="737" t="inlineStr">
        <is>
          <t>09-666064790</t>
        </is>
      </c>
      <c r="H159" s="740" t="inlineStr">
        <is>
          <t>ဟိဏ်းထက်</t>
        </is>
      </c>
      <c r="I159" s="727" t="n">
        <v>3</v>
      </c>
    </row>
    <row r="160" ht="20.4" customHeight="1">
      <c r="A160" s="730" t="n">
        <v>156</v>
      </c>
      <c r="B160" s="756" t="inlineStr">
        <is>
          <t>ဦးကံရှိန်</t>
        </is>
      </c>
      <c r="C160" s="758" t="inlineStr">
        <is>
          <t>D</t>
        </is>
      </c>
      <c r="D160" s="756" t="inlineStr">
        <is>
          <t>သာဂရ</t>
        </is>
      </c>
      <c r="E160" s="733" t="inlineStr">
        <is>
          <t>ဝမ်းတွင်းမြို့</t>
        </is>
      </c>
      <c r="F160" s="733" t="inlineStr">
        <is>
          <t>Van 2-2</t>
        </is>
      </c>
      <c r="G160" s="737" t="inlineStr">
        <is>
          <t>09-671502787</t>
        </is>
      </c>
      <c r="H160" s="740" t="inlineStr">
        <is>
          <t>ဟိဏ်းထက်</t>
        </is>
      </c>
      <c r="I160" s="727" t="n">
        <v>3</v>
      </c>
    </row>
    <row r="161" ht="20.4" customHeight="1">
      <c r="A161" s="730" t="n">
        <v>157</v>
      </c>
      <c r="B161" s="756" t="inlineStr">
        <is>
          <t>ဒေါ်ကြည်ဌေး</t>
        </is>
      </c>
      <c r="C161" s="758" t="inlineStr">
        <is>
          <t>D</t>
        </is>
      </c>
      <c r="D161" s="756" t="inlineStr">
        <is>
          <t>သာဂရ</t>
        </is>
      </c>
      <c r="E161" s="733" t="inlineStr">
        <is>
          <t>ဝမ်းတွင်းမြို့</t>
        </is>
      </c>
      <c r="F161" s="733" t="inlineStr">
        <is>
          <t>Van 2-2</t>
        </is>
      </c>
      <c r="G161" s="737" t="n"/>
      <c r="H161" s="740" t="inlineStr">
        <is>
          <t>ဟိဏ်းထက်</t>
        </is>
      </c>
      <c r="I161" s="727" t="n">
        <v>3</v>
      </c>
    </row>
    <row r="162" ht="20.4" customHeight="1">
      <c r="A162" s="730" t="n">
        <v>158</v>
      </c>
      <c r="B162" s="756" t="inlineStr">
        <is>
          <t>ဦးအောင်သင်း</t>
        </is>
      </c>
      <c r="C162" s="758" t="inlineStr">
        <is>
          <t>D</t>
        </is>
      </c>
      <c r="D162" s="756" t="inlineStr">
        <is>
          <t>သုံးပတ်လည်</t>
        </is>
      </c>
      <c r="E162" s="733" t="inlineStr">
        <is>
          <t>ဝမ်းတွင်းမြို့</t>
        </is>
      </c>
      <c r="F162" s="733" t="inlineStr">
        <is>
          <t>Van 2-2</t>
        </is>
      </c>
      <c r="G162" s="737" t="inlineStr">
        <is>
          <t>09-447938841</t>
        </is>
      </c>
      <c r="H162" s="740" t="inlineStr">
        <is>
          <t>ဟိဏ်းထက်</t>
        </is>
      </c>
      <c r="I162" s="727" t="n">
        <v>3</v>
      </c>
    </row>
    <row r="163" ht="20.4" customHeight="1">
      <c r="A163" s="733" t="n">
        <v>159</v>
      </c>
      <c r="B163" s="756" t="inlineStr">
        <is>
          <t>ကိုနေထက်လင်း</t>
        </is>
      </c>
      <c r="C163" s="758" t="inlineStr">
        <is>
          <t>D</t>
        </is>
      </c>
      <c r="D163" s="756" t="inlineStr">
        <is>
          <t>သုံးပတ်လည်</t>
        </is>
      </c>
      <c r="E163" s="733" t="inlineStr">
        <is>
          <t>ဝမ်းတွင်းမြို့</t>
        </is>
      </c>
      <c r="F163" s="733" t="inlineStr">
        <is>
          <t>Van 2-2</t>
        </is>
      </c>
      <c r="G163" s="737" t="n"/>
      <c r="H163" s="740" t="inlineStr">
        <is>
          <t>ဟိဏ်းထက်</t>
        </is>
      </c>
      <c r="I163" s="727" t="n">
        <v>3</v>
      </c>
    </row>
    <row r="164" ht="20.4" customHeight="1">
      <c r="A164" s="730" t="n">
        <v>160</v>
      </c>
      <c r="B164" s="756" t="inlineStr">
        <is>
          <t>ကိုကျော်အောင်</t>
        </is>
      </c>
      <c r="C164" s="758" t="inlineStr">
        <is>
          <t>D</t>
        </is>
      </c>
      <c r="D164" s="756" t="inlineStr">
        <is>
          <t>သုံးပတ်လည်</t>
        </is>
      </c>
      <c r="E164" s="733" t="inlineStr">
        <is>
          <t>ဝမ်းတွင်းမြို့</t>
        </is>
      </c>
      <c r="F164" s="733" t="inlineStr">
        <is>
          <t>Van 2-2</t>
        </is>
      </c>
      <c r="G164" s="737" t="inlineStr">
        <is>
          <t>09-785788274</t>
        </is>
      </c>
      <c r="H164" s="740" t="inlineStr">
        <is>
          <t>ဟိဏ်းထက်</t>
        </is>
      </c>
      <c r="I164" s="727" t="n">
        <v>3</v>
      </c>
    </row>
    <row r="165" ht="20.4" customHeight="1">
      <c r="A165" s="730" t="n">
        <v>161</v>
      </c>
      <c r="B165" s="756" t="inlineStr">
        <is>
          <t>ကိုဇော်ထက်အောင်</t>
        </is>
      </c>
      <c r="C165" s="758" t="inlineStr">
        <is>
          <t>D</t>
        </is>
      </c>
      <c r="D165" s="756" t="inlineStr">
        <is>
          <t>သုံးပတ်လည်</t>
        </is>
      </c>
      <c r="E165" s="733" t="inlineStr">
        <is>
          <t>ဝမ်းတွင်းမြို့</t>
        </is>
      </c>
      <c r="F165" s="733" t="inlineStr">
        <is>
          <t>Van 2-2</t>
        </is>
      </c>
      <c r="G165" s="737" t="inlineStr">
        <is>
          <t>09-980808559</t>
        </is>
      </c>
      <c r="H165" s="740" t="inlineStr">
        <is>
          <t>ဟိဏ်းထက်</t>
        </is>
      </c>
      <c r="I165" s="727" t="n">
        <v>3</v>
      </c>
    </row>
    <row r="166" ht="20.4" customHeight="1">
      <c r="A166" s="730" t="n">
        <v>162</v>
      </c>
      <c r="B166" s="756" t="inlineStr">
        <is>
          <t>ရှိုင်းဖုန်းသန့်</t>
        </is>
      </c>
      <c r="C166" s="758" t="inlineStr">
        <is>
          <t>D</t>
        </is>
      </c>
      <c r="D166" s="756" t="inlineStr">
        <is>
          <t>သာဂရ</t>
        </is>
      </c>
      <c r="E166" s="733" t="inlineStr">
        <is>
          <t>ဝမ်းတွင်းမြို့</t>
        </is>
      </c>
      <c r="F166" s="733" t="inlineStr">
        <is>
          <t>Van 2-2</t>
        </is>
      </c>
      <c r="G166" s="727" t="n"/>
      <c r="H166" s="740" t="inlineStr">
        <is>
          <t>ဟိဏ်းထက်</t>
        </is>
      </c>
      <c r="I166" s="727" t="n">
        <v>3</v>
      </c>
    </row>
    <row r="167" ht="20.4" customHeight="1">
      <c r="A167" s="733" t="n">
        <v>163</v>
      </c>
      <c r="B167" s="756" t="inlineStr">
        <is>
          <t>မအေးချာ</t>
        </is>
      </c>
      <c r="C167" s="758" t="inlineStr">
        <is>
          <t>D</t>
        </is>
      </c>
      <c r="D167" s="756" t="inlineStr">
        <is>
          <t>သဲပုံ</t>
        </is>
      </c>
      <c r="E167" s="733" t="inlineStr">
        <is>
          <t>ဝမ်းတွင်းမြို့</t>
        </is>
      </c>
      <c r="F167" s="733" t="inlineStr">
        <is>
          <t>Van 2-2</t>
        </is>
      </c>
      <c r="G167" s="737" t="inlineStr">
        <is>
          <t>09-455206388</t>
        </is>
      </c>
      <c r="H167" s="740" t="inlineStr">
        <is>
          <t>ဟိဏ်းထက်</t>
        </is>
      </c>
      <c r="I167" s="727" t="n">
        <v>3</v>
      </c>
    </row>
    <row r="168" ht="20.4" customHeight="1">
      <c r="A168" s="730" t="n">
        <v>164</v>
      </c>
      <c r="B168" s="756" t="inlineStr">
        <is>
          <t>ဒေါ်တင်တင်ယု</t>
        </is>
      </c>
      <c r="C168" s="758" t="inlineStr">
        <is>
          <t>D</t>
        </is>
      </c>
      <c r="D168" s="756" t="inlineStr">
        <is>
          <t>ဟံဇား</t>
        </is>
      </c>
      <c r="E168" s="733" t="inlineStr">
        <is>
          <t>ဝမ်းတွင်းမြို့</t>
        </is>
      </c>
      <c r="F168" s="733" t="inlineStr">
        <is>
          <t>Van 2-2</t>
        </is>
      </c>
      <c r="G168" s="727" t="n"/>
      <c r="H168" s="740" t="inlineStr">
        <is>
          <t>ဟိဏ်းထက်</t>
        </is>
      </c>
      <c r="I168" s="727" t="n">
        <v>3</v>
      </c>
    </row>
    <row r="169" ht="20.4" customHeight="1">
      <c r="A169" s="730" t="n">
        <v>165</v>
      </c>
      <c r="B169" s="756" t="inlineStr">
        <is>
          <t>မရွှေရင်</t>
        </is>
      </c>
      <c r="C169" s="756" t="inlineStr">
        <is>
          <t>D</t>
        </is>
      </c>
      <c r="D169" s="756" t="inlineStr">
        <is>
          <t>ဆပ်ခင်း</t>
        </is>
      </c>
      <c r="E169" s="733" t="inlineStr">
        <is>
          <t>ဝမ်းတွင်းမြို့</t>
        </is>
      </c>
      <c r="F169" s="733" t="inlineStr">
        <is>
          <t>Van 2-3</t>
        </is>
      </c>
      <c r="G169" s="727" t="inlineStr">
        <is>
          <t>09-675736624</t>
        </is>
      </c>
      <c r="H169" s="734" t="inlineStr">
        <is>
          <t>ရွှေမြင်း/ဦးဝင်းနိုင်</t>
        </is>
      </c>
      <c r="I169" s="727" t="n">
        <v>3</v>
      </c>
    </row>
    <row r="170" ht="20.4" customHeight="1">
      <c r="A170" s="730" t="n">
        <v>166</v>
      </c>
      <c r="B170" s="756" t="inlineStr">
        <is>
          <t>ကိုမောင်လေး</t>
        </is>
      </c>
      <c r="C170" s="756" t="inlineStr">
        <is>
          <t>D</t>
        </is>
      </c>
      <c r="D170" s="756" t="inlineStr">
        <is>
          <t>ဖလန်းကန်</t>
        </is>
      </c>
      <c r="E170" s="733" t="inlineStr">
        <is>
          <t>ဝမ်းတွင်းမြို့</t>
        </is>
      </c>
      <c r="F170" s="733" t="inlineStr">
        <is>
          <t>Van 2-3</t>
        </is>
      </c>
      <c r="G170" s="727" t="inlineStr">
        <is>
          <t>09-781408274</t>
        </is>
      </c>
      <c r="H170" s="734" t="inlineStr">
        <is>
          <t>ဦးဝင်းနိုင်</t>
        </is>
      </c>
      <c r="I170" s="727" t="n">
        <v>3</v>
      </c>
    </row>
    <row r="171" ht="20.4" customHeight="1">
      <c r="A171" s="733" t="n">
        <v>167</v>
      </c>
      <c r="B171" s="756" t="inlineStr">
        <is>
          <t>ကိုမောင်နိုင်</t>
        </is>
      </c>
      <c r="C171" s="756" t="inlineStr">
        <is>
          <t>D</t>
        </is>
      </c>
      <c r="D171" s="756" t="inlineStr">
        <is>
          <t>ဆပ်ခင်း</t>
        </is>
      </c>
      <c r="E171" s="733" t="inlineStr">
        <is>
          <t>ဝမ်းတွင်းမြို့</t>
        </is>
      </c>
      <c r="F171" s="733" t="inlineStr">
        <is>
          <t>Van 2-3</t>
        </is>
      </c>
      <c r="G171" s="727" t="inlineStr">
        <is>
          <t>09-790877193</t>
        </is>
      </c>
      <c r="H171" s="734" t="inlineStr">
        <is>
          <t>ဦးဝင်းနိုင်</t>
        </is>
      </c>
      <c r="I171" s="727" t="n">
        <v>3</v>
      </c>
    </row>
    <row r="172" ht="20.4" customHeight="1">
      <c r="A172" s="730" t="n">
        <v>168</v>
      </c>
      <c r="B172" s="756" t="inlineStr">
        <is>
          <t>ကိုကျော်စိန်ဝင်း</t>
        </is>
      </c>
      <c r="C172" s="756" t="inlineStr">
        <is>
          <t>D</t>
        </is>
      </c>
      <c r="D172" s="756" t="inlineStr">
        <is>
          <t>ဖလန်းကန်</t>
        </is>
      </c>
      <c r="E172" s="733" t="inlineStr">
        <is>
          <t>ဝမ်းတွင်းမြို့</t>
        </is>
      </c>
      <c r="F172" s="733" t="inlineStr">
        <is>
          <t>Van 2-3</t>
        </is>
      </c>
      <c r="G172" s="727" t="inlineStr">
        <is>
          <t>09-250339702</t>
        </is>
      </c>
      <c r="H172" s="734" t="inlineStr">
        <is>
          <t>ဦးဝင်းနိုင်</t>
        </is>
      </c>
      <c r="I172" s="727" t="n">
        <v>3</v>
      </c>
    </row>
    <row r="173" ht="20.4" customHeight="1">
      <c r="A173" s="730" t="n">
        <v>169</v>
      </c>
      <c r="B173" s="756" t="inlineStr">
        <is>
          <t>ကိုနေမျိုးအောင်</t>
        </is>
      </c>
      <c r="C173" s="758" t="inlineStr">
        <is>
          <t>D</t>
        </is>
      </c>
      <c r="D173" s="756" t="inlineStr">
        <is>
          <t>ဆပ်ခင်း</t>
        </is>
      </c>
      <c r="E173" s="733" t="inlineStr">
        <is>
          <t>ဝမ်းတွင်းမြို့</t>
        </is>
      </c>
      <c r="F173" s="733" t="inlineStr">
        <is>
          <t>Van 2-3</t>
        </is>
      </c>
      <c r="G173" s="727" t="inlineStr">
        <is>
          <t>09-696804026</t>
        </is>
      </c>
      <c r="H173" s="734" t="inlineStr">
        <is>
          <t>ရွှေမြင်း/ဦးဝင်းနိုင်</t>
        </is>
      </c>
      <c r="I173" s="727" t="n">
        <v>3</v>
      </c>
    </row>
    <row r="174" ht="20.4" customHeight="1">
      <c r="A174" s="730" t="n">
        <v>170</v>
      </c>
      <c r="B174" s="756" t="inlineStr">
        <is>
          <t>ဦးဝင်းတင့်</t>
        </is>
      </c>
      <c r="C174" s="758" t="inlineStr">
        <is>
          <t>D</t>
        </is>
      </c>
      <c r="D174" s="756" t="inlineStr">
        <is>
          <t>ဘုရားစု</t>
        </is>
      </c>
      <c r="E174" s="733" t="inlineStr">
        <is>
          <t>ဝမ်းတွင်းမြို့</t>
        </is>
      </c>
      <c r="F174" s="733" t="inlineStr">
        <is>
          <t>Van 2-3</t>
        </is>
      </c>
      <c r="G174" s="727" t="inlineStr">
        <is>
          <t>09-402719857</t>
        </is>
      </c>
      <c r="H174" s="734" t="inlineStr">
        <is>
          <t>ဦးဝင်းနိုင်</t>
        </is>
      </c>
      <c r="I174" s="727" t="n">
        <v>3</v>
      </c>
    </row>
    <row r="175" ht="20.4" customHeight="1">
      <c r="A175" s="733" t="n">
        <v>171</v>
      </c>
      <c r="B175" s="756" t="inlineStr">
        <is>
          <t>နှင်းပုလဲ</t>
        </is>
      </c>
      <c r="C175" s="758" t="inlineStr">
        <is>
          <t>D</t>
        </is>
      </c>
      <c r="D175" s="756" t="inlineStr">
        <is>
          <t>ဘုရားစု</t>
        </is>
      </c>
      <c r="E175" s="733" t="inlineStr">
        <is>
          <t>ဝမ်းတွင်းမြို့</t>
        </is>
      </c>
      <c r="F175" s="733" t="inlineStr">
        <is>
          <t>Van 2-3</t>
        </is>
      </c>
      <c r="G175" s="727" t="inlineStr">
        <is>
          <t>09-402517192</t>
        </is>
      </c>
      <c r="H175" s="737" t="inlineStr">
        <is>
          <t>ရွှေမြင်း</t>
        </is>
      </c>
      <c r="I175" s="727" t="n">
        <v>3</v>
      </c>
    </row>
    <row r="176" ht="20.4" customHeight="1">
      <c r="A176" s="730" t="n">
        <v>172</v>
      </c>
      <c r="B176" s="756" t="inlineStr">
        <is>
          <t>ကိုကျော်သူ</t>
        </is>
      </c>
      <c r="C176" s="758" t="inlineStr">
        <is>
          <t>D</t>
        </is>
      </c>
      <c r="D176" s="756" t="inlineStr">
        <is>
          <t>သီးကုန်း</t>
        </is>
      </c>
      <c r="E176" s="733" t="inlineStr">
        <is>
          <t>ဝမ်းတွင်းမြို့</t>
        </is>
      </c>
      <c r="F176" s="733" t="inlineStr">
        <is>
          <t>Van 2-3</t>
        </is>
      </c>
      <c r="G176" s="727" t="inlineStr">
        <is>
          <t>09-256000903</t>
        </is>
      </c>
      <c r="H176" s="734" t="inlineStr">
        <is>
          <t>ဦးဝင်းနိုင်</t>
        </is>
      </c>
      <c r="I176" s="727" t="n">
        <v>3</v>
      </c>
    </row>
    <row r="177" ht="20.4" customHeight="1">
      <c r="A177" s="730" t="n">
        <v>173</v>
      </c>
      <c r="B177" s="756" t="inlineStr">
        <is>
          <t>ကိုဆန်းဦး</t>
        </is>
      </c>
      <c r="C177" s="758" t="inlineStr">
        <is>
          <t>D</t>
        </is>
      </c>
      <c r="D177" s="756" t="inlineStr">
        <is>
          <t>ဆပ်ခင်း</t>
        </is>
      </c>
      <c r="E177" s="733" t="inlineStr">
        <is>
          <t>ဝမ်းတွင်းမြို့</t>
        </is>
      </c>
      <c r="F177" s="733" t="inlineStr">
        <is>
          <t>Van 2-3</t>
        </is>
      </c>
      <c r="G177" s="748" t="inlineStr">
        <is>
          <t>09-799106577</t>
        </is>
      </c>
      <c r="H177" s="734" t="inlineStr">
        <is>
          <t>ရွှေမြင်း/ဦးဝင်းနိုင်</t>
        </is>
      </c>
      <c r="I177" s="727" t="n">
        <v>3</v>
      </c>
    </row>
    <row r="178" ht="20.4" customHeight="1">
      <c r="A178" s="730" t="n">
        <v>174</v>
      </c>
      <c r="B178" s="756" t="inlineStr">
        <is>
          <t>ကောင်းကင်မိုး</t>
        </is>
      </c>
      <c r="C178" s="758" t="inlineStr">
        <is>
          <t>D</t>
        </is>
      </c>
      <c r="D178" s="756" t="inlineStr">
        <is>
          <t>ရွှေတောင်</t>
        </is>
      </c>
      <c r="E178" s="733" t="inlineStr">
        <is>
          <t>ဝမ်းတွင်းမြို့</t>
        </is>
      </c>
      <c r="F178" s="733" t="inlineStr">
        <is>
          <t>Van 2-3</t>
        </is>
      </c>
      <c r="G178" s="748" t="inlineStr">
        <is>
          <t>09-452973686</t>
        </is>
      </c>
      <c r="H178" s="737" t="inlineStr">
        <is>
          <t>ဦးဝင်းနိုင်</t>
        </is>
      </c>
      <c r="I178" s="727" t="n">
        <v>3</v>
      </c>
    </row>
    <row r="179" ht="20.4" customHeight="1">
      <c r="A179" s="733" t="n">
        <v>175</v>
      </c>
      <c r="B179" s="756" t="inlineStr">
        <is>
          <t>ဝေလုအောင်</t>
        </is>
      </c>
      <c r="C179" s="758" t="inlineStr">
        <is>
          <t>D</t>
        </is>
      </c>
      <c r="D179" s="756" t="inlineStr">
        <is>
          <t>ရွှေတောင်</t>
        </is>
      </c>
      <c r="E179" s="733" t="inlineStr">
        <is>
          <t>ဝမ်းတွင်းမြို့</t>
        </is>
      </c>
      <c r="F179" s="733" t="inlineStr">
        <is>
          <t>Van 2-3</t>
        </is>
      </c>
      <c r="G179" s="727" t="n"/>
      <c r="H179" s="737" t="inlineStr">
        <is>
          <t>ဦးဝင်းနိုင်</t>
        </is>
      </c>
      <c r="I179" s="727" t="n">
        <v>3</v>
      </c>
    </row>
    <row r="180" ht="20.4" customHeight="1">
      <c r="A180" s="730" t="n">
        <v>176</v>
      </c>
      <c r="B180" s="756" t="inlineStr">
        <is>
          <t>မအိသူအောင်</t>
        </is>
      </c>
      <c r="C180" s="758" t="inlineStr">
        <is>
          <t>D</t>
        </is>
      </c>
      <c r="D180" s="756" t="inlineStr">
        <is>
          <t>ဆပ်ခင်း</t>
        </is>
      </c>
      <c r="E180" s="733" t="inlineStr">
        <is>
          <t>ဝမ်းတွင်းမြို့</t>
        </is>
      </c>
      <c r="F180" s="733" t="inlineStr">
        <is>
          <t>Van 2-3</t>
        </is>
      </c>
      <c r="G180" s="727" t="n"/>
      <c r="H180" s="734" t="inlineStr">
        <is>
          <t>ရွှေမြင်း</t>
        </is>
      </c>
      <c r="I180" s="727" t="n">
        <v>3</v>
      </c>
    </row>
    <row r="181" ht="20.4" customHeight="1">
      <c r="A181" s="730" t="n">
        <v>177</v>
      </c>
      <c r="B181" s="756" t="inlineStr">
        <is>
          <t>ကိုကျောက်ခဲ</t>
        </is>
      </c>
      <c r="C181" s="758" t="inlineStr">
        <is>
          <t>D</t>
        </is>
      </c>
      <c r="D181" s="756" t="inlineStr">
        <is>
          <t>သီးကုန်း</t>
        </is>
      </c>
      <c r="E181" s="733" t="inlineStr">
        <is>
          <t>ဝမ်းတွင်းမြို့</t>
        </is>
      </c>
      <c r="F181" s="733" t="inlineStr">
        <is>
          <t>Van 2-3</t>
        </is>
      </c>
      <c r="G181" s="727" t="inlineStr">
        <is>
          <t>09-683877641</t>
        </is>
      </c>
      <c r="H181" s="734" t="inlineStr">
        <is>
          <t>ရွှေမြင်း</t>
        </is>
      </c>
      <c r="I181" s="727" t="n">
        <v>3</v>
      </c>
    </row>
    <row r="182" ht="20.4" customHeight="1">
      <c r="A182" s="730" t="n">
        <v>178</v>
      </c>
      <c r="B182" s="756" t="inlineStr">
        <is>
          <t>ကိုဆန်းပွင့်</t>
        </is>
      </c>
      <c r="C182" s="758" t="inlineStr">
        <is>
          <t>D</t>
        </is>
      </c>
      <c r="D182" s="756" t="inlineStr">
        <is>
          <t>ညောင်ပင်လှ</t>
        </is>
      </c>
      <c r="E182" s="733" t="inlineStr">
        <is>
          <t>ဝမ်းတွင်းမြို့</t>
        </is>
      </c>
      <c r="F182" s="733" t="inlineStr">
        <is>
          <t>Van 2-3</t>
        </is>
      </c>
      <c r="G182" s="727" t="inlineStr">
        <is>
          <t>09-695063955</t>
        </is>
      </c>
      <c r="H182" s="734" t="inlineStr">
        <is>
          <t>ဦးဝင်းနိုင်</t>
        </is>
      </c>
      <c r="I182" s="727" t="n">
        <v>3</v>
      </c>
    </row>
    <row r="183" ht="20.4" customHeight="1">
      <c r="A183" s="733" t="n">
        <v>179</v>
      </c>
      <c r="B183" s="756" t="inlineStr">
        <is>
          <t>မနှင်းနှင်းခိုင်</t>
        </is>
      </c>
      <c r="C183" s="759" t="inlineStr">
        <is>
          <t>D</t>
        </is>
      </c>
      <c r="D183" s="756" t="inlineStr">
        <is>
          <t>ဆပ်ခင်း</t>
        </is>
      </c>
      <c r="E183" s="733" t="inlineStr">
        <is>
          <t>ဝမ်းတွင်းမြို့</t>
        </is>
      </c>
      <c r="F183" s="733" t="inlineStr">
        <is>
          <t>Van 2-3</t>
        </is>
      </c>
      <c r="G183" s="727" t="inlineStr">
        <is>
          <t>09-674869581</t>
        </is>
      </c>
      <c r="H183" s="734" t="inlineStr">
        <is>
          <t>ရွှေမြင်း</t>
        </is>
      </c>
      <c r="I183" s="727" t="n">
        <v>3</v>
      </c>
    </row>
    <row r="184" ht="20.4" customHeight="1">
      <c r="A184" s="730" t="n">
        <v>180</v>
      </c>
      <c r="B184" s="756" t="inlineStr">
        <is>
          <t>ဦးဝင်းနိုင်</t>
        </is>
      </c>
      <c r="C184" s="758" t="inlineStr">
        <is>
          <t>D</t>
        </is>
      </c>
      <c r="D184" s="756" t="inlineStr">
        <is>
          <t>ခင်ကြီး</t>
        </is>
      </c>
      <c r="E184" s="733" t="inlineStr">
        <is>
          <t>ဝမ်းတွင်းမြို့</t>
        </is>
      </c>
      <c r="F184" s="733" t="inlineStr">
        <is>
          <t>Van 2-4</t>
        </is>
      </c>
      <c r="G184" s="737" t="inlineStr">
        <is>
          <t>09-402294900</t>
        </is>
      </c>
      <c r="H184" s="740" t="inlineStr">
        <is>
          <t>ဦးဝင်းနိုင်</t>
        </is>
      </c>
      <c r="I184" s="760" t="n">
        <v>3</v>
      </c>
    </row>
    <row r="185" ht="20.4" customHeight="1">
      <c r="A185" s="730" t="n">
        <v>181</v>
      </c>
      <c r="B185" s="756" t="inlineStr">
        <is>
          <t>ဦးမြင့်အောင်</t>
        </is>
      </c>
      <c r="C185" s="758" t="inlineStr">
        <is>
          <t>D</t>
        </is>
      </c>
      <c r="D185" s="756" t="inlineStr">
        <is>
          <t>ခင်ကြီး</t>
        </is>
      </c>
      <c r="E185" s="733" t="inlineStr">
        <is>
          <t>ဝမ်းတွင်းမြို့</t>
        </is>
      </c>
      <c r="F185" s="733" t="inlineStr">
        <is>
          <t>Van 2-4</t>
        </is>
      </c>
      <c r="G185" s="737" t="inlineStr">
        <is>
          <t>09-402559772</t>
        </is>
      </c>
      <c r="H185" s="740" t="inlineStr">
        <is>
          <t>ဦးဝင်းနိုင်</t>
        </is>
      </c>
      <c r="I185" s="760" t="n">
        <v>3</v>
      </c>
    </row>
    <row r="186" ht="20.4" customHeight="1">
      <c r="A186" s="730" t="n">
        <v>182</v>
      </c>
      <c r="B186" s="756" t="inlineStr">
        <is>
          <t>ကိုချစ်လှ</t>
        </is>
      </c>
      <c r="C186" s="758" t="inlineStr">
        <is>
          <t>D</t>
        </is>
      </c>
      <c r="D186" s="756" t="inlineStr">
        <is>
          <t>ဆူးပန်း</t>
        </is>
      </c>
      <c r="E186" s="733" t="inlineStr">
        <is>
          <t>ဝမ်းတွင်းမြို့</t>
        </is>
      </c>
      <c r="F186" s="733" t="inlineStr">
        <is>
          <t>Van 2-4</t>
        </is>
      </c>
      <c r="G186" s="737" t="inlineStr">
        <is>
          <t>09-762666022</t>
        </is>
      </c>
      <c r="H186" s="740" t="inlineStr">
        <is>
          <t>ဦးဝင်းနိုင်</t>
        </is>
      </c>
      <c r="I186" s="760" t="n">
        <v>3</v>
      </c>
    </row>
    <row r="187" ht="20.4" customHeight="1">
      <c r="A187" s="733" t="n">
        <v>183</v>
      </c>
      <c r="B187" s="756" t="inlineStr">
        <is>
          <t>ကိုသန့်ဇင်</t>
        </is>
      </c>
      <c r="C187" s="758" t="inlineStr">
        <is>
          <t>D</t>
        </is>
      </c>
      <c r="D187" s="756" t="inlineStr">
        <is>
          <t>ကံစွယ်</t>
        </is>
      </c>
      <c r="E187" s="733" t="inlineStr">
        <is>
          <t>ဝမ်းတွင်းမြို့</t>
        </is>
      </c>
      <c r="F187" s="733" t="inlineStr">
        <is>
          <t>Van 2-4</t>
        </is>
      </c>
      <c r="G187" s="737" t="n"/>
      <c r="H187" s="740" t="inlineStr">
        <is>
          <t>ဦးဝင်းနိုင်</t>
        </is>
      </c>
      <c r="I187" s="760" t="n">
        <v>3</v>
      </c>
    </row>
    <row r="188" ht="20.4" customHeight="1">
      <c r="A188" s="730" t="n">
        <v>184</v>
      </c>
      <c r="B188" s="756" t="inlineStr">
        <is>
          <t>ကိုနိုင်လင်း</t>
        </is>
      </c>
      <c r="C188" s="758" t="inlineStr">
        <is>
          <t>D</t>
        </is>
      </c>
      <c r="D188" s="756" t="inlineStr">
        <is>
          <t>ဂုဏ်ရွာ</t>
        </is>
      </c>
      <c r="E188" s="733" t="inlineStr">
        <is>
          <t>ဝမ်းတွင်းမြို့</t>
        </is>
      </c>
      <c r="F188" s="733" t="inlineStr">
        <is>
          <t>Van 2-4</t>
        </is>
      </c>
      <c r="G188" s="727" t="inlineStr">
        <is>
          <t>09-677627999</t>
        </is>
      </c>
      <c r="H188" s="740" t="inlineStr">
        <is>
          <t>ဦးဝင်းနိုင်</t>
        </is>
      </c>
      <c r="I188" s="760" t="n">
        <v>3</v>
      </c>
    </row>
    <row r="189" ht="20.4" customHeight="1">
      <c r="A189" s="730" t="n">
        <v>185</v>
      </c>
      <c r="B189" s="756" t="inlineStr">
        <is>
          <t>ကိုဇော်ဝင်း</t>
        </is>
      </c>
      <c r="C189" s="758" t="inlineStr">
        <is>
          <t>D</t>
        </is>
      </c>
      <c r="D189" s="756" t="inlineStr">
        <is>
          <t>မကျီးအုပ်</t>
        </is>
      </c>
      <c r="E189" s="733" t="inlineStr">
        <is>
          <t>ဝမ်းတွင်းမြို့</t>
        </is>
      </c>
      <c r="F189" s="733" t="inlineStr">
        <is>
          <t>Van 2-4</t>
        </is>
      </c>
      <c r="G189" s="727" t="inlineStr">
        <is>
          <t>09-797226983</t>
        </is>
      </c>
      <c r="H189" s="740" t="inlineStr">
        <is>
          <t>ဦးဝင်းနိုင်</t>
        </is>
      </c>
      <c r="I189" s="760" t="n">
        <v>3</v>
      </c>
    </row>
    <row r="190" ht="20.4" customHeight="1">
      <c r="A190" s="730" t="n">
        <v>186</v>
      </c>
      <c r="B190" s="756" t="inlineStr">
        <is>
          <t>မိုးကောင်းကင်</t>
        </is>
      </c>
      <c r="C190" s="758" t="inlineStr">
        <is>
          <t>D</t>
        </is>
      </c>
      <c r="D190" s="756" t="inlineStr">
        <is>
          <t>သဲတော</t>
        </is>
      </c>
      <c r="E190" s="733" t="inlineStr">
        <is>
          <t>ဝမ်းတွင်းမြို့</t>
        </is>
      </c>
      <c r="F190" s="733" t="inlineStr">
        <is>
          <t>Van 2-4</t>
        </is>
      </c>
      <c r="G190" s="737" t="inlineStr">
        <is>
          <t>09-402634209</t>
        </is>
      </c>
      <c r="H190" s="740" t="inlineStr">
        <is>
          <t>ဦးဝင်းနိုင်</t>
        </is>
      </c>
      <c r="I190" s="760" t="n">
        <v>3</v>
      </c>
    </row>
    <row r="191" ht="20.4" customHeight="1">
      <c r="A191" s="733" t="n">
        <v>187</v>
      </c>
      <c r="B191" s="756" t="inlineStr">
        <is>
          <t>တောသားကြီး</t>
        </is>
      </c>
      <c r="C191" s="758" t="inlineStr">
        <is>
          <t>D</t>
        </is>
      </c>
      <c r="D191" s="756" t="inlineStr">
        <is>
          <t>သဲတော</t>
        </is>
      </c>
      <c r="E191" s="733" t="inlineStr">
        <is>
          <t>ဝမ်းတွင်းမြို့</t>
        </is>
      </c>
      <c r="F191" s="733" t="inlineStr">
        <is>
          <t>Van 2-4</t>
        </is>
      </c>
      <c r="G191" s="737" t="inlineStr">
        <is>
          <t>09-444270440</t>
        </is>
      </c>
      <c r="H191" s="740" t="inlineStr">
        <is>
          <t>ဦးဝင်းနိုင်</t>
        </is>
      </c>
      <c r="I191" s="760" t="n">
        <v>3</v>
      </c>
    </row>
    <row r="192" ht="20.4" customHeight="1">
      <c r="A192" s="730" t="n">
        <v>188</v>
      </c>
      <c r="B192" s="758" t="inlineStr">
        <is>
          <t>ကိုအောင်မင်းလွင်</t>
        </is>
      </c>
      <c r="C192" s="758" t="inlineStr">
        <is>
          <t>D</t>
        </is>
      </c>
      <c r="D192" s="758" t="inlineStr">
        <is>
          <t>ရိုးစုံ</t>
        </is>
      </c>
      <c r="E192" s="733" t="inlineStr">
        <is>
          <t>ဝမ်းတွင်းမြို့</t>
        </is>
      </c>
      <c r="F192" s="733" t="inlineStr">
        <is>
          <t>Van 2-4</t>
        </is>
      </c>
      <c r="G192" s="727" t="inlineStr">
        <is>
          <t>09-681820960</t>
        </is>
      </c>
      <c r="H192" s="740" t="inlineStr">
        <is>
          <t>ဦးဝင်းနိုင်</t>
        </is>
      </c>
      <c r="I192" s="760" t="n">
        <v>3</v>
      </c>
    </row>
    <row r="193" ht="20.4" customHeight="1">
      <c r="A193" s="730" t="n">
        <v>189</v>
      </c>
      <c r="B193" s="758" t="inlineStr">
        <is>
          <t>အမွှာညီမ</t>
        </is>
      </c>
      <c r="C193" s="758" t="inlineStr">
        <is>
          <t>D</t>
        </is>
      </c>
      <c r="D193" s="756" t="inlineStr">
        <is>
          <t>မကျီးအုပ်</t>
        </is>
      </c>
      <c r="E193" s="733" t="inlineStr">
        <is>
          <t>ဝမ်းတွင်းမြို့</t>
        </is>
      </c>
      <c r="F193" s="733" t="inlineStr">
        <is>
          <t>Van 2-4</t>
        </is>
      </c>
      <c r="G193" s="727" t="n"/>
      <c r="H193" s="740" t="inlineStr">
        <is>
          <t>ဦးဝင်းနိုင်</t>
        </is>
      </c>
      <c r="I193" s="760" t="n">
        <v>3</v>
      </c>
    </row>
    <row r="194" ht="20.4" customHeight="1">
      <c r="A194" s="730" t="n">
        <v>190</v>
      </c>
      <c r="B194" s="758" t="inlineStr">
        <is>
          <t>ရွှေတမာတန်း</t>
        </is>
      </c>
      <c r="C194" s="758" t="inlineStr">
        <is>
          <t>D</t>
        </is>
      </c>
      <c r="D194" s="758" t="inlineStr">
        <is>
          <t>သဲတော</t>
        </is>
      </c>
      <c r="E194" s="733" t="inlineStr">
        <is>
          <t>ဝမ်းတွင်းမြို့</t>
        </is>
      </c>
      <c r="F194" s="733" t="inlineStr">
        <is>
          <t>Van 2-4</t>
        </is>
      </c>
      <c r="G194" s="737" t="n"/>
      <c r="H194" s="740" t="inlineStr">
        <is>
          <t>ဦးဝင်းနိုင်</t>
        </is>
      </c>
      <c r="I194" s="760" t="n">
        <v>3</v>
      </c>
    </row>
    <row r="195" ht="20.4" customHeight="1">
      <c r="A195" s="733" t="n">
        <v>191</v>
      </c>
      <c r="B195" s="758" t="inlineStr">
        <is>
          <t>ကိုရင်ကြီး</t>
        </is>
      </c>
      <c r="C195" s="758" t="inlineStr">
        <is>
          <t>D</t>
        </is>
      </c>
      <c r="D195" s="758" t="inlineStr">
        <is>
          <t>ကံစွယ်</t>
        </is>
      </c>
      <c r="E195" s="733" t="inlineStr">
        <is>
          <t>ဝမ်းတွင်းမြို့</t>
        </is>
      </c>
      <c r="F195" s="733" t="inlineStr">
        <is>
          <t>Van 2-4</t>
        </is>
      </c>
      <c r="G195" s="727" t="n"/>
      <c r="H195" s="740" t="inlineStr">
        <is>
          <t>ဦးဝင်းနိုင်</t>
        </is>
      </c>
      <c r="I195" s="760" t="n">
        <v>3</v>
      </c>
    </row>
    <row r="196" ht="20.4" customHeight="1">
      <c r="A196" s="730" t="n">
        <v>192</v>
      </c>
      <c r="B196" s="758" t="inlineStr">
        <is>
          <t>ဒေါ်ကြူ</t>
        </is>
      </c>
      <c r="C196" s="758" t="inlineStr">
        <is>
          <t>D</t>
        </is>
      </c>
      <c r="D196" s="758" t="inlineStr">
        <is>
          <t>ခင်ပန်း</t>
        </is>
      </c>
      <c r="E196" s="733" t="inlineStr">
        <is>
          <t>ဝမ်းတွင်းမြို့</t>
        </is>
      </c>
      <c r="F196" s="733" t="inlineStr">
        <is>
          <t>Van 2-4</t>
        </is>
      </c>
      <c r="G196" s="727" t="inlineStr">
        <is>
          <t>09-669200283</t>
        </is>
      </c>
      <c r="H196" s="740" t="inlineStr">
        <is>
          <t>ဦးဝင်းနိုင်</t>
        </is>
      </c>
      <c r="I196" s="760" t="n">
        <v>3</v>
      </c>
    </row>
    <row r="197" ht="20.4" customHeight="1">
      <c r="A197" s="730" t="n">
        <v>193</v>
      </c>
      <c r="B197" s="756" t="inlineStr">
        <is>
          <t>ကိုပေါက်ကျိုင်း</t>
        </is>
      </c>
      <c r="C197" s="759" t="inlineStr">
        <is>
          <t>D</t>
        </is>
      </c>
      <c r="D197" s="756" t="inlineStr">
        <is>
          <t>သဖန်း</t>
        </is>
      </c>
      <c r="E197" s="733" t="inlineStr">
        <is>
          <t>ဝမ်းတွင်းမြို့</t>
        </is>
      </c>
      <c r="F197" s="733" t="inlineStr">
        <is>
          <t>Van 2-5</t>
        </is>
      </c>
      <c r="G197" s="761" t="inlineStr">
        <is>
          <t>09-880220294</t>
        </is>
      </c>
      <c r="H197" s="740" t="inlineStr">
        <is>
          <t>ကောင်းသန့်</t>
        </is>
      </c>
      <c r="I197" s="760" t="n">
        <v>3</v>
      </c>
    </row>
    <row r="198" ht="20.4" customHeight="1">
      <c r="A198" s="730" t="n">
        <v>194</v>
      </c>
      <c r="B198" s="756" t="inlineStr">
        <is>
          <t>မစန်းမြင့်</t>
        </is>
      </c>
      <c r="C198" s="759" t="inlineStr">
        <is>
          <t>D</t>
        </is>
      </c>
      <c r="D198" s="756" t="inlineStr">
        <is>
          <t>သဖန်း</t>
        </is>
      </c>
      <c r="E198" s="733" t="inlineStr">
        <is>
          <t>ဝမ်းတွင်းမြို့</t>
        </is>
      </c>
      <c r="F198" s="733" t="inlineStr">
        <is>
          <t>Van 2-5</t>
        </is>
      </c>
      <c r="G198" s="737" t="inlineStr">
        <is>
          <t>09-402273339</t>
        </is>
      </c>
      <c r="H198" s="740" t="inlineStr">
        <is>
          <t>ကောင်းသန့်</t>
        </is>
      </c>
      <c r="I198" s="760" t="n">
        <v>3</v>
      </c>
    </row>
    <row r="199" ht="20.4" customHeight="1">
      <c r="A199" s="733" t="n">
        <v>195</v>
      </c>
      <c r="B199" s="756" t="inlineStr">
        <is>
          <t>ဒေါ်ပေါရီ</t>
        </is>
      </c>
      <c r="C199" s="759" t="inlineStr">
        <is>
          <t>D</t>
        </is>
      </c>
      <c r="D199" s="756" t="inlineStr">
        <is>
          <t>အိုမတွေ့</t>
        </is>
      </c>
      <c r="E199" s="733" t="inlineStr">
        <is>
          <t>ဝမ်းတွင်းမြို့</t>
        </is>
      </c>
      <c r="F199" s="733" t="inlineStr">
        <is>
          <t>Van 2-5</t>
        </is>
      </c>
      <c r="G199" s="737" t="inlineStr">
        <is>
          <t>09-762304093</t>
        </is>
      </c>
      <c r="H199" s="740" t="inlineStr">
        <is>
          <t>ရွှေခြင်္သေ့</t>
        </is>
      </c>
      <c r="I199" s="760" t="n">
        <v>3</v>
      </c>
    </row>
    <row r="200" ht="20.4" customHeight="1">
      <c r="A200" s="730" t="n">
        <v>196</v>
      </c>
      <c r="B200" s="756" t="inlineStr">
        <is>
          <t>မသူဇာ</t>
        </is>
      </c>
      <c r="C200" s="759" t="inlineStr">
        <is>
          <t>D</t>
        </is>
      </c>
      <c r="D200" s="756" t="inlineStr">
        <is>
          <t>သစ်ပုလွေကန်</t>
        </is>
      </c>
      <c r="E200" s="733" t="inlineStr">
        <is>
          <t>ဝမ်းတွင်းမြို့</t>
        </is>
      </c>
      <c r="F200" s="733" t="inlineStr">
        <is>
          <t>Van 2-5</t>
        </is>
      </c>
      <c r="G200" s="737" t="inlineStr">
        <is>
          <t>09-943156429</t>
        </is>
      </c>
      <c r="H200" s="740" t="inlineStr">
        <is>
          <t>ဦးဝင်းနိုင်</t>
        </is>
      </c>
      <c r="I200" s="760" t="n">
        <v>3</v>
      </c>
    </row>
    <row r="201" ht="20.4" customHeight="1">
      <c r="A201" s="730" t="n">
        <v>197</v>
      </c>
      <c r="B201" s="756" t="inlineStr">
        <is>
          <t>မဝေဝေလွင်</t>
        </is>
      </c>
      <c r="C201" s="759" t="inlineStr">
        <is>
          <t>D</t>
        </is>
      </c>
      <c r="D201" s="756" t="inlineStr">
        <is>
          <t>သစ်ပုလွေကန်</t>
        </is>
      </c>
      <c r="E201" s="733" t="inlineStr">
        <is>
          <t>ဝမ်းတွင်းမြို့</t>
        </is>
      </c>
      <c r="F201" s="733" t="inlineStr">
        <is>
          <t>Van 2-5</t>
        </is>
      </c>
      <c r="G201" s="737" t="inlineStr">
        <is>
          <t>09-761363173</t>
        </is>
      </c>
      <c r="H201" s="740" t="inlineStr">
        <is>
          <t>ဦးဝင်းနိုင်</t>
        </is>
      </c>
      <c r="I201" s="760" t="n">
        <v>3</v>
      </c>
    </row>
    <row r="202" ht="20.4" customHeight="1">
      <c r="A202" s="730" t="n">
        <v>198</v>
      </c>
      <c r="B202" s="756" t="inlineStr">
        <is>
          <t>မသီတာဝင်း</t>
        </is>
      </c>
      <c r="C202" s="759" t="inlineStr">
        <is>
          <t>D</t>
        </is>
      </c>
      <c r="D202" s="756" t="inlineStr">
        <is>
          <t>ဝမ်းတွင်း</t>
        </is>
      </c>
      <c r="E202" s="733" t="inlineStr">
        <is>
          <t>ဝမ်းတွင်းမြို့</t>
        </is>
      </c>
      <c r="F202" s="733" t="inlineStr">
        <is>
          <t>Van 2-5</t>
        </is>
      </c>
      <c r="G202" s="737" t="inlineStr">
        <is>
          <t>09-790807538</t>
        </is>
      </c>
      <c r="H202" s="740" t="inlineStr">
        <is>
          <t>ဦးဝင်းနိုင်</t>
        </is>
      </c>
      <c r="I202" s="760" t="n">
        <v>3</v>
      </c>
    </row>
    <row r="203" ht="20.4" customHeight="1">
      <c r="A203" s="733" t="n">
        <v>199</v>
      </c>
      <c r="B203" s="756" t="inlineStr">
        <is>
          <t>မနှင်းဝေအောင်</t>
        </is>
      </c>
      <c r="C203" s="759" t="inlineStr">
        <is>
          <t>D</t>
        </is>
      </c>
      <c r="D203" s="756" t="inlineStr">
        <is>
          <t>ကျောင်းကုန်း</t>
        </is>
      </c>
      <c r="E203" s="733" t="inlineStr">
        <is>
          <t>ဝမ်းတွင်းမြို့</t>
        </is>
      </c>
      <c r="F203" s="733" t="inlineStr">
        <is>
          <t>Van 2-5</t>
        </is>
      </c>
      <c r="G203" s="737" t="inlineStr">
        <is>
          <t>09-789901252</t>
        </is>
      </c>
      <c r="H203" s="740" t="inlineStr">
        <is>
          <t>ရွှေမြင်း</t>
        </is>
      </c>
      <c r="I203" s="760" t="n">
        <v>3</v>
      </c>
    </row>
    <row r="204" ht="20.4" customHeight="1">
      <c r="A204" s="730" t="n">
        <v>200</v>
      </c>
      <c r="B204" s="756" t="inlineStr">
        <is>
          <t>မမူမူခိုင်</t>
        </is>
      </c>
      <c r="C204" s="759" t="inlineStr">
        <is>
          <t>D</t>
        </is>
      </c>
      <c r="D204" s="756" t="inlineStr">
        <is>
          <t>သစ်ပုလွေကန်</t>
        </is>
      </c>
      <c r="E204" s="733" t="inlineStr">
        <is>
          <t>ဝမ်းတွင်းမြို့</t>
        </is>
      </c>
      <c r="F204" s="733" t="inlineStr">
        <is>
          <t>Van 2-5</t>
        </is>
      </c>
      <c r="G204" s="735" t="inlineStr">
        <is>
          <t>09-667421139</t>
        </is>
      </c>
      <c r="H204" s="740" t="inlineStr">
        <is>
          <t>ဦးဝင်းနိုင်</t>
        </is>
      </c>
      <c r="I204" s="760" t="n">
        <v>3</v>
      </c>
    </row>
    <row r="205" ht="20.4" customHeight="1">
      <c r="A205" s="730" t="n">
        <v>201</v>
      </c>
      <c r="B205" s="756" t="inlineStr">
        <is>
          <t>ကိုမြင့်ဇော်ဦး</t>
        </is>
      </c>
      <c r="C205" s="759" t="inlineStr">
        <is>
          <t>D</t>
        </is>
      </c>
      <c r="D205" s="756" t="inlineStr">
        <is>
          <t>သဖန်း</t>
        </is>
      </c>
      <c r="E205" s="733" t="inlineStr">
        <is>
          <t>ဝမ်းတွင်းမြို့</t>
        </is>
      </c>
      <c r="F205" s="733" t="inlineStr">
        <is>
          <t>Van 2-5</t>
        </is>
      </c>
      <c r="G205" s="762" t="inlineStr">
        <is>
          <t>09-440219115</t>
        </is>
      </c>
      <c r="H205" s="740" t="inlineStr">
        <is>
          <t>ကောင်းသန့်</t>
        </is>
      </c>
      <c r="I205" s="760" t="n">
        <v>3</v>
      </c>
    </row>
    <row r="206" ht="20.4" customHeight="1">
      <c r="A206" s="730" t="n">
        <v>202</v>
      </c>
      <c r="B206" s="756" t="inlineStr">
        <is>
          <t>မွန်မွန်ကို</t>
        </is>
      </c>
      <c r="C206" s="763" t="inlineStr">
        <is>
          <t>C</t>
        </is>
      </c>
      <c r="D206" s="756" t="inlineStr">
        <is>
          <t>အင်းကုန်း</t>
        </is>
      </c>
      <c r="E206" s="733" t="inlineStr">
        <is>
          <t>ဝမ်းတွင်းမြို့</t>
        </is>
      </c>
      <c r="F206" s="733" t="inlineStr">
        <is>
          <t>Van 2-6</t>
        </is>
      </c>
      <c r="G206" s="733" t="inlineStr">
        <is>
          <t>09-767711960</t>
        </is>
      </c>
      <c r="H206" s="740" t="inlineStr">
        <is>
          <t>ရွှေမြင်း</t>
        </is>
      </c>
      <c r="I206" s="733" t="n">
        <v>3</v>
      </c>
    </row>
    <row r="207" ht="20.4" customHeight="1">
      <c r="A207" s="733" t="n">
        <v>203</v>
      </c>
      <c r="B207" s="756" t="inlineStr">
        <is>
          <t>မခင်ဝင်းရီ</t>
        </is>
      </c>
      <c r="C207" s="705" t="inlineStr">
        <is>
          <t>D</t>
        </is>
      </c>
      <c r="D207" s="756" t="inlineStr">
        <is>
          <t>ကန်အောက်</t>
        </is>
      </c>
      <c r="E207" s="733" t="inlineStr">
        <is>
          <t>ဝမ်းတွင်းမြို့</t>
        </is>
      </c>
      <c r="F207" s="733" t="inlineStr">
        <is>
          <t>Van 2-6</t>
        </is>
      </c>
      <c r="G207" s="733" t="inlineStr">
        <is>
          <t>09-677453417</t>
        </is>
      </c>
      <c r="H207" s="740" t="inlineStr">
        <is>
          <t>ရွှေခြင်္သေ့</t>
        </is>
      </c>
      <c r="I207" s="733" t="n">
        <v>3</v>
      </c>
    </row>
    <row r="208" ht="20.4" customHeight="1">
      <c r="A208" s="730" t="n">
        <v>204</v>
      </c>
      <c r="B208" s="756" t="inlineStr">
        <is>
          <t>ကိုမောင်ကြည်</t>
        </is>
      </c>
      <c r="C208" s="759" t="inlineStr">
        <is>
          <t>D</t>
        </is>
      </c>
      <c r="D208" s="756" t="inlineStr">
        <is>
          <t>ကုက္ကိုခါးလှ</t>
        </is>
      </c>
      <c r="E208" s="733" t="inlineStr">
        <is>
          <t>ဝမ်းတွင်းမြို့</t>
        </is>
      </c>
      <c r="F208" s="733" t="inlineStr">
        <is>
          <t>Van 2-6</t>
        </is>
      </c>
      <c r="G208" s="733" t="inlineStr">
        <is>
          <t>09-772129693</t>
        </is>
      </c>
      <c r="H208" s="740" t="inlineStr">
        <is>
          <t>ရွှေခြင်္သေ့</t>
        </is>
      </c>
      <c r="I208" s="733" t="n">
        <v>3</v>
      </c>
    </row>
    <row r="209" ht="20.4" customHeight="1">
      <c r="A209" s="730" t="n">
        <v>205</v>
      </c>
      <c r="B209" s="756" t="inlineStr">
        <is>
          <t>မချိုသဲ</t>
        </is>
      </c>
      <c r="C209" s="759" t="inlineStr">
        <is>
          <t>D</t>
        </is>
      </c>
      <c r="D209" s="756" t="inlineStr">
        <is>
          <t>အင်းကုန်း</t>
        </is>
      </c>
      <c r="E209" s="733" t="inlineStr">
        <is>
          <t>ဝမ်းတွင်းမြို့</t>
        </is>
      </c>
      <c r="F209" s="733" t="inlineStr">
        <is>
          <t>Van 2-6</t>
        </is>
      </c>
      <c r="G209" s="733" t="inlineStr">
        <is>
          <t>09-691111605</t>
        </is>
      </c>
      <c r="H209" s="740" t="inlineStr">
        <is>
          <t>ရွှေခြင်္သေ့</t>
        </is>
      </c>
      <c r="I209" s="733" t="n">
        <v>3</v>
      </c>
    </row>
    <row r="210" ht="20.4" customHeight="1">
      <c r="A210" s="730" t="n">
        <v>206</v>
      </c>
      <c r="B210" s="756" t="inlineStr">
        <is>
          <t>ကိုကျော်သင်း</t>
        </is>
      </c>
      <c r="C210" s="759" t="inlineStr">
        <is>
          <t>D</t>
        </is>
      </c>
      <c r="D210" s="756" t="inlineStr">
        <is>
          <t>ကုက္ကိုခါးလှ</t>
        </is>
      </c>
      <c r="E210" s="733" t="inlineStr">
        <is>
          <t>ဝမ်းတွင်းမြို့</t>
        </is>
      </c>
      <c r="F210" s="733" t="inlineStr">
        <is>
          <t>Van 2-6</t>
        </is>
      </c>
      <c r="G210" s="733" t="inlineStr">
        <is>
          <t>09-756306476</t>
        </is>
      </c>
      <c r="H210" s="740" t="inlineStr">
        <is>
          <t>ရွှေခြင်္သေ့</t>
        </is>
      </c>
      <c r="I210" s="733" t="n">
        <v>3</v>
      </c>
    </row>
    <row r="211" ht="20.4" customHeight="1">
      <c r="A211" s="733" t="n">
        <v>207</v>
      </c>
      <c r="B211" s="756" t="inlineStr">
        <is>
          <t>မဥ္ဇူ</t>
        </is>
      </c>
      <c r="C211" s="759" t="inlineStr">
        <is>
          <t>D</t>
        </is>
      </c>
      <c r="D211" s="764" t="inlineStr">
        <is>
          <t>တဲစု</t>
        </is>
      </c>
      <c r="E211" s="733" t="inlineStr">
        <is>
          <t>ဝမ်းတွင်းမြို့</t>
        </is>
      </c>
      <c r="F211" s="733" t="inlineStr">
        <is>
          <t>Van 2-6</t>
        </is>
      </c>
      <c r="G211" s="733" t="inlineStr">
        <is>
          <t>09-770362355</t>
        </is>
      </c>
      <c r="H211" s="740" t="inlineStr">
        <is>
          <t>ရွှေခြင်္သေ့</t>
        </is>
      </c>
      <c r="I211" s="733" t="n">
        <v>3</v>
      </c>
    </row>
    <row r="212" ht="20.4" customHeight="1">
      <c r="A212" s="730" t="n">
        <v>208</v>
      </c>
      <c r="B212" s="756" t="inlineStr">
        <is>
          <t>ရွှေညီမ</t>
        </is>
      </c>
      <c r="C212" s="756" t="inlineStr">
        <is>
          <t>D</t>
        </is>
      </c>
      <c r="D212" s="756" t="inlineStr">
        <is>
          <t>အုတ်တွင်း</t>
        </is>
      </c>
      <c r="E212" s="733" t="inlineStr">
        <is>
          <t>သာစည်မြို့</t>
        </is>
      </c>
      <c r="F212" s="733" t="inlineStr">
        <is>
          <t>Van 2-7</t>
        </is>
      </c>
      <c r="G212" s="748" t="inlineStr">
        <is>
          <t>09-682274638</t>
        </is>
      </c>
      <c r="H212" s="737" t="inlineStr">
        <is>
          <t>ဦးဝင်းနိုင်/ဖိုးသာထူး</t>
        </is>
      </c>
      <c r="I212" s="733" t="n">
        <v>3</v>
      </c>
    </row>
    <row r="213" ht="20.4" customHeight="1">
      <c r="A213" s="730" t="n">
        <v>209</v>
      </c>
      <c r="B213" s="756" t="inlineStr">
        <is>
          <t>သုခစံ</t>
        </is>
      </c>
      <c r="C213" s="756" t="inlineStr">
        <is>
          <t>D</t>
        </is>
      </c>
      <c r="D213" s="756" t="inlineStr">
        <is>
          <t>နန်းတော်ကုန်း</t>
        </is>
      </c>
      <c r="E213" s="733" t="inlineStr">
        <is>
          <t>သာစည်မြို့</t>
        </is>
      </c>
      <c r="F213" s="733" t="inlineStr">
        <is>
          <t>Van 2-7</t>
        </is>
      </c>
      <c r="G213" s="727" t="inlineStr">
        <is>
          <t>09-689556854</t>
        </is>
      </c>
      <c r="H213" s="737" t="inlineStr">
        <is>
          <t>ဖိုးသာထူး</t>
        </is>
      </c>
      <c r="I213" s="733" t="n">
        <v>3</v>
      </c>
    </row>
    <row r="214" ht="20.4" customHeight="1">
      <c r="A214" s="730" t="n">
        <v>210</v>
      </c>
      <c r="B214" s="756" t="inlineStr">
        <is>
          <t>ကိုသိန်းလွင်</t>
        </is>
      </c>
      <c r="C214" s="756" t="inlineStr">
        <is>
          <t>D</t>
        </is>
      </c>
      <c r="D214" s="756" t="inlineStr">
        <is>
          <t>အုတ်တွင်း</t>
        </is>
      </c>
      <c r="E214" s="733" t="inlineStr">
        <is>
          <t>သာစည်မြို့</t>
        </is>
      </c>
      <c r="F214" s="733" t="inlineStr">
        <is>
          <t>Van 2-7</t>
        </is>
      </c>
      <c r="G214" s="727" t="inlineStr">
        <is>
          <t>09-664673161</t>
        </is>
      </c>
      <c r="H214" s="735" t="inlineStr">
        <is>
          <t>ရှိုင်းစတား</t>
        </is>
      </c>
      <c r="I214" s="733" t="n">
        <v>3</v>
      </c>
    </row>
    <row r="215" ht="20.4" customHeight="1">
      <c r="A215" s="733" t="n">
        <v>211</v>
      </c>
      <c r="B215" s="756" t="inlineStr">
        <is>
          <t>ကိုဝင်းလှိုင်</t>
        </is>
      </c>
      <c r="C215" s="756" t="inlineStr">
        <is>
          <t>D</t>
        </is>
      </c>
      <c r="D215" s="756" t="inlineStr">
        <is>
          <t>အုတ်တွင်း</t>
        </is>
      </c>
      <c r="E215" s="733" t="inlineStr">
        <is>
          <t>သာစည်မြို့</t>
        </is>
      </c>
      <c r="F215" s="733" t="inlineStr">
        <is>
          <t>Van 2-7</t>
        </is>
      </c>
      <c r="G215" s="727" t="inlineStr">
        <is>
          <t>09-896210585</t>
        </is>
      </c>
      <c r="H215" s="735" t="inlineStr">
        <is>
          <t>ရှိုင်းစတား</t>
        </is>
      </c>
      <c r="I215" s="733" t="n">
        <v>3</v>
      </c>
    </row>
    <row r="216" ht="20.4" customHeight="1">
      <c r="A216" s="730" t="n">
        <v>212</v>
      </c>
      <c r="B216" s="756" t="inlineStr">
        <is>
          <t>ကိုရဲဇော်</t>
        </is>
      </c>
      <c r="C216" s="756" t="inlineStr">
        <is>
          <t>D</t>
        </is>
      </c>
      <c r="D216" s="756" t="inlineStr">
        <is>
          <t>အုတ်တွင်း</t>
        </is>
      </c>
      <c r="E216" s="733" t="inlineStr">
        <is>
          <t>သာစည်မြို့</t>
        </is>
      </c>
      <c r="F216" s="733" t="inlineStr">
        <is>
          <t>Van 2-7</t>
        </is>
      </c>
      <c r="G216" s="727" t="inlineStr">
        <is>
          <t>09-686665693</t>
        </is>
      </c>
      <c r="H216" s="735" t="inlineStr">
        <is>
          <t>ရှိုင်းစတား</t>
        </is>
      </c>
      <c r="I216" s="733" t="n">
        <v>3</v>
      </c>
    </row>
    <row r="217" ht="20.4" customHeight="1">
      <c r="A217" s="730" t="n">
        <v>213</v>
      </c>
      <c r="B217" s="756" t="inlineStr">
        <is>
          <t>မခိုင်</t>
        </is>
      </c>
      <c r="C217" s="756" t="inlineStr">
        <is>
          <t>D</t>
        </is>
      </c>
      <c r="D217" s="756" t="inlineStr">
        <is>
          <t>အုတ်တွင်း</t>
        </is>
      </c>
      <c r="E217" s="733" t="inlineStr">
        <is>
          <t>သာစည်မြို့</t>
        </is>
      </c>
      <c r="F217" s="733" t="inlineStr">
        <is>
          <t>Van 2-7</t>
        </is>
      </c>
      <c r="G217" s="727" t="inlineStr">
        <is>
          <t>09-663237043</t>
        </is>
      </c>
      <c r="H217" s="735" t="inlineStr">
        <is>
          <t>ရှိုင်းစတား</t>
        </is>
      </c>
      <c r="I217" s="733" t="n">
        <v>3</v>
      </c>
    </row>
    <row r="218" ht="20.4" customHeight="1">
      <c r="A218" s="730" t="n">
        <v>214</v>
      </c>
      <c r="B218" s="756" t="inlineStr">
        <is>
          <t>မခင်စိုးဝင်း</t>
        </is>
      </c>
      <c r="C218" s="756" t="inlineStr">
        <is>
          <t>D</t>
        </is>
      </c>
      <c r="D218" s="756" t="inlineStr">
        <is>
          <t>အုတ်တွင်း</t>
        </is>
      </c>
      <c r="E218" s="733" t="inlineStr">
        <is>
          <t>သာစည်မြို့</t>
        </is>
      </c>
      <c r="F218" s="733" t="inlineStr">
        <is>
          <t>Van 2-7</t>
        </is>
      </c>
      <c r="G218" s="727" t="inlineStr">
        <is>
          <t>09-677486532</t>
        </is>
      </c>
      <c r="H218" s="735" t="inlineStr">
        <is>
          <t>ရှိုင်းစတား</t>
        </is>
      </c>
      <c r="I218" s="733" t="n">
        <v>3</v>
      </c>
    </row>
    <row r="219" ht="20.4" customHeight="1">
      <c r="A219" s="733" t="n">
        <v>215</v>
      </c>
      <c r="B219" s="756" t="inlineStr">
        <is>
          <t>ကိုမြင့်အောင်</t>
        </is>
      </c>
      <c r="C219" s="756" t="inlineStr">
        <is>
          <t>D</t>
        </is>
      </c>
      <c r="D219" s="756" t="inlineStr">
        <is>
          <t>နန်းတော်ကုန်း</t>
        </is>
      </c>
      <c r="E219" s="733" t="inlineStr">
        <is>
          <t>သာစည်မြို့</t>
        </is>
      </c>
      <c r="F219" s="733" t="inlineStr">
        <is>
          <t>Van 2-7</t>
        </is>
      </c>
      <c r="G219" s="727" t="inlineStr">
        <is>
          <t>09-670754325</t>
        </is>
      </c>
      <c r="H219" s="735" t="inlineStr">
        <is>
          <t>ရှိုင်းစတား</t>
        </is>
      </c>
      <c r="I219" s="733" t="n">
        <v>3</v>
      </c>
    </row>
    <row r="220" ht="20.4" customHeight="1">
      <c r="A220" s="730" t="n">
        <v>216</v>
      </c>
      <c r="B220" s="756" t="inlineStr">
        <is>
          <t>စိန်ငွေနှင်း</t>
        </is>
      </c>
      <c r="C220" s="756" t="inlineStr">
        <is>
          <t>D</t>
        </is>
      </c>
      <c r="D220" s="756" t="inlineStr">
        <is>
          <t>ဇဝင်း</t>
        </is>
      </c>
      <c r="E220" s="733" t="inlineStr">
        <is>
          <t>သာစည်မြို့</t>
        </is>
      </c>
      <c r="F220" s="733" t="inlineStr">
        <is>
          <t>Van 2-7</t>
        </is>
      </c>
      <c r="G220" s="727" t="inlineStr">
        <is>
          <t>09-691198005</t>
        </is>
      </c>
      <c r="H220" s="735" t="inlineStr">
        <is>
          <t>ရှိုင်းစတား</t>
        </is>
      </c>
      <c r="I220" s="733" t="n">
        <v>3</v>
      </c>
    </row>
    <row r="221" ht="20.4" customHeight="1">
      <c r="A221" s="730" t="n">
        <v>217</v>
      </c>
      <c r="B221" s="756" t="inlineStr">
        <is>
          <t>မိဘမေတ္တာ</t>
        </is>
      </c>
      <c r="C221" s="756" t="inlineStr">
        <is>
          <t>D</t>
        </is>
      </c>
      <c r="D221" s="756" t="inlineStr">
        <is>
          <t>မြောင်းဦး</t>
        </is>
      </c>
      <c r="E221" s="733" t="inlineStr">
        <is>
          <t>သာစည်မြို့</t>
        </is>
      </c>
      <c r="F221" s="733" t="inlineStr">
        <is>
          <t>Van 2-7</t>
        </is>
      </c>
      <c r="G221" s="727" t="inlineStr">
        <is>
          <t>09-695884801</t>
        </is>
      </c>
      <c r="H221" s="740" t="inlineStr">
        <is>
          <t>ရွှေမြင်း/ဟိဏ်းထက်</t>
        </is>
      </c>
      <c r="I221" s="733" t="n">
        <v>3</v>
      </c>
    </row>
    <row r="222" ht="20.4" customHeight="1">
      <c r="A222" s="730" t="n">
        <v>218</v>
      </c>
      <c r="B222" s="756" t="inlineStr">
        <is>
          <t>ကိုမြတ်စောင်းအောင်</t>
        </is>
      </c>
      <c r="C222" s="756" t="inlineStr">
        <is>
          <t>D</t>
        </is>
      </c>
      <c r="D222" s="756" t="inlineStr">
        <is>
          <t>မြောင်းဦး</t>
        </is>
      </c>
      <c r="E222" s="733" t="inlineStr">
        <is>
          <t>သာစည်မြို့</t>
        </is>
      </c>
      <c r="F222" s="733" t="inlineStr">
        <is>
          <t>Van 2-7</t>
        </is>
      </c>
      <c r="G222" s="727" t="inlineStr">
        <is>
          <t>09-402508768</t>
        </is>
      </c>
      <c r="H222" s="740" t="inlineStr">
        <is>
          <t>ရွှေမြင်း/ဟိဏ်းထက်</t>
        </is>
      </c>
      <c r="I222" s="733" t="n">
        <v>3</v>
      </c>
    </row>
    <row r="223" ht="20.4" customHeight="1">
      <c r="A223" s="733" t="n">
        <v>219</v>
      </c>
      <c r="B223" s="756" t="inlineStr">
        <is>
          <t>ကိုမိုးကျော်</t>
        </is>
      </c>
      <c r="C223" s="756" t="inlineStr">
        <is>
          <t>D</t>
        </is>
      </c>
      <c r="D223" s="756" t="inlineStr">
        <is>
          <t>မြောင်းဦး</t>
        </is>
      </c>
      <c r="E223" s="733" t="inlineStr">
        <is>
          <t>သာစည်မြို့</t>
        </is>
      </c>
      <c r="F223" s="733" t="inlineStr">
        <is>
          <t>Van 2-7</t>
        </is>
      </c>
      <c r="G223" s="727" t="inlineStr">
        <is>
          <t>09-677864440</t>
        </is>
      </c>
      <c r="H223" s="740" t="inlineStr">
        <is>
          <t>ရွှေမြင်း/ဟိဏ်းထက်</t>
        </is>
      </c>
      <c r="I223" s="733" t="n">
        <v>3</v>
      </c>
    </row>
    <row r="224" ht="20.4" customHeight="1">
      <c r="A224" s="730" t="n">
        <v>220</v>
      </c>
      <c r="B224" s="756" t="inlineStr">
        <is>
          <t>ကိုဇော်ဦး</t>
        </is>
      </c>
      <c r="C224" s="756" t="inlineStr">
        <is>
          <t>D</t>
        </is>
      </c>
      <c r="D224" s="756" t="inlineStr">
        <is>
          <t>မြောင်းဦး</t>
        </is>
      </c>
      <c r="E224" s="733" t="inlineStr">
        <is>
          <t>သာစည်မြို့</t>
        </is>
      </c>
      <c r="F224" s="733" t="inlineStr">
        <is>
          <t>Van 2-7</t>
        </is>
      </c>
      <c r="G224" s="727" t="inlineStr">
        <is>
          <t>09-688496016</t>
        </is>
      </c>
      <c r="H224" s="740" t="inlineStr">
        <is>
          <t>ရွှေမြင်း/ဟိဏ်းထက်</t>
        </is>
      </c>
      <c r="I224" s="733" t="n">
        <v>3</v>
      </c>
    </row>
    <row r="225" ht="20.4" customHeight="1">
      <c r="A225" s="730" t="n">
        <v>221</v>
      </c>
      <c r="B225" s="756" t="inlineStr">
        <is>
          <t>ကိုအောင်ဆန်းလင်း</t>
        </is>
      </c>
      <c r="C225" s="756" t="inlineStr">
        <is>
          <t>D</t>
        </is>
      </c>
      <c r="D225" s="756" t="inlineStr">
        <is>
          <t>မြောင်းဦး</t>
        </is>
      </c>
      <c r="E225" s="733" t="inlineStr">
        <is>
          <t>သာစည်မြို့</t>
        </is>
      </c>
      <c r="F225" s="733" t="inlineStr">
        <is>
          <t>Van 2-7</t>
        </is>
      </c>
      <c r="G225" s="727" t="inlineStr">
        <is>
          <t>09-793362513</t>
        </is>
      </c>
      <c r="H225" s="740" t="inlineStr">
        <is>
          <t>ရွှေမြင်း/ဟိဏ်းထက်</t>
        </is>
      </c>
      <c r="I225" s="733" t="n">
        <v>3</v>
      </c>
    </row>
    <row r="226" ht="20.4" customHeight="1">
      <c r="A226" s="730" t="n">
        <v>222</v>
      </c>
      <c r="B226" s="756" t="inlineStr">
        <is>
          <t>မဇင်မာဖြိုး</t>
        </is>
      </c>
      <c r="C226" s="756" t="inlineStr">
        <is>
          <t>D</t>
        </is>
      </c>
      <c r="D226" s="756" t="inlineStr">
        <is>
          <t>မြောင်းဦး</t>
        </is>
      </c>
      <c r="E226" s="733" t="inlineStr">
        <is>
          <t>သာစည်မြို့</t>
        </is>
      </c>
      <c r="F226" s="733" t="inlineStr">
        <is>
          <t>Van 2-7</t>
        </is>
      </c>
      <c r="G226" s="727" t="inlineStr">
        <is>
          <t>09-650413124</t>
        </is>
      </c>
      <c r="H226" s="740" t="inlineStr">
        <is>
          <t>ရွှေမြင်း/ဟိဏ်းထက်</t>
        </is>
      </c>
      <c r="I226" s="733" t="n">
        <v>3</v>
      </c>
    </row>
    <row r="227" ht="20.4" customHeight="1">
      <c r="A227" s="733" t="n">
        <v>223</v>
      </c>
      <c r="B227" s="756" t="inlineStr">
        <is>
          <t>မဇာခြည်ကျော်</t>
        </is>
      </c>
      <c r="C227" s="756" t="inlineStr">
        <is>
          <t>D</t>
        </is>
      </c>
      <c r="D227" s="756" t="inlineStr">
        <is>
          <t>အုတ်တွင်း</t>
        </is>
      </c>
      <c r="E227" s="733" t="inlineStr">
        <is>
          <t>သာစည်မြို့</t>
        </is>
      </c>
      <c r="F227" s="733" t="inlineStr">
        <is>
          <t>Van 2-7</t>
        </is>
      </c>
      <c r="G227" s="727" t="inlineStr">
        <is>
          <t>09-668150500</t>
        </is>
      </c>
      <c r="H227" s="735" t="inlineStr">
        <is>
          <t>ရှိုင်းစတား</t>
        </is>
      </c>
      <c r="I227" s="733" t="n">
        <v>3</v>
      </c>
    </row>
    <row r="228" ht="20.4" customHeight="1">
      <c r="A228" s="730" t="n">
        <v>224</v>
      </c>
      <c r="B228" s="756" t="inlineStr">
        <is>
          <t>ကိုဇော်လွင်</t>
        </is>
      </c>
      <c r="C228" s="756" t="inlineStr">
        <is>
          <t>D</t>
        </is>
      </c>
      <c r="D228" s="756" t="inlineStr">
        <is>
          <t>မြောင်းဦး</t>
        </is>
      </c>
      <c r="E228" s="733" t="inlineStr">
        <is>
          <t>သာစည်မြို့</t>
        </is>
      </c>
      <c r="F228" s="733" t="inlineStr">
        <is>
          <t>Van 2-7</t>
        </is>
      </c>
      <c r="G228" s="727" t="inlineStr">
        <is>
          <t>09-690939123</t>
        </is>
      </c>
      <c r="H228" s="740" t="inlineStr">
        <is>
          <t>ရွှေမြင်း/ဟိဏ်းထက်</t>
        </is>
      </c>
      <c r="I228" s="733" t="n">
        <v>3</v>
      </c>
    </row>
    <row r="229" ht="20.4" customHeight="1">
      <c r="A229" s="730" t="n">
        <v>225</v>
      </c>
      <c r="B229" s="733" t="inlineStr">
        <is>
          <t>ဦးထွန်းဝေ</t>
        </is>
      </c>
      <c r="C229" s="756" t="inlineStr">
        <is>
          <t>D</t>
        </is>
      </c>
      <c r="D229" s="733" t="inlineStr">
        <is>
          <t>နှမ်းကန်</t>
        </is>
      </c>
      <c r="E229" s="733" t="inlineStr">
        <is>
          <t>သာစည်မြို့</t>
        </is>
      </c>
      <c r="F229" s="733" t="inlineStr">
        <is>
          <t>Van 2-8</t>
        </is>
      </c>
      <c r="G229" s="737" t="inlineStr">
        <is>
          <t>09-402521404</t>
        </is>
      </c>
      <c r="H229" s="737" t="inlineStr">
        <is>
          <t>မင်းစုဝေ</t>
        </is>
      </c>
      <c r="I229" s="733" t="n">
        <v>3</v>
      </c>
    </row>
    <row r="230" ht="20.4" customHeight="1">
      <c r="A230" s="730" t="n">
        <v>226</v>
      </c>
      <c r="B230" s="733" t="inlineStr">
        <is>
          <t>ဒေါ်သန်းမြင့်</t>
        </is>
      </c>
      <c r="C230" s="756" t="inlineStr">
        <is>
          <t>D</t>
        </is>
      </c>
      <c r="D230" s="733" t="inlineStr">
        <is>
          <t>ကုက္ကိုပေါက်</t>
        </is>
      </c>
      <c r="E230" s="733" t="inlineStr">
        <is>
          <t>သာစည်မြို့</t>
        </is>
      </c>
      <c r="F230" s="733" t="inlineStr">
        <is>
          <t>Van 2-8</t>
        </is>
      </c>
      <c r="G230" s="727" t="inlineStr">
        <is>
          <t>09-667869666</t>
        </is>
      </c>
      <c r="H230" s="737" t="inlineStr">
        <is>
          <t>မင်းစုဝေ</t>
        </is>
      </c>
      <c r="I230" s="733" t="n">
        <v>3</v>
      </c>
    </row>
    <row r="231" ht="20.4" customHeight="1">
      <c r="A231" s="733" t="n">
        <v>227</v>
      </c>
      <c r="B231" s="733" t="inlineStr">
        <is>
          <t>ကျောင်းဆရာ</t>
        </is>
      </c>
      <c r="C231" s="756" t="inlineStr">
        <is>
          <t>D</t>
        </is>
      </c>
      <c r="D231" s="733" t="inlineStr">
        <is>
          <t>မောင်းတိုင်</t>
        </is>
      </c>
      <c r="E231" s="733" t="inlineStr">
        <is>
          <t>သာစည်မြို့</t>
        </is>
      </c>
      <c r="F231" s="733" t="inlineStr">
        <is>
          <t>Van 2-8</t>
        </is>
      </c>
      <c r="G231" s="727" t="inlineStr">
        <is>
          <t>09-798927983</t>
        </is>
      </c>
      <c r="H231" s="737" t="inlineStr">
        <is>
          <t>မင်းစုဝေ</t>
        </is>
      </c>
      <c r="I231" s="733" t="n">
        <v>3</v>
      </c>
    </row>
    <row r="232" ht="20.4" customHeight="1">
      <c r="A232" s="730" t="n">
        <v>228</v>
      </c>
      <c r="B232" s="733" t="inlineStr">
        <is>
          <t>ဒေါ်တင်နီလာ/ဝင်း</t>
        </is>
      </c>
      <c r="C232" s="756" t="inlineStr">
        <is>
          <t>D</t>
        </is>
      </c>
      <c r="D232" s="733" t="inlineStr">
        <is>
          <t>မောင်းတိုင်</t>
        </is>
      </c>
      <c r="E232" s="733" t="inlineStr">
        <is>
          <t>သာစည်မြို့</t>
        </is>
      </c>
      <c r="F232" s="733" t="inlineStr">
        <is>
          <t>Van 2-8</t>
        </is>
      </c>
      <c r="G232" s="727" t="inlineStr">
        <is>
          <t>09-798039912</t>
        </is>
      </c>
      <c r="H232" s="737" t="inlineStr">
        <is>
          <t>မင်းစုဝေ</t>
        </is>
      </c>
      <c r="I232" s="733" t="n">
        <v>3</v>
      </c>
    </row>
    <row r="233" ht="20.4" customHeight="1">
      <c r="A233" s="730" t="n">
        <v>229</v>
      </c>
      <c r="B233" s="733" t="inlineStr">
        <is>
          <t>ကိုရဲမင်းအောင်</t>
        </is>
      </c>
      <c r="C233" s="756" t="inlineStr">
        <is>
          <t>D</t>
        </is>
      </c>
      <c r="D233" s="733" t="inlineStr">
        <is>
          <t>မောင်းတိုင်</t>
        </is>
      </c>
      <c r="E233" s="733" t="inlineStr">
        <is>
          <t>သာစည်မြို့</t>
        </is>
      </c>
      <c r="F233" s="733" t="inlineStr">
        <is>
          <t>Van 2-8</t>
        </is>
      </c>
      <c r="G233" s="727" t="inlineStr">
        <is>
          <t>09-670503510</t>
        </is>
      </c>
      <c r="H233" s="737" t="inlineStr">
        <is>
          <t>မင်းစုဝေ</t>
        </is>
      </c>
      <c r="I233" s="733" t="n">
        <v>3</v>
      </c>
    </row>
    <row r="234" ht="20.4" customHeight="1">
      <c r="A234" s="730" t="n">
        <v>230</v>
      </c>
      <c r="B234" s="733" t="inlineStr">
        <is>
          <t>ဦးဇော်ဦး</t>
        </is>
      </c>
      <c r="C234" s="756" t="inlineStr">
        <is>
          <t>D</t>
        </is>
      </c>
      <c r="D234" s="733" t="inlineStr">
        <is>
          <t>ညောင်ရမ်း</t>
        </is>
      </c>
      <c r="E234" s="733" t="inlineStr">
        <is>
          <t>သာစည်မြို့</t>
        </is>
      </c>
      <c r="F234" s="733" t="inlineStr">
        <is>
          <t>Van 2-8</t>
        </is>
      </c>
      <c r="G234" s="727" t="inlineStr">
        <is>
          <t>09-692682084</t>
        </is>
      </c>
      <c r="H234" s="737" t="inlineStr">
        <is>
          <t>မင်းစုဝေ</t>
        </is>
      </c>
      <c r="I234" s="733" t="n">
        <v>3</v>
      </c>
    </row>
    <row r="235" ht="20.4" customHeight="1">
      <c r="A235" s="733" t="n">
        <v>231</v>
      </c>
      <c r="B235" s="733" t="inlineStr">
        <is>
          <t>မနိုင်နိုင်မော်</t>
        </is>
      </c>
      <c r="C235" s="756" t="inlineStr">
        <is>
          <t>D</t>
        </is>
      </c>
      <c r="D235" s="733" t="inlineStr">
        <is>
          <t>ဇီးတောအိုင်</t>
        </is>
      </c>
      <c r="E235" s="733" t="inlineStr">
        <is>
          <t>သာစည်မြို့</t>
        </is>
      </c>
      <c r="F235" s="733" t="inlineStr">
        <is>
          <t>Van 2-8</t>
        </is>
      </c>
      <c r="G235" s="727" t="inlineStr">
        <is>
          <t>09-751739833</t>
        </is>
      </c>
      <c r="H235" s="748" t="inlineStr">
        <is>
          <t>လပြည့်စံ(ပဗ)</t>
        </is>
      </c>
      <c r="I235" s="733" t="n">
        <v>3</v>
      </c>
    </row>
    <row r="236" ht="20.4" customHeight="1">
      <c r="A236" s="730" t="n">
        <v>232</v>
      </c>
      <c r="B236" s="733" t="inlineStr">
        <is>
          <t>မသန်းသန်းဆင့်</t>
        </is>
      </c>
      <c r="C236" s="756" t="inlineStr">
        <is>
          <t>D</t>
        </is>
      </c>
      <c r="D236" s="733" t="inlineStr">
        <is>
          <t>မကျီးရိုး</t>
        </is>
      </c>
      <c r="E236" s="733" t="inlineStr">
        <is>
          <t>သာစည်မြို့</t>
        </is>
      </c>
      <c r="F236" s="733" t="inlineStr">
        <is>
          <t>Van 2-8</t>
        </is>
      </c>
      <c r="G236" s="727" t="inlineStr">
        <is>
          <t>09-787902090</t>
        </is>
      </c>
      <c r="H236" s="735" t="inlineStr">
        <is>
          <t>ရွှေနွယ်ရိပ်</t>
        </is>
      </c>
      <c r="I236" s="733" t="n">
        <v>3</v>
      </c>
    </row>
    <row r="237" ht="20.4" customHeight="1">
      <c r="A237" s="730" t="n">
        <v>233</v>
      </c>
      <c r="B237" s="733" t="inlineStr">
        <is>
          <t>မခင်သန်းနု</t>
        </is>
      </c>
      <c r="C237" s="756" t="inlineStr">
        <is>
          <t>D</t>
        </is>
      </c>
      <c r="D237" s="733" t="inlineStr">
        <is>
          <t>မကျီးရိုး</t>
        </is>
      </c>
      <c r="E237" s="733" t="inlineStr">
        <is>
          <t>သာစည်မြို့</t>
        </is>
      </c>
      <c r="F237" s="733" t="inlineStr">
        <is>
          <t>Van 2-8</t>
        </is>
      </c>
      <c r="G237" s="727" t="inlineStr">
        <is>
          <t>09-766789224</t>
        </is>
      </c>
      <c r="H237" s="735" t="inlineStr">
        <is>
          <t>ရွှေနွယ်ရိပ်</t>
        </is>
      </c>
      <c r="I237" s="733" t="n">
        <v>3</v>
      </c>
    </row>
    <row r="238" ht="20.4" customHeight="1">
      <c r="A238" s="730" t="n">
        <v>234</v>
      </c>
      <c r="B238" s="733" t="inlineStr">
        <is>
          <t>ကိုထွန်းကြည်</t>
        </is>
      </c>
      <c r="C238" s="756" t="inlineStr">
        <is>
          <t>D</t>
        </is>
      </c>
      <c r="D238" s="733" t="inlineStr">
        <is>
          <t>ဘုန်းတလုတ်</t>
        </is>
      </c>
      <c r="E238" s="733" t="inlineStr">
        <is>
          <t>သာစည်မြို့</t>
        </is>
      </c>
      <c r="F238" s="733" t="inlineStr">
        <is>
          <t>Van 2-8</t>
        </is>
      </c>
      <c r="G238" s="727" t="inlineStr">
        <is>
          <t>09-401957985</t>
        </is>
      </c>
      <c r="H238" s="735" t="inlineStr">
        <is>
          <t>ရွှေနွယ်ရိပ်</t>
        </is>
      </c>
      <c r="I238" s="733" t="n">
        <v>3</v>
      </c>
    </row>
    <row r="239" ht="20.4" customHeight="1">
      <c r="A239" s="733" t="n">
        <v>235</v>
      </c>
      <c r="B239" s="733" t="inlineStr">
        <is>
          <t>ဦးဝင်းမြင့်</t>
        </is>
      </c>
      <c r="C239" s="756" t="inlineStr">
        <is>
          <t>D</t>
        </is>
      </c>
      <c r="D239" s="733" t="inlineStr">
        <is>
          <t>မကျီးခွ</t>
        </is>
      </c>
      <c r="E239" s="733" t="inlineStr">
        <is>
          <t>သာစည်မြို့</t>
        </is>
      </c>
      <c r="F239" s="733" t="inlineStr">
        <is>
          <t>Van 2-8</t>
        </is>
      </c>
      <c r="G239" s="727" t="inlineStr">
        <is>
          <t>09-687218274</t>
        </is>
      </c>
      <c r="H239" s="735" t="inlineStr">
        <is>
          <t>ရွှေနွယ်ရိပ်</t>
        </is>
      </c>
      <c r="I239" s="733" t="n">
        <v>3</v>
      </c>
    </row>
    <row r="240" ht="20.4" customHeight="1">
      <c r="A240" s="730" t="n">
        <v>236</v>
      </c>
      <c r="B240" s="733" t="inlineStr">
        <is>
          <t>ကိုကျော်ဆင့်</t>
        </is>
      </c>
      <c r="C240" s="756" t="inlineStr">
        <is>
          <t>D</t>
        </is>
      </c>
      <c r="D240" s="733" t="inlineStr">
        <is>
          <t>မကျီးခွ</t>
        </is>
      </c>
      <c r="E240" s="733" t="inlineStr">
        <is>
          <t>သာစည်မြို့</t>
        </is>
      </c>
      <c r="F240" s="733" t="inlineStr">
        <is>
          <t>Van 2-8</t>
        </is>
      </c>
      <c r="G240" s="727" t="inlineStr">
        <is>
          <t>09-670057730</t>
        </is>
      </c>
      <c r="H240" s="735" t="inlineStr">
        <is>
          <t>ရွှေနွယ်ရိပ်</t>
        </is>
      </c>
      <c r="I240" s="733" t="n">
        <v>3</v>
      </c>
    </row>
    <row r="241" ht="20.4" customHeight="1">
      <c r="A241" s="730" t="n">
        <v>237</v>
      </c>
      <c r="B241" s="733" t="inlineStr">
        <is>
          <t>ကိုလင်းလင်း</t>
        </is>
      </c>
      <c r="C241" s="756" t="inlineStr">
        <is>
          <t>D</t>
        </is>
      </c>
      <c r="D241" s="733" t="inlineStr">
        <is>
          <t>ညောင်ရမ်း</t>
        </is>
      </c>
      <c r="E241" s="733" t="inlineStr">
        <is>
          <t>သာစည်မြို့</t>
        </is>
      </c>
      <c r="F241" s="733" t="inlineStr">
        <is>
          <t>Van 2-8</t>
        </is>
      </c>
      <c r="G241" s="727" t="inlineStr">
        <is>
          <t>09-790292701</t>
        </is>
      </c>
      <c r="H241" s="735" t="inlineStr">
        <is>
          <t>ရွှေနွယ်ရိပ်</t>
        </is>
      </c>
      <c r="I241" s="733" t="n">
        <v>3</v>
      </c>
    </row>
    <row r="242" ht="20.4" customHeight="1">
      <c r="A242" s="730" t="n">
        <v>238</v>
      </c>
      <c r="B242" s="733" t="inlineStr">
        <is>
          <t>ဒေါ်ခင်မြင့်</t>
        </is>
      </c>
      <c r="C242" s="756" t="inlineStr">
        <is>
          <t>D</t>
        </is>
      </c>
      <c r="D242" s="733" t="inlineStr">
        <is>
          <t>ကျောက်ကာ</t>
        </is>
      </c>
      <c r="E242" s="733" t="inlineStr">
        <is>
          <t>ပျော်ဘွယ်မြို့</t>
        </is>
      </c>
      <c r="F242" s="733" t="inlineStr">
        <is>
          <t>Van 2-9</t>
        </is>
      </c>
      <c r="G242" s="737" t="inlineStr">
        <is>
          <t>09-693088620</t>
        </is>
      </c>
      <c r="H242" s="737" t="inlineStr">
        <is>
          <t>ရွှေမြင်း</t>
        </is>
      </c>
      <c r="I242" s="733" t="n">
        <v>3</v>
      </c>
    </row>
    <row r="243" ht="20.4" customHeight="1">
      <c r="A243" s="733" t="n">
        <v>239</v>
      </c>
      <c r="B243" s="733" t="inlineStr">
        <is>
          <t>ကိုသိန်းသန်းဦး</t>
        </is>
      </c>
      <c r="C243" s="756" t="inlineStr">
        <is>
          <t>D</t>
        </is>
      </c>
      <c r="D243" s="733" t="inlineStr">
        <is>
          <t>ကြာကန်</t>
        </is>
      </c>
      <c r="E243" s="733" t="inlineStr">
        <is>
          <t>ပျော်ဘွယ်မြို့</t>
        </is>
      </c>
      <c r="F243" s="733" t="inlineStr">
        <is>
          <t>Van 2-9</t>
        </is>
      </c>
      <c r="G243" s="727" t="n"/>
      <c r="H243" s="737" t="inlineStr">
        <is>
          <t>ရွှေမြင်း</t>
        </is>
      </c>
      <c r="I243" s="733" t="n">
        <v>3</v>
      </c>
    </row>
    <row r="244" ht="20.4" customHeight="1">
      <c r="A244" s="730" t="n">
        <v>240</v>
      </c>
      <c r="B244" s="733" t="inlineStr">
        <is>
          <t>မတင်တင်မြင့်/မတိုးတိုးမြင့်</t>
        </is>
      </c>
      <c r="C244" s="756" t="inlineStr">
        <is>
          <t>D</t>
        </is>
      </c>
      <c r="D244" s="733" t="inlineStr">
        <is>
          <t>ကုက္ကိုကုန်း</t>
        </is>
      </c>
      <c r="E244" s="733" t="inlineStr">
        <is>
          <t>ပျော်ဘွယ်မြို့</t>
        </is>
      </c>
      <c r="F244" s="733" t="inlineStr">
        <is>
          <t>Van 2-9</t>
        </is>
      </c>
      <c r="G244" s="727" t="inlineStr">
        <is>
          <t>09-453371202</t>
        </is>
      </c>
      <c r="H244" s="737" t="inlineStr">
        <is>
          <t>ရွှေမြင်း</t>
        </is>
      </c>
      <c r="I244" s="733" t="n">
        <v>3</v>
      </c>
    </row>
    <row r="245" ht="20.4" customHeight="1">
      <c r="A245" s="730" t="n">
        <v>241</v>
      </c>
      <c r="B245" s="733" t="inlineStr">
        <is>
          <t>ဦးဝင်းမြင့်</t>
        </is>
      </c>
      <c r="C245" s="756" t="inlineStr">
        <is>
          <t>D</t>
        </is>
      </c>
      <c r="D245" s="733" t="inlineStr">
        <is>
          <t>ကုက္ကိုကုန်း</t>
        </is>
      </c>
      <c r="E245" s="733" t="inlineStr">
        <is>
          <t>ပျော်ဘွယ်မြို့</t>
        </is>
      </c>
      <c r="F245" s="733" t="inlineStr">
        <is>
          <t>Van 2-9</t>
        </is>
      </c>
      <c r="G245" s="727" t="inlineStr">
        <is>
          <t>09-694988748</t>
        </is>
      </c>
      <c r="H245" s="737" t="inlineStr">
        <is>
          <t>ရွှေမြင်း</t>
        </is>
      </c>
      <c r="I245" s="733" t="n">
        <v>3</v>
      </c>
    </row>
    <row r="246" ht="20.4" customHeight="1">
      <c r="A246" s="730" t="n">
        <v>242</v>
      </c>
      <c r="B246" s="733" t="inlineStr">
        <is>
          <t>ကိုဌေး</t>
        </is>
      </c>
      <c r="C246" s="756" t="inlineStr">
        <is>
          <t>D</t>
        </is>
      </c>
      <c r="D246" s="733" t="inlineStr">
        <is>
          <t>ညောင်အိုင့်</t>
        </is>
      </c>
      <c r="E246" s="733" t="inlineStr">
        <is>
          <t>ပျော်ဘွယ်မြို့</t>
        </is>
      </c>
      <c r="F246" s="733" t="inlineStr">
        <is>
          <t>Van 2-9</t>
        </is>
      </c>
      <c r="G246" s="727" t="inlineStr">
        <is>
          <t>09-402754291</t>
        </is>
      </c>
      <c r="H246" s="737" t="inlineStr">
        <is>
          <t>ရွှေမြင်း</t>
        </is>
      </c>
      <c r="I246" s="733" t="n">
        <v>3</v>
      </c>
    </row>
    <row r="247" ht="20.4" customHeight="1">
      <c r="A247" s="733" t="n">
        <v>243</v>
      </c>
      <c r="B247" s="733" t="inlineStr">
        <is>
          <t>မအေးကြူ</t>
        </is>
      </c>
      <c r="C247" s="756" t="inlineStr">
        <is>
          <t>D</t>
        </is>
      </c>
      <c r="D247" s="733" t="inlineStr">
        <is>
          <t>ပေါက်တော</t>
        </is>
      </c>
      <c r="E247" s="733" t="inlineStr">
        <is>
          <t>ပျော်ဘွယ်မြို့</t>
        </is>
      </c>
      <c r="F247" s="733" t="inlineStr">
        <is>
          <t>Van 2-9</t>
        </is>
      </c>
      <c r="G247" s="727" t="inlineStr">
        <is>
          <t>09-688308266</t>
        </is>
      </c>
      <c r="H247" s="737" t="inlineStr">
        <is>
          <t>ရွှေမြင်း</t>
        </is>
      </c>
      <c r="I247" s="733" t="n">
        <v>3</v>
      </c>
    </row>
    <row r="248" ht="20.4" customHeight="1">
      <c r="A248" s="730" t="n">
        <v>244</v>
      </c>
      <c r="B248" s="733" t="inlineStr">
        <is>
          <t>ကိုမျိုးနိုင်</t>
        </is>
      </c>
      <c r="C248" s="756" t="inlineStr">
        <is>
          <t>D</t>
        </is>
      </c>
      <c r="D248" s="733" t="inlineStr">
        <is>
          <t>ပေါက်တော</t>
        </is>
      </c>
      <c r="E248" s="733" t="inlineStr">
        <is>
          <t>ပျော်ဘွယ်မြို့</t>
        </is>
      </c>
      <c r="F248" s="733" t="inlineStr">
        <is>
          <t>Van 2-9</t>
        </is>
      </c>
      <c r="G248" s="727" t="inlineStr">
        <is>
          <t>09-256569875</t>
        </is>
      </c>
      <c r="H248" s="737" t="inlineStr">
        <is>
          <t>ရွှေမြင်း</t>
        </is>
      </c>
      <c r="I248" s="733" t="n">
        <v>3</v>
      </c>
    </row>
    <row r="249" ht="20.4" customHeight="1">
      <c r="A249" s="730" t="n">
        <v>245</v>
      </c>
      <c r="B249" s="733" t="inlineStr">
        <is>
          <t>ကိုထွန်းမြင့်/ဦးထွေးမြင့်</t>
        </is>
      </c>
      <c r="C249" s="756" t="inlineStr">
        <is>
          <t>D</t>
        </is>
      </c>
      <c r="D249" s="733" t="inlineStr">
        <is>
          <t>အင်းအုံး</t>
        </is>
      </c>
      <c r="E249" s="733" t="inlineStr">
        <is>
          <t>ပျော်ဘွယ်မြို့</t>
        </is>
      </c>
      <c r="F249" s="733" t="inlineStr">
        <is>
          <t>Van 2-9</t>
        </is>
      </c>
      <c r="G249" s="727" t="inlineStr">
        <is>
          <t>09-776394939</t>
        </is>
      </c>
      <c r="H249" s="737" t="inlineStr">
        <is>
          <t>ရွှေမြင်း</t>
        </is>
      </c>
      <c r="I249" s="733" t="n">
        <v>3</v>
      </c>
    </row>
    <row r="250" ht="20.4" customHeight="1">
      <c r="A250" s="730" t="n">
        <v>246</v>
      </c>
      <c r="B250" s="733" t="inlineStr">
        <is>
          <t>ကိုထွန်းနိုင်</t>
        </is>
      </c>
      <c r="C250" s="756" t="inlineStr">
        <is>
          <t>D</t>
        </is>
      </c>
      <c r="D250" s="733" t="inlineStr">
        <is>
          <t>အင်းအုံး</t>
        </is>
      </c>
      <c r="E250" s="733" t="inlineStr">
        <is>
          <t>ပျော်ဘွယ်မြို့</t>
        </is>
      </c>
      <c r="F250" s="733" t="inlineStr">
        <is>
          <t>Van 2-9</t>
        </is>
      </c>
      <c r="G250" s="727" t="inlineStr">
        <is>
          <t>09-696034461</t>
        </is>
      </c>
      <c r="H250" s="737" t="inlineStr">
        <is>
          <t>ရွှေမြင်း</t>
        </is>
      </c>
      <c r="I250" s="733" t="n">
        <v>3</v>
      </c>
    </row>
    <row r="251" ht="20.4" customHeight="1">
      <c r="A251" s="733" t="n">
        <v>247</v>
      </c>
      <c r="B251" s="733" t="inlineStr">
        <is>
          <t>ကိုဆွေကျော်/ကိုဆွေ</t>
        </is>
      </c>
      <c r="C251" s="756" t="inlineStr">
        <is>
          <t>D</t>
        </is>
      </c>
      <c r="D251" s="733" t="inlineStr">
        <is>
          <t>ကျောက်ကာ</t>
        </is>
      </c>
      <c r="E251" s="733" t="inlineStr">
        <is>
          <t>ပျော်ဘွယ်မြို့</t>
        </is>
      </c>
      <c r="F251" s="733" t="inlineStr">
        <is>
          <t>Van 2-9</t>
        </is>
      </c>
      <c r="G251" s="727" t="n"/>
      <c r="H251" s="737" t="inlineStr">
        <is>
          <t>ရွှေမြင်း</t>
        </is>
      </c>
      <c r="I251" s="733" t="n">
        <v>3</v>
      </c>
    </row>
    <row r="252" ht="20.4" customHeight="1">
      <c r="A252" s="730" t="n">
        <v>248</v>
      </c>
      <c r="B252" s="733" t="inlineStr">
        <is>
          <t>ကိုအေးမင်း</t>
        </is>
      </c>
      <c r="C252" s="756" t="inlineStr">
        <is>
          <t>D</t>
        </is>
      </c>
      <c r="D252" s="733" t="inlineStr">
        <is>
          <t>အုတ်ဖို</t>
        </is>
      </c>
      <c r="E252" s="733" t="inlineStr">
        <is>
          <t>ပျော်ဘွယ်မြို့</t>
        </is>
      </c>
      <c r="F252" s="733" t="inlineStr">
        <is>
          <t>Van 2-9</t>
        </is>
      </c>
      <c r="G252" s="727" t="n"/>
      <c r="H252" s="737" t="inlineStr">
        <is>
          <t>ရွှေမြင်း</t>
        </is>
      </c>
      <c r="I252" s="733" t="n">
        <v>3</v>
      </c>
    </row>
    <row r="253" ht="20.4" customHeight="1">
      <c r="A253" s="730" t="n">
        <v>249</v>
      </c>
      <c r="B253" s="733" t="inlineStr">
        <is>
          <t>ကိုဆွေ</t>
        </is>
      </c>
      <c r="C253" s="756" t="inlineStr">
        <is>
          <t>D</t>
        </is>
      </c>
      <c r="D253" s="733" t="inlineStr">
        <is>
          <t>အုတ်ဖို</t>
        </is>
      </c>
      <c r="E253" s="733" t="inlineStr">
        <is>
          <t>ပျော်ဘွယ်မြို့</t>
        </is>
      </c>
      <c r="F253" s="733" t="inlineStr">
        <is>
          <t>Van 2-9</t>
        </is>
      </c>
      <c r="G253" s="727" t="n"/>
      <c r="H253" s="737" t="inlineStr">
        <is>
          <t>ရွှေမြင်း</t>
        </is>
      </c>
      <c r="I253" s="733" t="n">
        <v>3</v>
      </c>
    </row>
    <row r="254" ht="20.4" customHeight="1">
      <c r="A254" s="730" t="n">
        <v>250</v>
      </c>
      <c r="B254" s="733" t="inlineStr">
        <is>
          <t>မမိုးမိုးခိုင်</t>
        </is>
      </c>
      <c r="C254" s="756" t="inlineStr">
        <is>
          <t>D</t>
        </is>
      </c>
      <c r="D254" s="733" t="inlineStr">
        <is>
          <t>ကုက္ကိုကုန်း</t>
        </is>
      </c>
      <c r="E254" s="733" t="inlineStr">
        <is>
          <t>ပျော်ဘွယ်မြို့</t>
        </is>
      </c>
      <c r="F254" s="733" t="inlineStr">
        <is>
          <t>Van 2-9</t>
        </is>
      </c>
      <c r="G254" s="727" t="inlineStr">
        <is>
          <t>09-897181005</t>
        </is>
      </c>
      <c r="H254" s="737" t="inlineStr">
        <is>
          <t>ရွှေမြင်း</t>
        </is>
      </c>
      <c r="I254" s="733" t="n">
        <v>3</v>
      </c>
    </row>
    <row r="255" ht="20.4" customHeight="1">
      <c r="A255" s="733" t="n">
        <v>251</v>
      </c>
      <c r="B255" s="733" t="inlineStr">
        <is>
          <t>ပြည့်လျှံ</t>
        </is>
      </c>
      <c r="C255" s="756" t="inlineStr">
        <is>
          <t>B</t>
        </is>
      </c>
      <c r="D255" s="733" t="inlineStr">
        <is>
          <t>ညောင်ကိုင်း</t>
        </is>
      </c>
      <c r="E255" s="733" t="inlineStr">
        <is>
          <t>ပျော်ဘွယ်မြို့</t>
        </is>
      </c>
      <c r="F255" s="733" t="inlineStr">
        <is>
          <t>Van 2-9</t>
        </is>
      </c>
      <c r="G255" s="727" t="n"/>
      <c r="H255" s="737" t="inlineStr">
        <is>
          <t>ရွှေမြင်း</t>
        </is>
      </c>
      <c r="I255" s="733" t="n">
        <v>3</v>
      </c>
    </row>
    <row r="256" ht="20.4" customHeight="1">
      <c r="A256" s="730" t="n">
        <v>252</v>
      </c>
      <c r="B256" s="756" t="inlineStr">
        <is>
          <t>မမြဝင်း</t>
        </is>
      </c>
      <c r="C256" s="733" t="inlineStr">
        <is>
          <t>D</t>
        </is>
      </c>
      <c r="D256" s="756" t="inlineStr">
        <is>
          <t>ရွှေတုတ်ကုန်း</t>
        </is>
      </c>
      <c r="E256" s="733" t="inlineStr">
        <is>
          <t>သာစည်မြို့</t>
        </is>
      </c>
      <c r="F256" s="733" t="inlineStr">
        <is>
          <t>Van 2-10</t>
        </is>
      </c>
      <c r="G256" s="737" t="inlineStr">
        <is>
          <t>09-692828052</t>
        </is>
      </c>
      <c r="H256" s="737" t="inlineStr">
        <is>
          <t>ဖိုးသာထူး</t>
        </is>
      </c>
      <c r="I256" s="733" t="n">
        <v>3</v>
      </c>
    </row>
    <row r="257" ht="20.4" customHeight="1">
      <c r="A257" s="730" t="n">
        <v>253</v>
      </c>
      <c r="B257" s="756" t="inlineStr">
        <is>
          <t>မသင်ဇာနွယ်</t>
        </is>
      </c>
      <c r="C257" s="733" t="inlineStr">
        <is>
          <t>D</t>
        </is>
      </c>
      <c r="D257" s="756" t="inlineStr">
        <is>
          <t>ရွှေတုတ်ကုန်း</t>
        </is>
      </c>
      <c r="E257" s="733" t="inlineStr">
        <is>
          <t>သာစည်မြို့</t>
        </is>
      </c>
      <c r="F257" s="733" t="inlineStr">
        <is>
          <t>Van 2-10</t>
        </is>
      </c>
      <c r="G257" s="727" t="inlineStr">
        <is>
          <t>09-685429853</t>
        </is>
      </c>
      <c r="H257" s="737" t="inlineStr">
        <is>
          <t>ဖိုးသာထူး</t>
        </is>
      </c>
      <c r="I257" s="733" t="n">
        <v>3</v>
      </c>
    </row>
    <row r="258" ht="20.4" customHeight="1">
      <c r="A258" s="730" t="n">
        <v>254</v>
      </c>
      <c r="B258" s="756" t="inlineStr">
        <is>
          <t>ကိုမြိုင်</t>
        </is>
      </c>
      <c r="C258" s="733" t="inlineStr">
        <is>
          <t>D</t>
        </is>
      </c>
      <c r="D258" s="756" t="inlineStr">
        <is>
          <t>အုတ်ကုန်း</t>
        </is>
      </c>
      <c r="E258" s="733" t="inlineStr">
        <is>
          <t>သာစည်မြို့</t>
        </is>
      </c>
      <c r="F258" s="733" t="inlineStr">
        <is>
          <t>Van 2-10</t>
        </is>
      </c>
      <c r="G258" s="727" t="inlineStr">
        <is>
          <t>09-661713559</t>
        </is>
      </c>
      <c r="H258" s="737" t="inlineStr">
        <is>
          <t>ဖိုးသာထူး</t>
        </is>
      </c>
      <c r="I258" s="733" t="n">
        <v>3</v>
      </c>
    </row>
    <row r="259" ht="20.4" customHeight="1">
      <c r="A259" s="733" t="n">
        <v>255</v>
      </c>
      <c r="B259" s="756" t="inlineStr">
        <is>
          <t>မမြင့်သန္တာကျော်</t>
        </is>
      </c>
      <c r="C259" s="733" t="inlineStr">
        <is>
          <t>D</t>
        </is>
      </c>
      <c r="D259" s="756" t="inlineStr">
        <is>
          <t>အုတ်ကုန်း</t>
        </is>
      </c>
      <c r="E259" s="733" t="inlineStr">
        <is>
          <t>သာစည်မြို့</t>
        </is>
      </c>
      <c r="F259" s="733" t="inlineStr">
        <is>
          <t>Van 2-10</t>
        </is>
      </c>
      <c r="G259" s="727" t="inlineStr">
        <is>
          <t>09-425476991</t>
        </is>
      </c>
      <c r="H259" s="737" t="inlineStr">
        <is>
          <t>ဖိုးသာထူး</t>
        </is>
      </c>
      <c r="I259" s="733" t="n">
        <v>3</v>
      </c>
    </row>
    <row r="260" ht="20.4" customHeight="1">
      <c r="A260" s="730" t="n">
        <v>256</v>
      </c>
      <c r="B260" s="756" t="inlineStr">
        <is>
          <t>ကိုအောင်ကိုလတ်</t>
        </is>
      </c>
      <c r="C260" s="733" t="inlineStr">
        <is>
          <t>D</t>
        </is>
      </c>
      <c r="D260" s="756" t="inlineStr">
        <is>
          <t>အုတ်ကုန်း</t>
        </is>
      </c>
      <c r="E260" s="733" t="inlineStr">
        <is>
          <t>သာစည်မြို့</t>
        </is>
      </c>
      <c r="F260" s="733" t="inlineStr">
        <is>
          <t>Van 2-10</t>
        </is>
      </c>
      <c r="G260" s="727" t="inlineStr">
        <is>
          <t>09-978467382</t>
        </is>
      </c>
      <c r="H260" s="737" t="inlineStr">
        <is>
          <t>ဖိုးသာထူး</t>
        </is>
      </c>
      <c r="I260" s="733" t="n">
        <v>3</v>
      </c>
    </row>
    <row r="261" ht="20.4" customHeight="1">
      <c r="A261" s="730" t="n">
        <v>257</v>
      </c>
      <c r="B261" s="756" t="inlineStr">
        <is>
          <t>မမာခိုင်</t>
        </is>
      </c>
      <c r="C261" s="733" t="inlineStr">
        <is>
          <t>D</t>
        </is>
      </c>
      <c r="D261" s="756" t="inlineStr">
        <is>
          <t>နတ်မြောင်း</t>
        </is>
      </c>
      <c r="E261" s="733" t="inlineStr">
        <is>
          <t>သာစည်မြို့</t>
        </is>
      </c>
      <c r="F261" s="733" t="inlineStr">
        <is>
          <t>Van 2-10</t>
        </is>
      </c>
      <c r="G261" s="727" t="inlineStr">
        <is>
          <t>09-678458767</t>
        </is>
      </c>
      <c r="H261" s="737" t="inlineStr">
        <is>
          <t>ဖိုးသာထူး</t>
        </is>
      </c>
      <c r="I261" s="733" t="n">
        <v>3</v>
      </c>
    </row>
    <row r="262" ht="20.4" customHeight="1">
      <c r="A262" s="730" t="n">
        <v>258</v>
      </c>
      <c r="B262" s="756" t="inlineStr">
        <is>
          <t>ကိုဆွေလှိုင်ဦး</t>
        </is>
      </c>
      <c r="C262" s="733" t="inlineStr">
        <is>
          <t>D</t>
        </is>
      </c>
      <c r="D262" s="756" t="inlineStr">
        <is>
          <t>ဒဟတ်ကျင်း</t>
        </is>
      </c>
      <c r="E262" s="733" t="inlineStr">
        <is>
          <t>သာစည်မြို့</t>
        </is>
      </c>
      <c r="F262" s="733" t="inlineStr">
        <is>
          <t>Van 2-10</t>
        </is>
      </c>
      <c r="G262" s="727" t="inlineStr">
        <is>
          <t>09-408836859</t>
        </is>
      </c>
      <c r="H262" s="737" t="inlineStr">
        <is>
          <t>ဖိုးသာထူး</t>
        </is>
      </c>
      <c r="I262" s="733" t="n">
        <v>3</v>
      </c>
    </row>
    <row r="263" ht="20.4" customHeight="1">
      <c r="A263" s="733" t="n">
        <v>259</v>
      </c>
      <c r="B263" s="756" t="inlineStr">
        <is>
          <t>ကိုမင်းမင်း</t>
        </is>
      </c>
      <c r="C263" s="733" t="inlineStr">
        <is>
          <t>D</t>
        </is>
      </c>
      <c r="D263" s="756" t="inlineStr">
        <is>
          <t>ဇီးပင်တွင်း</t>
        </is>
      </c>
      <c r="E263" s="733" t="inlineStr">
        <is>
          <t>သာစည်မြို့</t>
        </is>
      </c>
      <c r="F263" s="733" t="inlineStr">
        <is>
          <t>Van 2-10</t>
        </is>
      </c>
      <c r="G263" s="727" t="inlineStr">
        <is>
          <t>09-666777310</t>
        </is>
      </c>
      <c r="H263" s="737" t="inlineStr">
        <is>
          <t>ဖိုးသာထူး</t>
        </is>
      </c>
      <c r="I263" s="733" t="n">
        <v>3</v>
      </c>
    </row>
    <row r="264" ht="20.4" customHeight="1">
      <c r="A264" s="730" t="n">
        <v>260</v>
      </c>
      <c r="B264" s="756" t="inlineStr">
        <is>
          <t>မစန်းစန်းမော်</t>
        </is>
      </c>
      <c r="C264" s="733" t="inlineStr">
        <is>
          <t>D</t>
        </is>
      </c>
      <c r="D264" s="756" t="inlineStr">
        <is>
          <t>ဇီးပင်တွင်း</t>
        </is>
      </c>
      <c r="E264" s="733" t="inlineStr">
        <is>
          <t>သာစည်မြို့</t>
        </is>
      </c>
      <c r="F264" s="733" t="inlineStr">
        <is>
          <t>Van 2-10</t>
        </is>
      </c>
      <c r="G264" s="727" t="inlineStr">
        <is>
          <t>09-402758473</t>
        </is>
      </c>
      <c r="H264" s="737" t="inlineStr">
        <is>
          <t>ဖိုးသာထူး</t>
        </is>
      </c>
      <c r="I264" s="733" t="n">
        <v>3</v>
      </c>
    </row>
    <row r="265" ht="20.4" customHeight="1">
      <c r="A265" s="730" t="n">
        <v>261</v>
      </c>
      <c r="B265" s="756" t="inlineStr">
        <is>
          <t>မမေသန်းနု</t>
        </is>
      </c>
      <c r="C265" s="733" t="inlineStr">
        <is>
          <t>D</t>
        </is>
      </c>
      <c r="D265" s="756" t="inlineStr">
        <is>
          <t>ဇီးပင်တွင်း</t>
        </is>
      </c>
      <c r="E265" s="733" t="inlineStr">
        <is>
          <t>သာစည်မြို့</t>
        </is>
      </c>
      <c r="F265" s="733" t="inlineStr">
        <is>
          <t>Van 2-10</t>
        </is>
      </c>
      <c r="G265" s="727" t="inlineStr">
        <is>
          <t>09-770445519</t>
        </is>
      </c>
      <c r="H265" s="737" t="inlineStr">
        <is>
          <t>ဖိုးသာထူး</t>
        </is>
      </c>
      <c r="I265" s="733" t="n">
        <v>3</v>
      </c>
    </row>
    <row r="266" ht="20.4" customHeight="1">
      <c r="A266" s="730" t="n">
        <v>262</v>
      </c>
      <c r="B266" s="756" t="inlineStr">
        <is>
          <t>အန်ကယ်ကြီး</t>
        </is>
      </c>
      <c r="C266" s="733" t="inlineStr">
        <is>
          <t>D</t>
        </is>
      </c>
      <c r="D266" s="756" t="inlineStr">
        <is>
          <t>ညောင်ကုန်း</t>
        </is>
      </c>
      <c r="E266" s="733" t="inlineStr">
        <is>
          <t>သာစည်မြို့</t>
        </is>
      </c>
      <c r="F266" s="733" t="inlineStr">
        <is>
          <t>Van 2-10</t>
        </is>
      </c>
      <c r="G266" s="727" t="inlineStr">
        <is>
          <t>09-778182293</t>
        </is>
      </c>
      <c r="H266" s="737" t="inlineStr">
        <is>
          <t>ဖိုးသာထူး</t>
        </is>
      </c>
      <c r="I266" s="733" t="n">
        <v>3</v>
      </c>
    </row>
    <row r="267" ht="20.4" customHeight="1">
      <c r="A267" s="733" t="n">
        <v>263</v>
      </c>
      <c r="B267" s="765" t="inlineStr">
        <is>
          <t>ဦးတင်အေး</t>
        </is>
      </c>
      <c r="C267" s="730" t="inlineStr">
        <is>
          <t>D</t>
        </is>
      </c>
      <c r="D267" s="730" t="inlineStr">
        <is>
          <t>ကန်သာအေး</t>
        </is>
      </c>
      <c r="E267" s="733" t="inlineStr">
        <is>
          <t>ရမည်းသင်းမြို့</t>
        </is>
      </c>
      <c r="F267" s="733" t="inlineStr">
        <is>
          <t>Van3-1</t>
        </is>
      </c>
      <c r="G267" s="740" t="inlineStr">
        <is>
          <t>09-792331851</t>
        </is>
      </c>
      <c r="H267" s="740" t="inlineStr">
        <is>
          <t>ရွှေမြင်းပျံ(ရမသ)</t>
        </is>
      </c>
      <c r="I267" s="730" t="n">
        <v>2</v>
      </c>
    </row>
    <row r="268" ht="20.4" customHeight="1">
      <c r="A268" s="730" t="n">
        <v>264</v>
      </c>
      <c r="B268" s="765" t="inlineStr">
        <is>
          <t>ကိုဖိုးချင်</t>
        </is>
      </c>
      <c r="C268" s="730" t="inlineStr">
        <is>
          <t>D</t>
        </is>
      </c>
      <c r="D268" s="730" t="inlineStr">
        <is>
          <t>‌ဗျဥ်းကတ်</t>
        </is>
      </c>
      <c r="E268" s="733" t="inlineStr">
        <is>
          <t>ရမည်းသင်းမြို့</t>
        </is>
      </c>
      <c r="F268" s="733" t="inlineStr">
        <is>
          <t>Van3-1</t>
        </is>
      </c>
      <c r="G268" s="740" t="n"/>
      <c r="H268" s="740" t="inlineStr">
        <is>
          <t>ရွှေမြင်းပျံ(ရမသ)</t>
        </is>
      </c>
      <c r="I268" s="730" t="n">
        <v>2</v>
      </c>
    </row>
    <row r="269" ht="20.4" customHeight="1">
      <c r="A269" s="730" t="n">
        <v>265</v>
      </c>
      <c r="B269" s="765" t="inlineStr">
        <is>
          <t>မလှလှသင်း</t>
        </is>
      </c>
      <c r="C269" s="730" t="inlineStr">
        <is>
          <t>D</t>
        </is>
      </c>
      <c r="D269" s="730" t="inlineStr">
        <is>
          <t>‌ဗျဥ်းကတ်</t>
        </is>
      </c>
      <c r="E269" s="733" t="inlineStr">
        <is>
          <t>ရမည်းသင်းမြို့</t>
        </is>
      </c>
      <c r="F269" s="733" t="inlineStr">
        <is>
          <t>Van3-1</t>
        </is>
      </c>
      <c r="G269" s="740" t="n"/>
      <c r="H269" s="740" t="inlineStr">
        <is>
          <t>ရွှေမြင်းပျံ(ရမသ)</t>
        </is>
      </c>
      <c r="I269" s="730" t="n">
        <v>2</v>
      </c>
    </row>
    <row r="270" ht="20.4" customHeight="1">
      <c r="A270" s="730" t="n">
        <v>266</v>
      </c>
      <c r="B270" s="765" t="inlineStr">
        <is>
          <t>မစုခိုင်</t>
        </is>
      </c>
      <c r="C270" s="730" t="inlineStr">
        <is>
          <t>D</t>
        </is>
      </c>
      <c r="D270" s="730" t="inlineStr">
        <is>
          <t>ထူးကုန်း</t>
        </is>
      </c>
      <c r="E270" s="733" t="inlineStr">
        <is>
          <t>ရမည်းသင်းမြို့</t>
        </is>
      </c>
      <c r="F270" s="733" t="inlineStr">
        <is>
          <t>Van3-1</t>
        </is>
      </c>
      <c r="G270" s="740" t="n"/>
      <c r="H270" s="740" t="inlineStr">
        <is>
          <t>ရွှေမြင်းပျံ(ရမသ)</t>
        </is>
      </c>
      <c r="I270" s="730" t="n">
        <v>2</v>
      </c>
    </row>
    <row r="271" ht="20.4" customHeight="1">
      <c r="A271" s="733" t="n">
        <v>267</v>
      </c>
      <c r="B271" s="765" t="inlineStr">
        <is>
          <t>ဒေါ်ဝင်းတင့်</t>
        </is>
      </c>
      <c r="C271" s="730" t="inlineStr">
        <is>
          <t>D</t>
        </is>
      </c>
      <c r="D271" s="730" t="inlineStr">
        <is>
          <t>ထူးကုန်း</t>
        </is>
      </c>
      <c r="E271" s="733" t="inlineStr">
        <is>
          <t>ရမည်းသင်းမြို့</t>
        </is>
      </c>
      <c r="F271" s="733" t="inlineStr">
        <is>
          <t>Van3-1</t>
        </is>
      </c>
      <c r="G271" s="740" t="n"/>
      <c r="H271" s="740" t="inlineStr">
        <is>
          <t>ရွှေမြင်းပျံ(ရမသ)</t>
        </is>
      </c>
      <c r="I271" s="730" t="n">
        <v>2</v>
      </c>
    </row>
    <row r="272" ht="20.4" customHeight="1">
      <c r="A272" s="730" t="n">
        <v>268</v>
      </c>
      <c r="B272" s="765" t="inlineStr">
        <is>
          <t>အိရွှေဇင်</t>
        </is>
      </c>
      <c r="C272" s="730" t="inlineStr">
        <is>
          <t>D</t>
        </is>
      </c>
      <c r="D272" s="730" t="inlineStr">
        <is>
          <t>ဘွတ်ရွာ</t>
        </is>
      </c>
      <c r="E272" s="733" t="inlineStr">
        <is>
          <t>ရမည်းသင်းမြို့</t>
        </is>
      </c>
      <c r="F272" s="733" t="inlineStr">
        <is>
          <t>Van3-1</t>
        </is>
      </c>
      <c r="G272" s="740" t="n"/>
      <c r="H272" s="740" t="inlineStr">
        <is>
          <t>ရွှေမြင်းပျံ(ရမသ)</t>
        </is>
      </c>
      <c r="I272" s="730" t="n">
        <v>2</v>
      </c>
    </row>
    <row r="273" ht="20.4" customHeight="1">
      <c r="A273" s="730" t="n">
        <v>269</v>
      </c>
      <c r="B273" s="765" t="inlineStr">
        <is>
          <t>မထက်ထက်သန်း</t>
        </is>
      </c>
      <c r="C273" s="730" t="inlineStr">
        <is>
          <t>D</t>
        </is>
      </c>
      <c r="D273" s="730" t="inlineStr">
        <is>
          <t>ကန်သာအေး</t>
        </is>
      </c>
      <c r="E273" s="733" t="inlineStr">
        <is>
          <t>ရမည်းသင်းမြို့</t>
        </is>
      </c>
      <c r="F273" s="733" t="inlineStr">
        <is>
          <t>Van3-1</t>
        </is>
      </c>
      <c r="G273" s="737" t="n"/>
      <c r="H273" s="740" t="inlineStr">
        <is>
          <t>ရွှေမြင်းပျံ(ရမသ)</t>
        </is>
      </c>
      <c r="I273" s="730" t="n">
        <v>2</v>
      </c>
    </row>
    <row r="274" ht="20.4" customHeight="1">
      <c r="A274" s="730" t="n">
        <v>270</v>
      </c>
      <c r="B274" s="765" t="inlineStr">
        <is>
          <t>မမာလာခိုင်</t>
        </is>
      </c>
      <c r="C274" s="730" t="inlineStr">
        <is>
          <t>D</t>
        </is>
      </c>
      <c r="D274" s="730" t="inlineStr">
        <is>
          <t>ကန်သာအေး</t>
        </is>
      </c>
      <c r="E274" s="733" t="inlineStr">
        <is>
          <t>ရမည်းသင်းမြို့</t>
        </is>
      </c>
      <c r="F274" s="733" t="inlineStr">
        <is>
          <t>Van3-1</t>
        </is>
      </c>
      <c r="G274" s="737" t="n"/>
      <c r="H274" s="740" t="inlineStr">
        <is>
          <t>ရွှေမြင်းပျံ(ရမသ)</t>
        </is>
      </c>
      <c r="I274" s="730" t="n">
        <v>2</v>
      </c>
    </row>
    <row r="275" ht="20.4" customHeight="1">
      <c r="A275" s="733" t="n">
        <v>271</v>
      </c>
      <c r="B275" s="765" t="inlineStr">
        <is>
          <t>မချိုလေး</t>
        </is>
      </c>
      <c r="C275" s="730" t="inlineStr">
        <is>
          <t>D</t>
        </is>
      </c>
      <c r="D275" s="730" t="inlineStr">
        <is>
          <t>ကန်သာအေး</t>
        </is>
      </c>
      <c r="E275" s="733" t="inlineStr">
        <is>
          <t>ရမည်းသင်းမြို့</t>
        </is>
      </c>
      <c r="F275" s="733" t="inlineStr">
        <is>
          <t>Van3-1</t>
        </is>
      </c>
      <c r="G275" s="737" t="n"/>
      <c r="H275" s="740" t="inlineStr">
        <is>
          <t>ရွှေမြင်းပျံ(ရမသ)</t>
        </is>
      </c>
      <c r="I275" s="730" t="n">
        <v>2</v>
      </c>
    </row>
    <row r="276" ht="20.4" customHeight="1">
      <c r="A276" s="730" t="n">
        <v>272</v>
      </c>
      <c r="B276" s="765" t="inlineStr">
        <is>
          <t>မတရုတ်မ</t>
        </is>
      </c>
      <c r="C276" s="730" t="inlineStr">
        <is>
          <t>D</t>
        </is>
      </c>
      <c r="D276" s="730" t="inlineStr">
        <is>
          <t>ထူးကုန်း</t>
        </is>
      </c>
      <c r="E276" s="733" t="inlineStr">
        <is>
          <t>ရမည်းသင်းမြို့</t>
        </is>
      </c>
      <c r="F276" s="733" t="inlineStr">
        <is>
          <t>Van3-1</t>
        </is>
      </c>
      <c r="G276" s="737" t="n"/>
      <c r="H276" s="740" t="inlineStr">
        <is>
          <t>ရွှေမြင်းပျံ(ရမသ)</t>
        </is>
      </c>
      <c r="I276" s="730" t="n">
        <v>2</v>
      </c>
    </row>
    <row r="277" ht="20.4" customHeight="1">
      <c r="A277" s="730" t="n">
        <v>273</v>
      </c>
      <c r="B277" s="740" t="inlineStr">
        <is>
          <t>မမာလှိုင်</t>
        </is>
      </c>
      <c r="C277" s="730" t="inlineStr">
        <is>
          <t>D</t>
        </is>
      </c>
      <c r="D277" s="748" t="inlineStr">
        <is>
          <t>ကင်မွန်းခြုံ</t>
        </is>
      </c>
      <c r="E277" s="733" t="inlineStr">
        <is>
          <t>ရမည်းသင်းမြို့</t>
        </is>
      </c>
      <c r="F277" s="733" t="inlineStr">
        <is>
          <t>Van3-2</t>
        </is>
      </c>
      <c r="G277" s="737" t="inlineStr">
        <is>
          <t>09-695995977</t>
        </is>
      </c>
      <c r="H277" s="735" t="inlineStr">
        <is>
          <t>စံချိန်(ရမသ)</t>
        </is>
      </c>
      <c r="I277" s="730" t="n">
        <v>2</v>
      </c>
    </row>
    <row r="278" ht="20.4" customHeight="1">
      <c r="A278" s="730" t="n">
        <v>274</v>
      </c>
      <c r="B278" s="740" t="inlineStr">
        <is>
          <t>ကိုကျော်ထူး</t>
        </is>
      </c>
      <c r="C278" s="730" t="inlineStr">
        <is>
          <t>D</t>
        </is>
      </c>
      <c r="D278" s="748" t="inlineStr">
        <is>
          <t>ဇီးဖြူကုန်း</t>
        </is>
      </c>
      <c r="E278" s="733" t="inlineStr">
        <is>
          <t>ရမည်းသင်းမြို့</t>
        </is>
      </c>
      <c r="F278" s="733" t="inlineStr">
        <is>
          <t>Van3-2</t>
        </is>
      </c>
      <c r="G278" s="737" t="inlineStr">
        <is>
          <t>09-402718864</t>
        </is>
      </c>
      <c r="H278" s="735" t="inlineStr">
        <is>
          <t>စံချိန်(ရမသ)</t>
        </is>
      </c>
      <c r="I278" s="730" t="n">
        <v>2</v>
      </c>
    </row>
    <row r="279" ht="20.4" customHeight="1">
      <c r="A279" s="733" t="n">
        <v>275</v>
      </c>
      <c r="B279" s="740" t="inlineStr">
        <is>
          <t>ကိုထွန်းထွန်းအောင်</t>
        </is>
      </c>
      <c r="C279" s="730" t="inlineStr">
        <is>
          <t>D</t>
        </is>
      </c>
      <c r="D279" s="748" t="inlineStr">
        <is>
          <t>ညောင်အိုင်</t>
        </is>
      </c>
      <c r="E279" s="733" t="inlineStr">
        <is>
          <t>ရမည်းသင်းမြို့</t>
        </is>
      </c>
      <c r="F279" s="733" t="inlineStr">
        <is>
          <t>Van3-2</t>
        </is>
      </c>
      <c r="G279" s="737" t="inlineStr">
        <is>
          <t>09-683810014</t>
        </is>
      </c>
      <c r="H279" s="735" t="inlineStr">
        <is>
          <t>စံချိန်(ရမသ)</t>
        </is>
      </c>
      <c r="I279" s="730" t="n">
        <v>2</v>
      </c>
    </row>
    <row r="280" ht="20.4" customHeight="1">
      <c r="A280" s="730" t="n">
        <v>276</v>
      </c>
      <c r="B280" s="740" t="inlineStr">
        <is>
          <t>ကိုဇော်မင်းနိုင်</t>
        </is>
      </c>
      <c r="C280" s="730" t="inlineStr">
        <is>
          <t>D</t>
        </is>
      </c>
      <c r="D280" s="748" t="inlineStr">
        <is>
          <t>ညောင်အိုင်</t>
        </is>
      </c>
      <c r="E280" s="733" t="inlineStr">
        <is>
          <t>ရမည်းသင်းမြို့</t>
        </is>
      </c>
      <c r="F280" s="733" t="inlineStr">
        <is>
          <t>Van3-2</t>
        </is>
      </c>
      <c r="G280" s="737" t="inlineStr">
        <is>
          <t>09-678340300</t>
        </is>
      </c>
      <c r="H280" s="735" t="inlineStr">
        <is>
          <t>စံချိန်(ရမသ)</t>
        </is>
      </c>
      <c r="I280" s="730" t="n">
        <v>2</v>
      </c>
    </row>
    <row r="281" ht="20.4" customHeight="1">
      <c r="A281" s="730" t="n">
        <v>277</v>
      </c>
      <c r="B281" s="740" t="inlineStr">
        <is>
          <t>ကိုဇော်ကြီး</t>
        </is>
      </c>
      <c r="C281" s="730" t="inlineStr">
        <is>
          <t>D</t>
        </is>
      </c>
      <c r="D281" s="748" t="inlineStr">
        <is>
          <t>ညောင်အိုင်</t>
        </is>
      </c>
      <c r="E281" s="733" t="inlineStr">
        <is>
          <t>ရမည်းသင်းမြို့</t>
        </is>
      </c>
      <c r="F281" s="733" t="inlineStr">
        <is>
          <t>Van3-2</t>
        </is>
      </c>
      <c r="G281" s="737" t="inlineStr">
        <is>
          <t>09-668876085</t>
        </is>
      </c>
      <c r="H281" s="735" t="inlineStr">
        <is>
          <t>စံချိန်(ရမသ)</t>
        </is>
      </c>
      <c r="I281" s="730" t="n">
        <v>2</v>
      </c>
    </row>
    <row r="282" ht="20.4" customHeight="1">
      <c r="A282" s="730" t="n">
        <v>278</v>
      </c>
      <c r="B282" s="740" t="inlineStr">
        <is>
          <t>ကိုစိုင်း</t>
        </is>
      </c>
      <c r="C282" s="730" t="inlineStr">
        <is>
          <t>D</t>
        </is>
      </c>
      <c r="D282" s="748" t="inlineStr">
        <is>
          <t>ညောင်အိုင်</t>
        </is>
      </c>
      <c r="E282" s="733" t="inlineStr">
        <is>
          <t>ရမည်းသင်းမြို့</t>
        </is>
      </c>
      <c r="F282" s="733" t="inlineStr">
        <is>
          <t>Van3-2</t>
        </is>
      </c>
      <c r="G282" s="737" t="n"/>
      <c r="H282" s="735" t="inlineStr">
        <is>
          <t>စံချိန်(ရမသ)</t>
        </is>
      </c>
      <c r="I282" s="730" t="n">
        <v>2</v>
      </c>
    </row>
    <row r="283" ht="20.4" customHeight="1">
      <c r="A283" s="733" t="n">
        <v>279</v>
      </c>
      <c r="B283" s="766" t="inlineStr">
        <is>
          <t>မညိုညိုသက်</t>
        </is>
      </c>
      <c r="C283" s="730" t="inlineStr">
        <is>
          <t>D</t>
        </is>
      </c>
      <c r="D283" s="748" t="inlineStr">
        <is>
          <t>ထီးလှိုင်</t>
        </is>
      </c>
      <c r="E283" s="733" t="inlineStr">
        <is>
          <t>ရမည်းသင်းမြို့</t>
        </is>
      </c>
      <c r="F283" s="733" t="inlineStr">
        <is>
          <t>Van3-2</t>
        </is>
      </c>
      <c r="G283" s="737" t="n"/>
      <c r="H283" s="735" t="inlineStr">
        <is>
          <t>မိုးယံ(ရမသ)</t>
        </is>
      </c>
      <c r="I283" s="730" t="n">
        <v>2</v>
      </c>
    </row>
    <row r="284" ht="20.4" customHeight="1">
      <c r="A284" s="730" t="n">
        <v>280</v>
      </c>
      <c r="B284" s="740" t="inlineStr">
        <is>
          <t>ဦးမြင့်တင်</t>
        </is>
      </c>
      <c r="C284" s="730" t="inlineStr">
        <is>
          <t>D</t>
        </is>
      </c>
      <c r="D284" s="748" t="inlineStr">
        <is>
          <t>စည်းခုံ</t>
        </is>
      </c>
      <c r="E284" s="733" t="inlineStr">
        <is>
          <t>ရမည်းသင်းမြို့</t>
        </is>
      </c>
      <c r="F284" s="733" t="inlineStr">
        <is>
          <t>Van3-2</t>
        </is>
      </c>
      <c r="G284" s="737" t="inlineStr">
        <is>
          <t>09-775126779</t>
        </is>
      </c>
      <c r="H284" s="735" t="inlineStr">
        <is>
          <t>မိုးယံ(ရမသ)</t>
        </is>
      </c>
      <c r="I284" s="730" t="n">
        <v>2</v>
      </c>
    </row>
    <row r="285" ht="20.4" customHeight="1">
      <c r="A285" s="730" t="n">
        <v>281</v>
      </c>
      <c r="B285" s="740" t="inlineStr">
        <is>
          <t>ဒေါ်အေးခိုင်</t>
        </is>
      </c>
      <c r="C285" s="730" t="inlineStr">
        <is>
          <t>D</t>
        </is>
      </c>
      <c r="D285" s="748" t="inlineStr">
        <is>
          <t>သရက်ညီနောင်</t>
        </is>
      </c>
      <c r="E285" s="733" t="inlineStr">
        <is>
          <t>ရမည်းသင်းမြို့</t>
        </is>
      </c>
      <c r="F285" s="733" t="inlineStr">
        <is>
          <t>Van3-2</t>
        </is>
      </c>
      <c r="G285" s="737" t="n"/>
      <c r="H285" s="735" t="inlineStr">
        <is>
          <t>မိုးယံ(ရမသ)</t>
        </is>
      </c>
      <c r="I285" s="730" t="n">
        <v>2</v>
      </c>
    </row>
    <row r="286" ht="20.4" customHeight="1">
      <c r="A286" s="730" t="n">
        <v>282</v>
      </c>
      <c r="B286" s="740" t="inlineStr">
        <is>
          <t>ဒေါ်ဇင်မာဝင်း</t>
        </is>
      </c>
      <c r="C286" s="730" t="inlineStr">
        <is>
          <t>D</t>
        </is>
      </c>
      <c r="D286" s="748" t="inlineStr">
        <is>
          <t>သရက်ညီနောင်</t>
        </is>
      </c>
      <c r="E286" s="733" t="inlineStr">
        <is>
          <t>ရမည်းသင်းမြို့</t>
        </is>
      </c>
      <c r="F286" s="733" t="inlineStr">
        <is>
          <t>Van3-2</t>
        </is>
      </c>
      <c r="G286" s="737" t="n"/>
      <c r="H286" s="735" t="inlineStr">
        <is>
          <t>မိုးယံ(ရမသ)</t>
        </is>
      </c>
      <c r="I286" s="730" t="n">
        <v>2</v>
      </c>
    </row>
    <row r="287" ht="20.4" customHeight="1">
      <c r="A287" s="733" t="n">
        <v>283</v>
      </c>
      <c r="B287" s="743" t="inlineStr">
        <is>
          <t>ကိုဘိုဘို</t>
        </is>
      </c>
      <c r="C287" s="730" t="inlineStr">
        <is>
          <t>D</t>
        </is>
      </c>
      <c r="D287" s="730" t="inlineStr">
        <is>
          <t>မြို့လှ</t>
        </is>
      </c>
      <c r="E287" s="733" t="inlineStr">
        <is>
          <t>ရမည်းသင်းမြို့</t>
        </is>
      </c>
      <c r="F287" s="733" t="inlineStr">
        <is>
          <t>Van3-3</t>
        </is>
      </c>
      <c r="G287" s="730" t="n"/>
      <c r="H287" s="735" t="inlineStr">
        <is>
          <t>စံချိန်(ရမသ)</t>
        </is>
      </c>
      <c r="I287" s="730" t="n">
        <v>2</v>
      </c>
    </row>
    <row r="288" ht="20.4" customHeight="1">
      <c r="A288" s="730" t="n">
        <v>284</v>
      </c>
      <c r="B288" s="743" t="inlineStr">
        <is>
          <t>ကိုမင်းမင်း</t>
        </is>
      </c>
      <c r="C288" s="730" t="inlineStr">
        <is>
          <t>D</t>
        </is>
      </c>
      <c r="D288" s="730" t="inlineStr">
        <is>
          <t>အင်းပေါင်</t>
        </is>
      </c>
      <c r="E288" s="733" t="inlineStr">
        <is>
          <t>ရမည်းသင်းမြို့</t>
        </is>
      </c>
      <c r="F288" s="733" t="inlineStr">
        <is>
          <t>Van3-3</t>
        </is>
      </c>
      <c r="G288" s="730" t="n"/>
      <c r="H288" s="735" t="inlineStr">
        <is>
          <t>စံချိန်(ရမသ)</t>
        </is>
      </c>
      <c r="I288" s="730" t="n">
        <v>2</v>
      </c>
    </row>
    <row r="289" ht="20.4" customHeight="1">
      <c r="A289" s="730" t="n">
        <v>285</v>
      </c>
      <c r="B289" s="743" t="inlineStr">
        <is>
          <t>ကိုကျော်မျိုးဆွေ</t>
        </is>
      </c>
      <c r="C289" s="730" t="inlineStr">
        <is>
          <t>D</t>
        </is>
      </c>
      <c r="D289" s="730" t="inlineStr">
        <is>
          <t>အင်းပေါင်</t>
        </is>
      </c>
      <c r="E289" s="733" t="inlineStr">
        <is>
          <t>ရမည်းသင်းမြို့</t>
        </is>
      </c>
      <c r="F289" s="733" t="inlineStr">
        <is>
          <t>Van3-3</t>
        </is>
      </c>
      <c r="G289" s="730" t="n"/>
      <c r="H289" s="735" t="inlineStr">
        <is>
          <t>စံချိန်(ရမသ)</t>
        </is>
      </c>
      <c r="I289" s="730" t="n">
        <v>2</v>
      </c>
    </row>
    <row r="290" ht="20.4" customHeight="1">
      <c r="A290" s="730" t="n">
        <v>286</v>
      </c>
      <c r="B290" s="743" t="inlineStr">
        <is>
          <t>မမာဝင်း</t>
        </is>
      </c>
      <c r="C290" s="730" t="inlineStr">
        <is>
          <t>D</t>
        </is>
      </c>
      <c r="D290" s="730" t="inlineStr">
        <is>
          <t>အင်းပေါင်</t>
        </is>
      </c>
      <c r="E290" s="733" t="inlineStr">
        <is>
          <t>ရမည်းသင်းမြို့</t>
        </is>
      </c>
      <c r="F290" s="733" t="inlineStr">
        <is>
          <t>Van3-3</t>
        </is>
      </c>
      <c r="G290" s="730" t="n"/>
      <c r="H290" s="735" t="inlineStr">
        <is>
          <t>စံချိန်(ရမသ)</t>
        </is>
      </c>
      <c r="I290" s="730" t="n">
        <v>2</v>
      </c>
    </row>
    <row r="291" ht="20.4" customHeight="1">
      <c r="A291" s="733" t="n">
        <v>287</v>
      </c>
      <c r="B291" s="743" t="inlineStr">
        <is>
          <t>ပိုပိုပြည့်စုံ</t>
        </is>
      </c>
      <c r="C291" s="730" t="inlineStr">
        <is>
          <t>D</t>
        </is>
      </c>
      <c r="D291" s="730" t="inlineStr">
        <is>
          <t>အင်းပေါင်</t>
        </is>
      </c>
      <c r="E291" s="733" t="inlineStr">
        <is>
          <t>ရမည်းသင်းမြို့</t>
        </is>
      </c>
      <c r="F291" s="733" t="inlineStr">
        <is>
          <t>Van3-3</t>
        </is>
      </c>
      <c r="G291" s="730" t="n"/>
      <c r="H291" s="735" t="inlineStr">
        <is>
          <t>စံချိန်(ရမသ)</t>
        </is>
      </c>
      <c r="I291" s="730" t="n">
        <v>2</v>
      </c>
    </row>
    <row r="292" ht="20.4" customHeight="1">
      <c r="A292" s="730" t="n">
        <v>288</v>
      </c>
      <c r="B292" s="743" t="inlineStr">
        <is>
          <t>ဦးကံကောင်း</t>
        </is>
      </c>
      <c r="C292" s="730" t="inlineStr">
        <is>
          <t>D</t>
        </is>
      </c>
      <c r="D292" s="730" t="inlineStr">
        <is>
          <t>မြို့လှ</t>
        </is>
      </c>
      <c r="E292" s="733" t="inlineStr">
        <is>
          <t>ရမည်းသင်းမြို့</t>
        </is>
      </c>
      <c r="F292" s="733" t="inlineStr">
        <is>
          <t>Van3-3</t>
        </is>
      </c>
      <c r="G292" s="730" t="inlineStr">
        <is>
          <t>09-777681681</t>
        </is>
      </c>
      <c r="H292" s="735" t="inlineStr">
        <is>
          <t>စံချိန်(ရမသ)</t>
        </is>
      </c>
      <c r="I292" s="730" t="n">
        <v>2</v>
      </c>
    </row>
    <row r="293" ht="20.4" customHeight="1">
      <c r="A293" s="730" t="n">
        <v>289</v>
      </c>
      <c r="B293" s="743" t="inlineStr">
        <is>
          <t>ဦးနိုင်ဦး</t>
        </is>
      </c>
      <c r="C293" s="730" t="inlineStr">
        <is>
          <t>D</t>
        </is>
      </c>
      <c r="D293" s="730" t="inlineStr">
        <is>
          <t>မြို့လှ</t>
        </is>
      </c>
      <c r="E293" s="733" t="inlineStr">
        <is>
          <t>ရမည်းသင်းမြို့</t>
        </is>
      </c>
      <c r="F293" s="733" t="inlineStr">
        <is>
          <t>Van3-3</t>
        </is>
      </c>
      <c r="G293" s="730" t="inlineStr">
        <is>
          <t>09-424749049</t>
        </is>
      </c>
      <c r="H293" s="735" t="inlineStr">
        <is>
          <t>စံချိန်(ရမသ)</t>
        </is>
      </c>
      <c r="I293" s="730" t="n">
        <v>2</v>
      </c>
    </row>
    <row r="294" ht="20.4" customHeight="1">
      <c r="A294" s="730" t="n">
        <v>290</v>
      </c>
      <c r="B294" s="743" t="inlineStr">
        <is>
          <t>မဝိုင်းဝိုင်း</t>
        </is>
      </c>
      <c r="C294" s="730" t="inlineStr">
        <is>
          <t>D</t>
        </is>
      </c>
      <c r="D294" s="730" t="inlineStr">
        <is>
          <t>မြို့လှ</t>
        </is>
      </c>
      <c r="E294" s="733" t="inlineStr">
        <is>
          <t>ရမည်းသင်းမြို့</t>
        </is>
      </c>
      <c r="F294" s="733" t="inlineStr">
        <is>
          <t>Van3-3</t>
        </is>
      </c>
      <c r="G294" s="730" t="inlineStr">
        <is>
          <t>09-790581390</t>
        </is>
      </c>
      <c r="H294" s="735" t="inlineStr">
        <is>
          <t>စံချိန်(ရမသ)</t>
        </is>
      </c>
      <c r="I294" s="730" t="n">
        <v>2</v>
      </c>
    </row>
    <row r="295" ht="20.4" customHeight="1">
      <c r="A295" s="733" t="n">
        <v>291</v>
      </c>
      <c r="B295" s="743" t="inlineStr">
        <is>
          <t>ကိုစိုးသူ</t>
        </is>
      </c>
      <c r="C295" s="730" t="inlineStr">
        <is>
          <t>D</t>
        </is>
      </c>
      <c r="D295" s="730" t="inlineStr">
        <is>
          <t>ဝါးရုံ</t>
        </is>
      </c>
      <c r="E295" s="733" t="inlineStr">
        <is>
          <t>ရမည်းသင်းမြို့</t>
        </is>
      </c>
      <c r="F295" s="733" t="inlineStr">
        <is>
          <t>Van3-3</t>
        </is>
      </c>
      <c r="G295" s="730" t="n"/>
      <c r="H295" s="735" t="inlineStr">
        <is>
          <t>စံချိန်(ရမသ)</t>
        </is>
      </c>
      <c r="I295" s="730" t="n">
        <v>2</v>
      </c>
    </row>
    <row r="296" ht="20.4" customHeight="1">
      <c r="A296" s="730" t="n">
        <v>292</v>
      </c>
      <c r="B296" s="743" t="inlineStr">
        <is>
          <t>မရီဝင်း</t>
        </is>
      </c>
      <c r="C296" s="730" t="inlineStr">
        <is>
          <t>D</t>
        </is>
      </c>
      <c r="D296" s="730" t="inlineStr">
        <is>
          <t>ဝါးရုံ</t>
        </is>
      </c>
      <c r="E296" s="733" t="inlineStr">
        <is>
          <t>ရမည်းသင်းမြို့</t>
        </is>
      </c>
      <c r="F296" s="733" t="inlineStr">
        <is>
          <t>Van3-3</t>
        </is>
      </c>
      <c r="G296" s="730" t="n"/>
      <c r="H296" s="735" t="inlineStr">
        <is>
          <t>စံချိန်(ရမသ)</t>
        </is>
      </c>
      <c r="I296" s="730" t="n">
        <v>2</v>
      </c>
    </row>
    <row r="297" ht="20.4" customHeight="1">
      <c r="A297" s="730" t="n">
        <v>293</v>
      </c>
      <c r="B297" s="743" t="inlineStr">
        <is>
          <t>မတင်မိုးခိုင်</t>
        </is>
      </c>
      <c r="C297" s="730" t="inlineStr">
        <is>
          <t>D</t>
        </is>
      </c>
      <c r="D297" s="730" t="inlineStr">
        <is>
          <t>ဝါးရုံ</t>
        </is>
      </c>
      <c r="E297" s="733" t="inlineStr">
        <is>
          <t>ရမည်းသင်းမြို့</t>
        </is>
      </c>
      <c r="F297" s="733" t="inlineStr">
        <is>
          <t>Van3-3</t>
        </is>
      </c>
      <c r="G297" s="730" t="inlineStr">
        <is>
          <t>09-689005273</t>
        </is>
      </c>
      <c r="H297" s="735" t="inlineStr">
        <is>
          <t>စံချိန်(ရမသ)</t>
        </is>
      </c>
      <c r="I297" s="730" t="n">
        <v>2</v>
      </c>
    </row>
    <row r="298" ht="20.4" customHeight="1">
      <c r="A298" s="730" t="n">
        <v>294</v>
      </c>
      <c r="B298" s="743" t="inlineStr">
        <is>
          <t>မတိုးတိုး</t>
        </is>
      </c>
      <c r="C298" s="730" t="inlineStr">
        <is>
          <t>D</t>
        </is>
      </c>
      <c r="D298" s="730" t="inlineStr">
        <is>
          <t>ဝါးရုံ</t>
        </is>
      </c>
      <c r="E298" s="733" t="inlineStr">
        <is>
          <t>ရမည်းသင်းမြို့</t>
        </is>
      </c>
      <c r="F298" s="733" t="inlineStr">
        <is>
          <t>Van3-3</t>
        </is>
      </c>
      <c r="G298" s="730" t="n"/>
      <c r="H298" s="735" t="inlineStr">
        <is>
          <t>စံချိန်(ရမသ)</t>
        </is>
      </c>
      <c r="I298" s="730" t="n">
        <v>2</v>
      </c>
    </row>
    <row r="299" ht="20.4" customHeight="1">
      <c r="A299" s="733" t="n">
        <v>295</v>
      </c>
      <c r="B299" s="743" t="inlineStr">
        <is>
          <t>မကြည်ဖြူ</t>
        </is>
      </c>
      <c r="C299" s="730" t="inlineStr">
        <is>
          <t>D</t>
        </is>
      </c>
      <c r="D299" s="730" t="inlineStr">
        <is>
          <t>ဝါးရုံ</t>
        </is>
      </c>
      <c r="E299" s="733" t="inlineStr">
        <is>
          <t>ရမည်းသင်းမြို့</t>
        </is>
      </c>
      <c r="F299" s="733" t="inlineStr">
        <is>
          <t>Van3-3</t>
        </is>
      </c>
      <c r="G299" s="730" t="n"/>
      <c r="H299" s="735" t="inlineStr">
        <is>
          <t>စံချိန်(ရမသ)</t>
        </is>
      </c>
      <c r="I299" s="730" t="n">
        <v>2</v>
      </c>
    </row>
    <row r="300" ht="20.4" customHeight="1">
      <c r="A300" s="730" t="n">
        <v>296</v>
      </c>
      <c r="B300" s="743" t="inlineStr">
        <is>
          <t>မိဘအရိပ်</t>
        </is>
      </c>
      <c r="C300" s="730" t="inlineStr">
        <is>
          <t>D</t>
        </is>
      </c>
      <c r="D300" s="730" t="inlineStr">
        <is>
          <t>ကျီစု</t>
        </is>
      </c>
      <c r="E300" s="733" t="inlineStr">
        <is>
          <t>ရမည်းသင်းမြို့</t>
        </is>
      </c>
      <c r="F300" s="733" t="inlineStr">
        <is>
          <t>Van3-4</t>
        </is>
      </c>
      <c r="G300" s="748" t="n"/>
      <c r="H300" s="740" t="inlineStr">
        <is>
          <t>ရွှေမြင်းပျံ(ရမသ)</t>
        </is>
      </c>
      <c r="I300" s="730" t="n">
        <v>2</v>
      </c>
    </row>
    <row r="301" ht="20.4" customHeight="1">
      <c r="A301" s="730" t="n">
        <v>297</v>
      </c>
      <c r="B301" s="743" t="inlineStr">
        <is>
          <t>ဒေါ်ကြည်ထွေး</t>
        </is>
      </c>
      <c r="C301" s="730" t="inlineStr">
        <is>
          <t>D</t>
        </is>
      </c>
      <c r="D301" s="730" t="inlineStr">
        <is>
          <t>ခံဘူး</t>
        </is>
      </c>
      <c r="E301" s="733" t="inlineStr">
        <is>
          <t>ရမည်းသင်းမြို့</t>
        </is>
      </c>
      <c r="F301" s="733" t="inlineStr">
        <is>
          <t>Van3-4</t>
        </is>
      </c>
      <c r="G301" s="748" t="n"/>
      <c r="H301" s="740" t="inlineStr">
        <is>
          <t>ရွှေမြင်းပျံ(ရမသ)</t>
        </is>
      </c>
      <c r="I301" s="730" t="n">
        <v>2</v>
      </c>
    </row>
    <row r="302" ht="20.4" customHeight="1">
      <c r="A302" s="730" t="n">
        <v>298</v>
      </c>
      <c r="B302" s="743" t="inlineStr">
        <is>
          <t>တေဇလင်း</t>
        </is>
      </c>
      <c r="C302" s="730" t="inlineStr">
        <is>
          <t>D</t>
        </is>
      </c>
      <c r="D302" s="730" t="inlineStr">
        <is>
          <t>နန်းလုံ</t>
        </is>
      </c>
      <c r="E302" s="733" t="inlineStr">
        <is>
          <t>ရမည်းသင်းမြို့</t>
        </is>
      </c>
      <c r="F302" s="733" t="inlineStr">
        <is>
          <t>Van3-4</t>
        </is>
      </c>
      <c r="G302" s="748" t="n"/>
      <c r="H302" s="740" t="inlineStr">
        <is>
          <t>ရွှေမြင်းပျံ(ရမသ)</t>
        </is>
      </c>
      <c r="I302" s="730" t="n">
        <v>2</v>
      </c>
    </row>
    <row r="303" ht="20.4" customHeight="1">
      <c r="A303" s="733" t="n">
        <v>299</v>
      </c>
      <c r="B303" s="743" t="inlineStr">
        <is>
          <t>မဖော့</t>
        </is>
      </c>
      <c r="C303" s="730" t="inlineStr">
        <is>
          <t>D</t>
        </is>
      </c>
      <c r="D303" s="730" t="inlineStr">
        <is>
          <t>ခံဘူး</t>
        </is>
      </c>
      <c r="E303" s="733" t="inlineStr">
        <is>
          <t>ရမည်းသင်းမြို့</t>
        </is>
      </c>
      <c r="F303" s="733" t="inlineStr">
        <is>
          <t>Van3-4</t>
        </is>
      </c>
      <c r="G303" s="748" t="n"/>
      <c r="H303" s="740" t="inlineStr">
        <is>
          <t>ရွှေမြင်းပျံ(ရမသ)</t>
        </is>
      </c>
      <c r="I303" s="730" t="n">
        <v>2</v>
      </c>
    </row>
    <row r="304" ht="20.4" customHeight="1">
      <c r="A304" s="730" t="n">
        <v>300</v>
      </c>
      <c r="B304" s="743" t="inlineStr">
        <is>
          <t>ကိုမိုးဝေ</t>
        </is>
      </c>
      <c r="C304" s="730" t="inlineStr">
        <is>
          <t>D</t>
        </is>
      </c>
      <c r="D304" s="730" t="inlineStr">
        <is>
          <t>ခံဘူး</t>
        </is>
      </c>
      <c r="E304" s="733" t="inlineStr">
        <is>
          <t>ရမည်းသင်းမြို့</t>
        </is>
      </c>
      <c r="F304" s="733" t="inlineStr">
        <is>
          <t>Van3-4</t>
        </is>
      </c>
      <c r="G304" s="748" t="n"/>
      <c r="H304" s="740" t="inlineStr">
        <is>
          <t>ရွှေမြင်းပျံ(ရမသ)</t>
        </is>
      </c>
      <c r="I304" s="730" t="n">
        <v>2</v>
      </c>
    </row>
    <row r="305" ht="20.4" customHeight="1">
      <c r="A305" s="730" t="n">
        <v>301</v>
      </c>
      <c r="B305" s="740" t="inlineStr">
        <is>
          <t>မမိသေး</t>
        </is>
      </c>
      <c r="C305" s="730" t="inlineStr">
        <is>
          <t>D</t>
        </is>
      </c>
      <c r="D305" s="727" t="inlineStr">
        <is>
          <t>ဈေးကုန်းကြီး</t>
        </is>
      </c>
      <c r="E305" s="733" t="inlineStr">
        <is>
          <t>ရမည်းသင်းမြို့</t>
        </is>
      </c>
      <c r="F305" s="733" t="inlineStr">
        <is>
          <t>Van3-5</t>
        </is>
      </c>
      <c r="G305" s="748" t="n"/>
      <c r="H305" s="735" t="inlineStr">
        <is>
          <t>စံချိန်(ရမသ)</t>
        </is>
      </c>
      <c r="I305" s="730" t="n">
        <v>2</v>
      </c>
    </row>
    <row r="306" ht="20.4" customHeight="1">
      <c r="A306" s="730" t="n">
        <v>302</v>
      </c>
      <c r="B306" s="740" t="inlineStr">
        <is>
          <t>မညိုသက်</t>
        </is>
      </c>
      <c r="C306" s="730" t="inlineStr">
        <is>
          <t>D</t>
        </is>
      </c>
      <c r="D306" s="727" t="inlineStr">
        <is>
          <t>ဈေးကုန်းကြီး</t>
        </is>
      </c>
      <c r="E306" s="733" t="inlineStr">
        <is>
          <t>ရမည်းသင်းမြို့</t>
        </is>
      </c>
      <c r="F306" s="733" t="inlineStr">
        <is>
          <t>Van3-5</t>
        </is>
      </c>
      <c r="G306" s="748" t="n"/>
      <c r="H306" s="735" t="inlineStr">
        <is>
          <t>စံချိန်(ရမသ)</t>
        </is>
      </c>
      <c r="I306" s="730" t="n">
        <v>2</v>
      </c>
    </row>
    <row r="307" ht="20.4" customHeight="1">
      <c r="A307" s="733" t="n">
        <v>303</v>
      </c>
      <c r="B307" s="740" t="inlineStr">
        <is>
          <t>ကိုမောင်တုတ်</t>
        </is>
      </c>
      <c r="C307" s="730" t="inlineStr">
        <is>
          <t>D</t>
        </is>
      </c>
      <c r="D307" s="727" t="inlineStr">
        <is>
          <t>အလယ်ကုန်း</t>
        </is>
      </c>
      <c r="E307" s="733" t="inlineStr">
        <is>
          <t>ရမည်းသင်းမြို့</t>
        </is>
      </c>
      <c r="F307" s="733" t="inlineStr">
        <is>
          <t>Van3-5</t>
        </is>
      </c>
      <c r="G307" s="748" t="n"/>
      <c r="H307" s="735" t="inlineStr">
        <is>
          <t>စံချိန်(ရမသ)</t>
        </is>
      </c>
      <c r="I307" s="730" t="n">
        <v>2</v>
      </c>
    </row>
    <row r="308" ht="20.4" customHeight="1">
      <c r="A308" s="730" t="n">
        <v>304</v>
      </c>
      <c r="B308" s="743" t="inlineStr">
        <is>
          <t>ကိုမြင့်အောင်</t>
        </is>
      </c>
      <c r="C308" s="730" t="inlineStr">
        <is>
          <t>D</t>
        </is>
      </c>
      <c r="D308" s="727" t="inlineStr">
        <is>
          <t>အလယ်ကုန်း</t>
        </is>
      </c>
      <c r="E308" s="733" t="inlineStr">
        <is>
          <t>ရမည်းသင်းမြို့</t>
        </is>
      </c>
      <c r="F308" s="733" t="inlineStr">
        <is>
          <t>Van3-5</t>
        </is>
      </c>
      <c r="G308" s="748" t="n"/>
      <c r="H308" s="735" t="inlineStr">
        <is>
          <t>စံချိန်(ရမသ)</t>
        </is>
      </c>
      <c r="I308" s="730" t="n">
        <v>2</v>
      </c>
    </row>
    <row r="309" ht="20.4" customHeight="1">
      <c r="A309" s="730" t="n">
        <v>305</v>
      </c>
      <c r="B309" s="743" t="inlineStr">
        <is>
          <t>ကြံတိုင်းအောင်</t>
        </is>
      </c>
      <c r="C309" s="730" t="inlineStr">
        <is>
          <t>D</t>
        </is>
      </c>
      <c r="D309" s="727" t="inlineStr">
        <is>
          <t>အလယ်ကုန်း</t>
        </is>
      </c>
      <c r="E309" s="733" t="inlineStr">
        <is>
          <t>ရမည်းသင်းမြို့</t>
        </is>
      </c>
      <c r="F309" s="733" t="inlineStr">
        <is>
          <t>Van3-5</t>
        </is>
      </c>
      <c r="G309" s="748" t="n"/>
      <c r="H309" s="735" t="inlineStr">
        <is>
          <t>စံချိန်(ရမသ)</t>
        </is>
      </c>
      <c r="I309" s="730" t="n">
        <v>2</v>
      </c>
    </row>
    <row r="310" ht="20.4" customHeight="1">
      <c r="A310" s="730" t="n">
        <v>306</v>
      </c>
      <c r="B310" s="743" t="inlineStr">
        <is>
          <t>ဒေါ်ဝင်းတင့်</t>
        </is>
      </c>
      <c r="C310" s="730" t="inlineStr">
        <is>
          <t>D</t>
        </is>
      </c>
      <c r="D310" s="730" t="inlineStr">
        <is>
          <t>ကုက္ကိုကုန်း</t>
        </is>
      </c>
      <c r="E310" s="733" t="inlineStr">
        <is>
          <t>ရမည်းသင်းမြို့</t>
        </is>
      </c>
      <c r="F310" s="733" t="inlineStr">
        <is>
          <t>Van3-5</t>
        </is>
      </c>
      <c r="G310" s="748" t="n"/>
      <c r="H310" s="735" t="inlineStr">
        <is>
          <t>စံချိန်(ရမသ)</t>
        </is>
      </c>
      <c r="I310" s="730" t="n">
        <v>2</v>
      </c>
    </row>
    <row r="311" ht="20.4" customHeight="1">
      <c r="A311" s="730" t="n">
        <v>307</v>
      </c>
      <c r="B311" s="737" t="inlineStr">
        <is>
          <t>ရွှေမဟာ</t>
        </is>
      </c>
      <c r="C311" s="730" t="inlineStr">
        <is>
          <t>D</t>
        </is>
      </c>
      <c r="D311" s="748" t="inlineStr">
        <is>
          <t>ရွာတန်း</t>
        </is>
      </c>
      <c r="E311" s="733" t="inlineStr">
        <is>
          <t>ရမည်းသင်းမြို့</t>
        </is>
      </c>
      <c r="F311" s="733" t="inlineStr">
        <is>
          <t>Van3-6</t>
        </is>
      </c>
      <c r="G311" s="748" t="n"/>
      <c r="H311" s="735" t="inlineStr">
        <is>
          <t>စံချိန်(ရမသ)</t>
        </is>
      </c>
      <c r="I311" s="730" t="n">
        <v>2</v>
      </c>
    </row>
    <row r="312" ht="20.4" customHeight="1">
      <c r="A312" s="730" t="n">
        <v>308</v>
      </c>
      <c r="B312" s="737" t="inlineStr">
        <is>
          <t>ကိုစောဂျော်နီ</t>
        </is>
      </c>
      <c r="C312" s="730" t="inlineStr">
        <is>
          <t>D</t>
        </is>
      </c>
      <c r="D312" s="748" t="inlineStr">
        <is>
          <t>ဂွေးကုန်း</t>
        </is>
      </c>
      <c r="E312" s="733" t="inlineStr">
        <is>
          <t>ရမည်းသင်းမြို့</t>
        </is>
      </c>
      <c r="F312" s="733" t="inlineStr">
        <is>
          <t>Van3-6</t>
        </is>
      </c>
      <c r="G312" s="748" t="n"/>
      <c r="H312" s="735" t="inlineStr">
        <is>
          <t>စံချိန်(ရမသ)</t>
        </is>
      </c>
      <c r="I312" s="730" t="n">
        <v>2</v>
      </c>
    </row>
    <row r="313" ht="20.4" customHeight="1">
      <c r="A313" s="730" t="n">
        <v>309</v>
      </c>
      <c r="B313" s="737" t="inlineStr">
        <is>
          <t>မအေးဆင့်</t>
        </is>
      </c>
      <c r="C313" s="730" t="inlineStr">
        <is>
          <t>D</t>
        </is>
      </c>
      <c r="D313" s="748" t="inlineStr">
        <is>
          <t>ဂွေးကုန်း</t>
        </is>
      </c>
      <c r="E313" s="733" t="inlineStr">
        <is>
          <t>ရမည်းသင်းမြို့</t>
        </is>
      </c>
      <c r="F313" s="733" t="inlineStr">
        <is>
          <t>Van3-6</t>
        </is>
      </c>
      <c r="G313" s="748" t="n"/>
      <c r="H313" s="735" t="inlineStr">
        <is>
          <t>စံချိန်(ရမသ)</t>
        </is>
      </c>
      <c r="I313" s="730" t="n">
        <v>2</v>
      </c>
    </row>
    <row r="314" ht="20.4" customHeight="1">
      <c r="A314" s="730" t="n">
        <v>310</v>
      </c>
      <c r="B314" s="740" t="inlineStr">
        <is>
          <t>ကိုလင်းလက်</t>
        </is>
      </c>
      <c r="C314" s="730" t="inlineStr">
        <is>
          <t>D</t>
        </is>
      </c>
      <c r="D314" s="748" t="inlineStr">
        <is>
          <t>ဂွေးကုန်း</t>
        </is>
      </c>
      <c r="E314" s="733" t="inlineStr">
        <is>
          <t>ရမည်းသင်းမြို့</t>
        </is>
      </c>
      <c r="F314" s="733" t="inlineStr">
        <is>
          <t>Van3-6</t>
        </is>
      </c>
      <c r="G314" s="748" t="n"/>
      <c r="H314" s="735" t="inlineStr">
        <is>
          <t>စံချိန်(ရမသ)</t>
        </is>
      </c>
      <c r="I314" s="730" t="n">
        <v>2</v>
      </c>
    </row>
    <row r="315" ht="20.4" customHeight="1">
      <c r="A315" s="730" t="n">
        <v>311</v>
      </c>
      <c r="B315" s="737" t="inlineStr">
        <is>
          <t>ကိုဝေ</t>
        </is>
      </c>
      <c r="C315" s="730" t="inlineStr">
        <is>
          <t>D</t>
        </is>
      </c>
      <c r="D315" s="748" t="inlineStr">
        <is>
          <t>ဂွေးကုန်း</t>
        </is>
      </c>
      <c r="E315" s="733" t="inlineStr">
        <is>
          <t>ရမည်းသင်းမြို့</t>
        </is>
      </c>
      <c r="F315" s="733" t="inlineStr">
        <is>
          <t>Van3-6</t>
        </is>
      </c>
      <c r="G315" s="748" t="n"/>
      <c r="H315" s="735" t="inlineStr">
        <is>
          <t>စံချိန်(ရမသ)</t>
        </is>
      </c>
      <c r="I315" s="730" t="n">
        <v>2</v>
      </c>
    </row>
    <row r="316" ht="20.4" customHeight="1">
      <c r="A316" s="730" t="n">
        <v>312</v>
      </c>
      <c r="B316" s="737" t="inlineStr">
        <is>
          <t>မစောမူ</t>
        </is>
      </c>
      <c r="C316" s="730" t="inlineStr">
        <is>
          <t>D</t>
        </is>
      </c>
      <c r="D316" s="748" t="inlineStr">
        <is>
          <t>ဂွေးကုန်း</t>
        </is>
      </c>
      <c r="E316" s="733" t="inlineStr">
        <is>
          <t>ရမည်းသင်းမြို့</t>
        </is>
      </c>
      <c r="F316" s="733" t="inlineStr">
        <is>
          <t>Van3-6</t>
        </is>
      </c>
      <c r="G316" s="748" t="n"/>
      <c r="H316" s="735" t="inlineStr">
        <is>
          <t>စံချိန်(ရမသ)</t>
        </is>
      </c>
      <c r="I316" s="730" t="n">
        <v>2</v>
      </c>
    </row>
    <row r="317" ht="20.4" customHeight="1">
      <c r="A317" s="730" t="n">
        <v>313</v>
      </c>
      <c r="B317" s="737" t="inlineStr">
        <is>
          <t>မစန်းမြင့်အေး</t>
        </is>
      </c>
      <c r="C317" s="730" t="inlineStr">
        <is>
          <t>D</t>
        </is>
      </c>
      <c r="D317" s="748" t="inlineStr">
        <is>
          <t>ဂွေးကုန်း</t>
        </is>
      </c>
      <c r="E317" s="733" t="inlineStr">
        <is>
          <t>ရမည်းသင်းမြို့</t>
        </is>
      </c>
      <c r="F317" s="733" t="inlineStr">
        <is>
          <t>Van3-6</t>
        </is>
      </c>
      <c r="G317" s="748" t="n"/>
      <c r="H317" s="735" t="inlineStr">
        <is>
          <t>စံချိန်(ရမသ)</t>
        </is>
      </c>
      <c r="I317" s="730" t="n">
        <v>2</v>
      </c>
    </row>
    <row r="318" ht="20.4" customHeight="1">
      <c r="A318" s="730" t="n">
        <v>314</v>
      </c>
      <c r="B318" s="737" t="inlineStr">
        <is>
          <t>မမြင့်စန်း</t>
        </is>
      </c>
      <c r="C318" s="730" t="inlineStr">
        <is>
          <t>D</t>
        </is>
      </c>
      <c r="D318" s="748" t="inlineStr">
        <is>
          <t>ဂွေးကုန်း</t>
        </is>
      </c>
      <c r="E318" s="733" t="inlineStr">
        <is>
          <t>ရမည်းသင်းမြို့</t>
        </is>
      </c>
      <c r="F318" s="733" t="inlineStr">
        <is>
          <t>Van3-6</t>
        </is>
      </c>
      <c r="G318" s="748" t="n"/>
      <c r="H318" s="735" t="inlineStr">
        <is>
          <t>စံချိန်(ရမသ)</t>
        </is>
      </c>
      <c r="I318" s="730" t="n">
        <v>2</v>
      </c>
    </row>
    <row r="319" ht="20.4" customHeight="1">
      <c r="A319" s="730" t="n">
        <v>315</v>
      </c>
      <c r="B319" s="743" t="inlineStr">
        <is>
          <t>ကိုမိုးဝင်း</t>
        </is>
      </c>
      <c r="C319" s="730" t="inlineStr">
        <is>
          <t>D</t>
        </is>
      </c>
      <c r="D319" s="730" t="inlineStr">
        <is>
          <t>ရွှေကုန်း</t>
        </is>
      </c>
      <c r="E319" s="733" t="inlineStr">
        <is>
          <t>ရမည်းသင်းမြို့</t>
        </is>
      </c>
      <c r="F319" s="733" t="inlineStr">
        <is>
          <t>Van3-6</t>
        </is>
      </c>
      <c r="G319" s="748" t="n"/>
      <c r="H319" s="735" t="inlineStr">
        <is>
          <t>စံချိန်(ရမသ)</t>
        </is>
      </c>
      <c r="I319" s="730" t="n">
        <v>2</v>
      </c>
    </row>
  </sheetData>
  <mergeCells count="9">
    <mergeCell ref="C3:C4"/>
    <mergeCell ref="A3:A4"/>
    <mergeCell ref="B3:B4"/>
    <mergeCell ref="G3:G4"/>
    <mergeCell ref="E3:E4"/>
    <mergeCell ref="H3:H4"/>
    <mergeCell ref="I3:I4"/>
    <mergeCell ref="D3:D4"/>
    <mergeCell ref="F3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J85"/>
  <sheetViews>
    <sheetView topLeftCell="A56" zoomScale="80" zoomScaleNormal="80" workbookViewId="0">
      <selection activeCell="X10" sqref="X10"/>
    </sheetView>
  </sheetViews>
  <sheetFormatPr baseColWidth="8" defaultColWidth="9.109375" defaultRowHeight="13.8"/>
  <cols>
    <col width="12.5546875" bestFit="1" customWidth="1" style="675" min="1" max="1"/>
    <col width="5.33203125" bestFit="1" customWidth="1" style="675" min="2" max="2"/>
    <col width="10.33203125" customWidth="1" style="675" min="3" max="3"/>
    <col width="36.6640625" bestFit="1" customWidth="1" style="675" min="4" max="4"/>
    <col width="9.6640625" customWidth="1" style="675" min="5" max="10"/>
    <col width="9.109375" customWidth="1" style="675" min="11" max="16384"/>
  </cols>
  <sheetData>
    <row r="1" ht="25.8" customFormat="1" customHeight="1" s="705">
      <c r="A1" s="702" t="inlineStr">
        <is>
          <t>Date</t>
        </is>
      </c>
      <c r="B1" s="702" t="inlineStr">
        <is>
          <t>Day</t>
        </is>
      </c>
      <c r="C1" s="702" t="inlineStr">
        <is>
          <t xml:space="preserve">Way </t>
        </is>
      </c>
      <c r="D1" s="702" t="inlineStr">
        <is>
          <t xml:space="preserve">Actual Way Name </t>
        </is>
      </c>
      <c r="E1" s="702" t="inlineStr">
        <is>
          <t>A</t>
        </is>
      </c>
      <c r="F1" s="703" t="inlineStr">
        <is>
          <t>B</t>
        </is>
      </c>
      <c r="G1" s="703" t="inlineStr">
        <is>
          <t>C</t>
        </is>
      </c>
      <c r="H1" s="703" t="inlineStr">
        <is>
          <t>D</t>
        </is>
      </c>
      <c r="I1" s="703" t="inlineStr">
        <is>
          <t>S</t>
        </is>
      </c>
      <c r="J1" s="704" t="inlineStr">
        <is>
          <t>ToTal</t>
        </is>
      </c>
    </row>
    <row r="2" ht="22.8" customHeight="1">
      <c r="A2" s="706" t="inlineStr">
        <is>
          <t>2026-02-01</t>
        </is>
      </c>
      <c r="B2" s="707" t="inlineStr">
        <is>
          <t>SUN</t>
        </is>
      </c>
      <c r="C2" s="708" t="inlineStr">
        <is>
          <t>Van 1-1</t>
        </is>
      </c>
      <c r="D2" s="709" t="inlineStr">
        <is>
          <t>Sample Route</t>
        </is>
      </c>
      <c r="E2" s="710" t="n">
        <v>0</v>
      </c>
      <c r="F2" s="710" t="n">
        <v>0</v>
      </c>
      <c r="G2" s="711" t="n">
        <v>5</v>
      </c>
      <c r="H2" s="711" t="n">
        <v>6</v>
      </c>
      <c r="I2" s="712" t="n">
        <v>0</v>
      </c>
      <c r="J2" s="713">
        <f>G2+H2</f>
        <v/>
      </c>
    </row>
    <row r="3" ht="22.8" customHeight="1">
      <c r="A3" s="719" t="n">
        <v>46055</v>
      </c>
      <c r="B3" s="685" t="inlineStr">
        <is>
          <t>MON</t>
        </is>
      </c>
      <c r="C3" s="679" t="inlineStr">
        <is>
          <t>Van 1-2</t>
        </is>
      </c>
      <c r="D3" s="680" t="inlineStr">
        <is>
          <t>တက်မ-ငါးမင်းမေ့(ညောင်ဦး)</t>
        </is>
      </c>
      <c r="E3" s="680" t="n"/>
      <c r="F3" s="933" t="n"/>
      <c r="G3" s="933" t="n"/>
      <c r="H3" s="932" t="n">
        <v>11</v>
      </c>
      <c r="I3" s="932" t="n"/>
      <c r="J3" s="720">
        <f>G3+H3</f>
        <v/>
      </c>
    </row>
    <row r="4" ht="22.8" customHeight="1">
      <c r="A4" s="719" t="n">
        <v>46056</v>
      </c>
      <c r="B4" s="685" t="inlineStr">
        <is>
          <t>TUE</t>
        </is>
      </c>
      <c r="C4" s="679" t="inlineStr">
        <is>
          <t>Van 1-3</t>
        </is>
      </c>
      <c r="D4" s="680" t="inlineStr">
        <is>
          <t>ပုဂံမြို့-သူကောင်း (ညောင်ဦး)</t>
        </is>
      </c>
      <c r="E4" s="680" t="n"/>
      <c r="F4" s="933" t="n">
        <v>13</v>
      </c>
      <c r="G4" s="686" t="n">
        <v>1</v>
      </c>
      <c r="H4" s="932" t="n">
        <v>2</v>
      </c>
      <c r="I4" s="932" t="n"/>
      <c r="J4" s="722">
        <f>F4+G4+H4</f>
        <v/>
      </c>
    </row>
    <row r="5" ht="22.8" customHeight="1">
      <c r="A5" s="719" t="n">
        <v>46057</v>
      </c>
      <c r="B5" s="685" t="inlineStr">
        <is>
          <t>WED</t>
        </is>
      </c>
      <c r="C5" s="679" t="inlineStr">
        <is>
          <t>Van 1-4</t>
        </is>
      </c>
      <c r="D5" s="687" t="inlineStr">
        <is>
          <t>ရန်နောင်-စံကျော်နက်(ပျော်ဘွယ်)</t>
        </is>
      </c>
      <c r="E5" s="680" t="n"/>
      <c r="F5" s="933" t="n">
        <v>2</v>
      </c>
      <c r="G5" s="933" t="n"/>
      <c r="H5" s="932" t="n">
        <v>13</v>
      </c>
      <c r="I5" s="932" t="n"/>
      <c r="J5" s="724">
        <f>F5+H5</f>
        <v/>
      </c>
    </row>
    <row r="6" ht="22.8" customHeight="1">
      <c r="A6" s="719" t="n">
        <v>46058</v>
      </c>
      <c r="B6" s="685" t="inlineStr">
        <is>
          <t>THU</t>
        </is>
      </c>
      <c r="C6" s="679" t="inlineStr">
        <is>
          <t>Van 1-5</t>
        </is>
      </c>
      <c r="D6" s="687" t="inlineStr">
        <is>
          <t>ရွာတန်း-ကံဦး-ဘိုကုန်း(ရမည်းသင်း)</t>
        </is>
      </c>
      <c r="E6" s="687" t="n"/>
      <c r="F6" s="686" t="n">
        <v>5</v>
      </c>
      <c r="G6" s="686" t="n"/>
      <c r="H6" s="932" t="n">
        <v>11</v>
      </c>
      <c r="I6" s="932" t="n"/>
      <c r="J6" s="724">
        <f>F6+H6</f>
        <v/>
      </c>
    </row>
    <row r="7" ht="22.8" customHeight="1">
      <c r="A7" s="719" t="n">
        <v>46059</v>
      </c>
      <c r="B7" s="685" t="inlineStr">
        <is>
          <t>FRI</t>
        </is>
      </c>
      <c r="C7" s="679" t="inlineStr">
        <is>
          <t>Van 1-7</t>
        </is>
      </c>
      <c r="D7" s="687" t="inlineStr">
        <is>
          <t xml:space="preserve">ပန်းပဲကြီး-ပန်းပဲလေး-ရိုးခြား </t>
        </is>
      </c>
      <c r="E7" s="687" t="n"/>
      <c r="F7" s="686" t="n"/>
      <c r="G7" s="686" t="n"/>
      <c r="H7" s="932" t="n">
        <v>11</v>
      </c>
      <c r="I7" s="932" t="n"/>
      <c r="J7" s="724">
        <f>G7+H7</f>
        <v/>
      </c>
    </row>
    <row r="8" ht="22.8" customHeight="1">
      <c r="A8" s="719" t="n">
        <v>46060</v>
      </c>
      <c r="B8" s="685" t="inlineStr">
        <is>
          <t>SAT</t>
        </is>
      </c>
      <c r="C8" s="679" t="inlineStr">
        <is>
          <t>Van 1-8</t>
        </is>
      </c>
      <c r="D8" s="687" t="inlineStr">
        <is>
          <t>ရေထွက်-ပုပ္ပါး-သန်းကြီးကုန်း</t>
        </is>
      </c>
      <c r="E8" s="687" t="n"/>
      <c r="F8" s="686" t="n"/>
      <c r="G8" s="686" t="n">
        <v>1</v>
      </c>
      <c r="H8" s="932" t="n">
        <v>10</v>
      </c>
      <c r="I8" s="932" t="n"/>
      <c r="J8" s="724">
        <f>G8+H8</f>
        <v/>
      </c>
    </row>
    <row r="9" ht="22.8" customHeight="1">
      <c r="A9" s="706" t="n">
        <v>46061</v>
      </c>
      <c r="B9" s="707" t="inlineStr">
        <is>
          <t>SUN</t>
        </is>
      </c>
      <c r="C9" s="708" t="n"/>
      <c r="D9" s="714" t="n"/>
      <c r="E9" s="713" t="n"/>
      <c r="F9" s="715" t="n"/>
      <c r="G9" s="715" t="n"/>
      <c r="H9" s="711" t="n"/>
      <c r="I9" s="710" t="n"/>
      <c r="J9" s="713">
        <f>F9+H9</f>
        <v/>
      </c>
    </row>
    <row r="10" ht="22.8" customHeight="1">
      <c r="A10" s="719" t="n">
        <v>46062</v>
      </c>
      <c r="B10" s="685" t="inlineStr">
        <is>
          <t>MON</t>
        </is>
      </c>
      <c r="C10" s="679" t="inlineStr">
        <is>
          <t>Van 1-9</t>
        </is>
      </c>
      <c r="D10" s="687" t="inlineStr">
        <is>
          <t>သီးပင်ကုန်း-ကျေးသာအိုင့်(KPD)</t>
        </is>
      </c>
      <c r="E10" s="687" t="n"/>
      <c r="F10" s="686" t="n"/>
      <c r="G10" s="686" t="n">
        <v>4</v>
      </c>
      <c r="H10" s="932" t="n">
        <v>5</v>
      </c>
      <c r="I10" s="932" t="n"/>
      <c r="J10" s="724">
        <f>G10+H10</f>
        <v/>
      </c>
    </row>
    <row r="11" ht="22.8" customHeight="1">
      <c r="A11" s="719" t="n">
        <v>46063</v>
      </c>
      <c r="B11" s="685" t="inlineStr">
        <is>
          <t>TUE</t>
        </is>
      </c>
      <c r="C11" s="679" t="inlineStr">
        <is>
          <t>Van 1-6</t>
        </is>
      </c>
      <c r="D11" s="687" t="inlineStr">
        <is>
          <t>လက်ပံပျား-တောင်ဦး-ဝက်ချုပ်ကုန်း</t>
        </is>
      </c>
      <c r="E11" s="687" t="n"/>
      <c r="F11" s="686" t="n"/>
      <c r="G11" s="686" t="n">
        <v>4</v>
      </c>
      <c r="H11" s="932" t="n">
        <v>9</v>
      </c>
      <c r="I11" s="932" t="n"/>
      <c r="J11" s="722">
        <f>G11+H11</f>
        <v/>
      </c>
    </row>
    <row r="12" ht="22.8" customHeight="1">
      <c r="A12" s="719" t="n">
        <v>46064</v>
      </c>
      <c r="B12" s="685" t="inlineStr">
        <is>
          <t>WED</t>
        </is>
      </c>
      <c r="C12" s="679" t="inlineStr">
        <is>
          <t>Van 1-10</t>
        </is>
      </c>
      <c r="D12" s="680" t="inlineStr">
        <is>
          <t>ခံဘူး-ဝကုန်း-ရှမ်းရွာ(ပျော်ဘွယ်)</t>
        </is>
      </c>
      <c r="E12" s="680" t="n"/>
      <c r="F12" s="680" t="n"/>
      <c r="G12" s="680" t="n"/>
      <c r="H12" s="932" t="n">
        <v>10</v>
      </c>
      <c r="I12" s="932" t="n"/>
      <c r="J12" s="724">
        <f>F12+H12</f>
        <v/>
      </c>
    </row>
    <row r="13" ht="22.8" customHeight="1">
      <c r="A13" s="719" t="n">
        <v>46065</v>
      </c>
      <c r="B13" s="685" t="inlineStr">
        <is>
          <t>THU</t>
        </is>
      </c>
      <c r="C13" s="679" t="inlineStr">
        <is>
          <t>Van 1-11</t>
        </is>
      </c>
      <c r="D13" s="687" t="inlineStr">
        <is>
          <t>အောက်တောက်-ပြတိုက်(ရမည်းသင်း)</t>
        </is>
      </c>
      <c r="E13" s="687" t="n"/>
      <c r="F13" s="686" t="n">
        <v>1</v>
      </c>
      <c r="G13" s="687" t="n"/>
      <c r="H13" s="932" t="n">
        <v>12</v>
      </c>
      <c r="I13" s="932" t="n"/>
      <c r="J13" s="724">
        <f>F13+H13</f>
        <v/>
      </c>
    </row>
    <row r="14" ht="22.8" customHeight="1">
      <c r="A14" s="719" t="n">
        <v>46066</v>
      </c>
      <c r="B14" s="685" t="inlineStr">
        <is>
          <t>FRI</t>
        </is>
      </c>
      <c r="C14" s="679" t="inlineStr">
        <is>
          <t>Van 1-1</t>
        </is>
      </c>
      <c r="D14" s="680" t="inlineStr">
        <is>
          <t>ယင်းမာပင်-ပြည်ညောင်</t>
        </is>
      </c>
      <c r="E14" s="680" t="n"/>
      <c r="F14" s="933" t="n">
        <v>2</v>
      </c>
      <c r="G14" s="933" t="n"/>
      <c r="H14" s="932" t="n">
        <v>10</v>
      </c>
      <c r="I14" s="932" t="n"/>
      <c r="J14" s="724">
        <f>F14+H14</f>
        <v/>
      </c>
    </row>
    <row r="15" ht="22.8" customHeight="1">
      <c r="A15" s="719" t="n">
        <v>46067</v>
      </c>
      <c r="B15" s="685" t="inlineStr">
        <is>
          <t>SAT</t>
        </is>
      </c>
      <c r="C15" s="679" t="inlineStr">
        <is>
          <t>Van 1-4</t>
        </is>
      </c>
      <c r="D15" s="687" t="inlineStr">
        <is>
          <t>ရန်နောင်-စံကျော်နက်(ပျော်ဘွယ်)</t>
        </is>
      </c>
      <c r="E15" s="680" t="n"/>
      <c r="F15" s="933" t="n">
        <v>2</v>
      </c>
      <c r="G15" s="933" t="n"/>
      <c r="H15" s="932" t="n">
        <v>13</v>
      </c>
      <c r="I15" s="932" t="n"/>
      <c r="J15" s="724">
        <f>F15+H15</f>
        <v/>
      </c>
    </row>
    <row r="16" ht="22.8" customHeight="1">
      <c r="A16" s="706" t="n">
        <v>46068</v>
      </c>
      <c r="B16" s="707" t="inlineStr">
        <is>
          <t>SUN</t>
        </is>
      </c>
      <c r="C16" s="708" t="n"/>
      <c r="D16" s="709" t="n"/>
      <c r="E16" s="713" t="n"/>
      <c r="F16" s="711" t="n"/>
      <c r="G16" s="711" t="n"/>
      <c r="H16" s="711" t="n"/>
      <c r="I16" s="711" t="n"/>
      <c r="J16" s="713">
        <f>F16+H16</f>
        <v/>
      </c>
    </row>
    <row r="17" ht="22.8" customHeight="1">
      <c r="A17" s="719" t="n">
        <v>46069</v>
      </c>
      <c r="B17" s="685" t="inlineStr">
        <is>
          <t>MON</t>
        </is>
      </c>
      <c r="C17" s="679" t="inlineStr">
        <is>
          <t>Van 1-2</t>
        </is>
      </c>
      <c r="D17" s="680" t="inlineStr">
        <is>
          <t>တက်မ-ငါးမင်းမေ့(ညောင်ဦး)</t>
        </is>
      </c>
      <c r="E17" s="680" t="n"/>
      <c r="F17" s="933" t="n"/>
      <c r="G17" s="933" t="n"/>
      <c r="H17" s="932" t="n">
        <v>11</v>
      </c>
      <c r="I17" s="686" t="n"/>
      <c r="J17" s="724">
        <f>F17+H17</f>
        <v/>
      </c>
    </row>
    <row r="18" ht="22.8" customHeight="1">
      <c r="A18" s="719" t="n">
        <v>46070</v>
      </c>
      <c r="B18" s="685" t="inlineStr">
        <is>
          <t>TUE</t>
        </is>
      </c>
      <c r="C18" s="679" t="inlineStr">
        <is>
          <t>Van 1-3</t>
        </is>
      </c>
      <c r="D18" s="680" t="inlineStr">
        <is>
          <t>ပုဂံမြို့-သူကောင်း (ညောင်ဦး)</t>
        </is>
      </c>
      <c r="E18" s="680" t="n"/>
      <c r="F18" s="933" t="n">
        <v>13</v>
      </c>
      <c r="G18" s="686" t="n">
        <v>1</v>
      </c>
      <c r="H18" s="932" t="n">
        <v>2</v>
      </c>
      <c r="I18" s="722">
        <f>SUM(I12:I17)</f>
        <v/>
      </c>
      <c r="J18" s="722">
        <f>F18+G18+H18</f>
        <v/>
      </c>
    </row>
    <row r="19" ht="22.8" customHeight="1">
      <c r="A19" s="719" t="n">
        <v>46071</v>
      </c>
      <c r="B19" s="685" t="inlineStr">
        <is>
          <t>WED</t>
        </is>
      </c>
      <c r="C19" s="679" t="inlineStr">
        <is>
          <t>Van 1-5</t>
        </is>
      </c>
      <c r="D19" s="687" t="inlineStr">
        <is>
          <t>ရွာတန်း-ကံဦး-ဘိုကုန်း(ရမည်းသင်း)</t>
        </is>
      </c>
      <c r="E19" s="687" t="n"/>
      <c r="F19" s="686" t="n">
        <v>5</v>
      </c>
      <c r="G19" s="686" t="n"/>
      <c r="H19" s="932" t="n">
        <v>11</v>
      </c>
      <c r="I19" s="932" t="n"/>
      <c r="J19" s="724">
        <f>F19+H19</f>
        <v/>
      </c>
    </row>
    <row r="20" ht="22.8" customHeight="1">
      <c r="A20" s="719" t="n">
        <v>46072</v>
      </c>
      <c r="B20" s="685" t="inlineStr">
        <is>
          <t>THU</t>
        </is>
      </c>
      <c r="C20" s="679" t="inlineStr">
        <is>
          <t>Van 1-6</t>
        </is>
      </c>
      <c r="D20" s="687" t="inlineStr">
        <is>
          <t>လက်ပံပျား-တောင်ဦး-ဝက်ချုပ်ကုန်း</t>
        </is>
      </c>
      <c r="E20" s="687" t="n"/>
      <c r="F20" s="686" t="n"/>
      <c r="G20" s="686" t="n">
        <v>4</v>
      </c>
      <c r="H20" s="932" t="n">
        <v>9</v>
      </c>
      <c r="I20" s="724" t="n"/>
      <c r="J20" s="724">
        <f>G20+H20</f>
        <v/>
      </c>
    </row>
    <row r="21" ht="22.8" customHeight="1">
      <c r="A21" s="719" t="n">
        <v>46073</v>
      </c>
      <c r="B21" s="685" t="inlineStr">
        <is>
          <t>FRI</t>
        </is>
      </c>
      <c r="C21" s="679" t="inlineStr">
        <is>
          <t>Van 1-7</t>
        </is>
      </c>
      <c r="D21" s="687" t="inlineStr">
        <is>
          <t xml:space="preserve">ပန်းပဲကြီး-ပန်းပဲလေး-ရိုးခြား </t>
        </is>
      </c>
      <c r="E21" s="687" t="n"/>
      <c r="F21" s="686" t="n"/>
      <c r="G21" s="686" t="n"/>
      <c r="H21" s="932" t="n">
        <v>11</v>
      </c>
      <c r="I21" s="726" t="n"/>
      <c r="J21" s="724">
        <f>G21+H21</f>
        <v/>
      </c>
    </row>
    <row r="22" ht="22.8" customHeight="1">
      <c r="A22" s="719" t="n">
        <v>46074</v>
      </c>
      <c r="B22" s="685" t="inlineStr">
        <is>
          <t>SAT</t>
        </is>
      </c>
      <c r="C22" s="679" t="inlineStr">
        <is>
          <t>Van 1-8</t>
        </is>
      </c>
      <c r="D22" s="687" t="inlineStr">
        <is>
          <t>ရေထွက်-ပုပ္ပါး-သန်းကြီးကုန်း</t>
        </is>
      </c>
      <c r="E22" s="687" t="n"/>
      <c r="F22" s="686" t="n"/>
      <c r="G22" s="686" t="n">
        <v>1</v>
      </c>
      <c r="H22" s="932" t="n">
        <v>10</v>
      </c>
      <c r="I22" s="726" t="n"/>
      <c r="J22" s="724">
        <f>G22+H22</f>
        <v/>
      </c>
    </row>
    <row r="23" ht="22.8" customHeight="1">
      <c r="A23" s="706" t="n">
        <v>46075</v>
      </c>
      <c r="B23" s="707" t="inlineStr">
        <is>
          <t>SUN</t>
        </is>
      </c>
      <c r="C23" s="708" t="n"/>
      <c r="D23" s="714" t="n"/>
      <c r="E23" s="713" t="n"/>
      <c r="F23" s="715" t="n"/>
      <c r="G23" s="715" t="n"/>
      <c r="H23" s="711" t="n"/>
      <c r="I23" s="713" t="n"/>
      <c r="J23" s="713">
        <f>G23+H23</f>
        <v/>
      </c>
    </row>
    <row r="24" ht="22.8" customHeight="1">
      <c r="A24" s="719" t="n">
        <v>46076</v>
      </c>
      <c r="B24" s="685" t="inlineStr">
        <is>
          <t>MON</t>
        </is>
      </c>
      <c r="C24" s="679" t="inlineStr">
        <is>
          <t>Van 1-9</t>
        </is>
      </c>
      <c r="D24" s="687" t="inlineStr">
        <is>
          <t>သီးပင်ကုန်း-ကျေးသာအိုင့်(KPD)</t>
        </is>
      </c>
      <c r="E24" s="687" t="n"/>
      <c r="F24" s="686" t="n"/>
      <c r="G24" s="686" t="n">
        <v>4</v>
      </c>
      <c r="H24" s="932" t="n">
        <v>5</v>
      </c>
      <c r="I24" s="686" t="n"/>
      <c r="J24" s="724">
        <f>G24+H24</f>
        <v/>
      </c>
    </row>
    <row r="25" ht="22.8" customHeight="1">
      <c r="A25" s="719" t="n">
        <v>46077</v>
      </c>
      <c r="B25" s="685" t="inlineStr">
        <is>
          <t>TUE</t>
        </is>
      </c>
      <c r="C25" s="679" t="inlineStr">
        <is>
          <t>Van 1-10</t>
        </is>
      </c>
      <c r="D25" s="680" t="inlineStr">
        <is>
          <t>ခံဘူး-ဝကုန်း-ရှမ်းရွာ(ပျော်ဘွယ်)</t>
        </is>
      </c>
      <c r="E25" s="680" t="n"/>
      <c r="F25" s="680" t="n"/>
      <c r="G25" s="680" t="n"/>
      <c r="H25" s="932" t="n">
        <v>10</v>
      </c>
      <c r="I25" s="722">
        <f>SUM(I19:I24)</f>
        <v/>
      </c>
      <c r="J25" s="722">
        <f>H25</f>
        <v/>
      </c>
    </row>
    <row r="26" ht="22.8" customHeight="1">
      <c r="A26" s="719" t="n">
        <v>46078</v>
      </c>
      <c r="B26" s="685" t="inlineStr">
        <is>
          <t>WED</t>
        </is>
      </c>
      <c r="C26" s="679" t="inlineStr">
        <is>
          <t>Van 1-11</t>
        </is>
      </c>
      <c r="D26" s="687" t="inlineStr">
        <is>
          <t>အောက်တောက်-ပြတိုက်(ရမည်းသင်း)</t>
        </is>
      </c>
      <c r="E26" s="687" t="n"/>
      <c r="F26" s="686" t="n">
        <v>1</v>
      </c>
      <c r="G26" s="687" t="n"/>
      <c r="H26" s="932" t="n">
        <v>12</v>
      </c>
      <c r="I26" s="686" t="n"/>
      <c r="J26" s="724">
        <f>F26+H26</f>
        <v/>
      </c>
    </row>
    <row r="27" ht="22.8" customHeight="1">
      <c r="A27" s="719" t="n">
        <v>46079</v>
      </c>
      <c r="B27" s="685" t="inlineStr">
        <is>
          <t>THU</t>
        </is>
      </c>
      <c r="C27" s="679" t="inlineStr">
        <is>
          <t>Van 1-1</t>
        </is>
      </c>
      <c r="D27" s="680" t="inlineStr">
        <is>
          <t>ယင်းမာပင်-ပြည်ညောင်</t>
        </is>
      </c>
      <c r="E27" s="680" t="n"/>
      <c r="F27" s="933" t="n">
        <v>2</v>
      </c>
      <c r="G27" s="933" t="n"/>
      <c r="H27" s="932" t="n">
        <v>10</v>
      </c>
      <c r="I27" s="686" t="n"/>
      <c r="J27" s="724">
        <f>SUM(E27:I27)</f>
        <v/>
      </c>
    </row>
    <row r="28" ht="22.8" customHeight="1">
      <c r="A28" s="719" t="n">
        <v>46080</v>
      </c>
      <c r="B28" s="685" t="inlineStr">
        <is>
          <t>FRI</t>
        </is>
      </c>
      <c r="C28" s="679" t="inlineStr">
        <is>
          <t>Van 1-4</t>
        </is>
      </c>
      <c r="D28" s="687" t="inlineStr">
        <is>
          <t>ရန်နောင်-စံကျော်နက်(ပျော်ဘွယ်)</t>
        </is>
      </c>
      <c r="E28" s="680" t="n"/>
      <c r="F28" s="933" t="n">
        <v>2</v>
      </c>
      <c r="G28" s="933" t="n"/>
      <c r="H28" s="932" t="n">
        <v>13</v>
      </c>
      <c r="I28" s="686" t="n"/>
      <c r="J28" s="724">
        <f>SUM(E28:I28)</f>
        <v/>
      </c>
    </row>
    <row r="29" ht="22.8" customHeight="1">
      <c r="A29" s="719" t="n">
        <v>46081</v>
      </c>
      <c r="B29" s="685" t="inlineStr">
        <is>
          <t>SAT</t>
        </is>
      </c>
      <c r="C29" s="679" t="inlineStr">
        <is>
          <t>Van 1-5</t>
        </is>
      </c>
      <c r="D29" s="687" t="inlineStr">
        <is>
          <t>ရွာတန်း-ကံဦး-ဘိုကုန်း(ရမည်းသင်း)</t>
        </is>
      </c>
      <c r="E29" s="687" t="n"/>
      <c r="F29" s="686" t="n">
        <v>5</v>
      </c>
      <c r="G29" s="686" t="n"/>
      <c r="H29" s="932" t="n">
        <v>11</v>
      </c>
      <c r="I29" s="932" t="n"/>
      <c r="J29" s="724">
        <f>SUM(E29:I29)</f>
        <v/>
      </c>
    </row>
    <row r="30" ht="22.8" customHeight="1">
      <c r="A30" s="706" t="n">
        <v>46054</v>
      </c>
      <c r="B30" s="707" t="inlineStr">
        <is>
          <t>SUN</t>
        </is>
      </c>
      <c r="C30" s="708" t="n"/>
      <c r="D30" s="714" t="n"/>
      <c r="E30" s="711" t="n"/>
      <c r="F30" s="711" t="n"/>
      <c r="G30" s="715" t="n"/>
      <c r="H30" s="715" t="n"/>
      <c r="I30" s="716" t="n"/>
      <c r="J30" s="717">
        <f>SUM(E30:I30)</f>
        <v/>
      </c>
    </row>
    <row r="31" ht="22.8" customHeight="1">
      <c r="A31" s="719" t="n">
        <v>46055</v>
      </c>
      <c r="B31" s="685" t="inlineStr">
        <is>
          <t>MON</t>
        </is>
      </c>
      <c r="C31" s="679" t="inlineStr">
        <is>
          <t>Van 2-3</t>
        </is>
      </c>
      <c r="D31" s="687" t="inlineStr">
        <is>
          <t>ရွှေတောင်-ဒိုင်ကောင်းကုန်း(ဝမ်းတွင်း)</t>
        </is>
      </c>
      <c r="E31" s="687" t="n"/>
      <c r="F31" s="686" t="n"/>
      <c r="G31" s="686" t="n"/>
      <c r="H31" s="686" t="n">
        <v>15</v>
      </c>
      <c r="I31" s="685" t="n"/>
      <c r="J31" s="721">
        <f>SUM(E31:I31)</f>
        <v/>
      </c>
    </row>
    <row r="32" ht="22.8" customHeight="1">
      <c r="A32" s="719" t="n">
        <v>46056</v>
      </c>
      <c r="B32" s="685" t="inlineStr">
        <is>
          <t>TUE</t>
        </is>
      </c>
      <c r="C32" s="679" t="inlineStr">
        <is>
          <t>Van 2-4</t>
        </is>
      </c>
      <c r="D32" s="687" t="inlineStr">
        <is>
          <t>ခင်ကြီး-ခင်ဘန်း-ကန်စွယ်-သဲတော</t>
        </is>
      </c>
      <c r="E32" s="687" t="n"/>
      <c r="F32" s="686" t="n"/>
      <c r="G32" s="686" t="n"/>
      <c r="H32" s="686" t="n">
        <v>13</v>
      </c>
      <c r="I32" s="685" t="n"/>
      <c r="J32" s="723">
        <f>SUM(J30:J31)</f>
        <v/>
      </c>
    </row>
    <row r="33" ht="22.8" customHeight="1">
      <c r="A33" s="719" t="n">
        <v>46057</v>
      </c>
      <c r="B33" s="685" t="inlineStr">
        <is>
          <t>WED</t>
        </is>
      </c>
      <c r="C33" s="679" t="inlineStr">
        <is>
          <t>Van 2-5</t>
        </is>
      </c>
      <c r="D33" s="687" t="inlineStr">
        <is>
          <t>သဖန်း-အိုမတွေ့-သစ်ပလွေ(ဝမ်းတွင်း)</t>
        </is>
      </c>
      <c r="E33" s="687" t="n"/>
      <c r="F33" s="686" t="n"/>
      <c r="G33" s="686" t="n"/>
      <c r="H33" s="686" t="n">
        <v>9</v>
      </c>
      <c r="I33" s="685" t="n"/>
      <c r="J33" s="721">
        <f>SUM(E33:I33)</f>
        <v/>
      </c>
    </row>
    <row r="34" ht="22.8" customHeight="1">
      <c r="A34" s="719" t="n">
        <v>46058</v>
      </c>
      <c r="B34" s="685" t="inlineStr">
        <is>
          <t>THU</t>
        </is>
      </c>
      <c r="C34" s="679" t="inlineStr">
        <is>
          <t>Van 2-6</t>
        </is>
      </c>
      <c r="D34" s="680" t="inlineStr">
        <is>
          <t>တဲစု-ပင်းတလဲ-အင်းကုန်း (ဝမ်းတွင်း)</t>
        </is>
      </c>
      <c r="E34" s="680" t="n"/>
      <c r="F34" s="933" t="n"/>
      <c r="G34" s="933" t="n">
        <v>1</v>
      </c>
      <c r="H34" s="933" t="n">
        <v>5</v>
      </c>
      <c r="I34" s="685" t="n"/>
      <c r="J34" s="721">
        <f>SUM(E34:I34)</f>
        <v/>
      </c>
    </row>
    <row r="35" ht="22.8" customHeight="1">
      <c r="A35" s="719" t="n">
        <v>46059</v>
      </c>
      <c r="B35" s="685" t="inlineStr">
        <is>
          <t>FRI</t>
        </is>
      </c>
      <c r="C35" s="679" t="inlineStr">
        <is>
          <t>Van 2-7</t>
        </is>
      </c>
      <c r="D35" s="687" t="inlineStr">
        <is>
          <t>အုတ်တွင်း-နန်းတော်ကုန်း-မြောင်းဦး-ဇဝင်း</t>
        </is>
      </c>
      <c r="E35" s="687" t="n"/>
      <c r="F35" s="686" t="n"/>
      <c r="G35" s="686" t="n"/>
      <c r="H35" s="686" t="n">
        <v>17</v>
      </c>
      <c r="I35" s="685" t="n"/>
      <c r="J35" s="721">
        <f>SUM(E35:I35)</f>
        <v/>
      </c>
    </row>
    <row r="36" ht="22.8" customHeight="1">
      <c r="A36" s="719" t="n">
        <v>46060</v>
      </c>
      <c r="B36" s="685" t="inlineStr">
        <is>
          <t>SAT</t>
        </is>
      </c>
      <c r="C36" s="679" t="inlineStr">
        <is>
          <t>Van 2-8</t>
        </is>
      </c>
      <c r="D36" s="686" t="inlineStr">
        <is>
          <t>နှမ်းကန်-ကုက္ကိုပေါက်-ညောင်ရမ်း(သာစည်)</t>
        </is>
      </c>
      <c r="E36" s="680" t="n"/>
      <c r="F36" s="933" t="n"/>
      <c r="G36" s="933" t="n"/>
      <c r="H36" s="933" t="n">
        <v>14</v>
      </c>
      <c r="I36" s="685" t="n"/>
      <c r="J36" s="721">
        <f>SUM(E36:I36)</f>
        <v/>
      </c>
    </row>
    <row r="37" ht="22.8" customHeight="1">
      <c r="A37" s="706" t="n">
        <v>46061</v>
      </c>
      <c r="B37" s="707" t="inlineStr">
        <is>
          <t>SUN</t>
        </is>
      </c>
      <c r="C37" s="708" t="n"/>
      <c r="D37" s="709" t="n"/>
      <c r="E37" s="716" t="n"/>
      <c r="F37" s="711" t="n"/>
      <c r="G37" s="707" t="n"/>
      <c r="H37" s="711" t="n"/>
      <c r="I37" s="725" t="n"/>
      <c r="J37" s="717">
        <f>SUM(E37:I37)</f>
        <v/>
      </c>
    </row>
    <row r="38" ht="22.8" customHeight="1">
      <c r="A38" s="719" t="n">
        <v>46062</v>
      </c>
      <c r="B38" s="685" t="inlineStr">
        <is>
          <t>MON</t>
        </is>
      </c>
      <c r="C38" s="679" t="inlineStr">
        <is>
          <t>Van 2-9</t>
        </is>
      </c>
      <c r="D38" s="680" t="inlineStr">
        <is>
          <t>ကျောက်ကာ-ကုက္ကိုကုန်း-ညောင်အိုင့်(PB)</t>
        </is>
      </c>
      <c r="E38" s="680" t="n"/>
      <c r="F38" s="933" t="n">
        <v>1</v>
      </c>
      <c r="G38" s="933" t="n"/>
      <c r="H38" s="933" t="n">
        <v>13</v>
      </c>
      <c r="I38" s="685" t="n"/>
      <c r="J38" s="721">
        <f>SUM(E38:I38)</f>
        <v/>
      </c>
    </row>
    <row r="39" ht="22.8" customHeight="1">
      <c r="A39" s="719" t="n">
        <v>46063</v>
      </c>
      <c r="B39" s="685" t="inlineStr">
        <is>
          <t>TUE</t>
        </is>
      </c>
      <c r="C39" s="679" t="inlineStr">
        <is>
          <t>Van 2-10</t>
        </is>
      </c>
      <c r="D39" s="687" t="inlineStr">
        <is>
          <t>ရွှေတုတ်ကုန်း-နတ်မြောင်း(သာစည်)</t>
        </is>
      </c>
      <c r="E39" s="687" t="n"/>
      <c r="F39" s="687" t="n"/>
      <c r="G39" s="685" t="n"/>
      <c r="H39" s="685" t="n">
        <v>11</v>
      </c>
      <c r="I39" s="685" t="n"/>
      <c r="J39" s="723">
        <f>H39</f>
        <v/>
      </c>
    </row>
    <row r="40" ht="22.8" customHeight="1">
      <c r="A40" s="719" t="n">
        <v>46064</v>
      </c>
      <c r="B40" s="685" t="inlineStr">
        <is>
          <t>WED</t>
        </is>
      </c>
      <c r="C40" s="679" t="inlineStr">
        <is>
          <t>Van 2-1</t>
        </is>
      </c>
      <c r="D40" s="682" t="inlineStr">
        <is>
          <t>ထနောင်းကုန်း-ထနောင်းကန်(သာစည်)</t>
        </is>
      </c>
      <c r="E40" s="683" t="n"/>
      <c r="F40" s="684" t="n"/>
      <c r="G40" s="684" t="n"/>
      <c r="H40" s="684" t="n">
        <v>12</v>
      </c>
      <c r="I40" s="685" t="n"/>
      <c r="J40" s="721">
        <f>H40</f>
        <v/>
      </c>
    </row>
    <row r="41" ht="22.8" customHeight="1">
      <c r="A41" s="719" t="n">
        <v>46065</v>
      </c>
      <c r="B41" s="685" t="inlineStr">
        <is>
          <t>THU</t>
        </is>
      </c>
      <c r="C41" s="679" t="inlineStr">
        <is>
          <t>Van 2-2</t>
        </is>
      </c>
      <c r="D41" s="687" t="inlineStr">
        <is>
          <t>ဟံဇား-ကျောက်ပနား-သာဂရ(ဝမ်းတွင်း)</t>
        </is>
      </c>
      <c r="E41" s="687" t="n"/>
      <c r="F41" s="686" t="n"/>
      <c r="G41" s="686" t="n"/>
      <c r="H41" s="686" t="n">
        <v>15</v>
      </c>
      <c r="I41" s="685" t="n"/>
      <c r="J41" s="721">
        <f>H41</f>
        <v/>
      </c>
    </row>
    <row r="42" ht="22.8" customHeight="1">
      <c r="A42" s="719" t="n">
        <v>46066</v>
      </c>
      <c r="B42" s="685" t="inlineStr">
        <is>
          <t>FRI</t>
        </is>
      </c>
      <c r="C42" s="679" t="inlineStr">
        <is>
          <t>Van 2-3</t>
        </is>
      </c>
      <c r="D42" s="687" t="inlineStr">
        <is>
          <t>ရွှေတောင်-ဒိုင်ကောင်းကုန်း(ဝမ်းတွင်း)</t>
        </is>
      </c>
      <c r="E42" s="687" t="n"/>
      <c r="F42" s="686" t="n"/>
      <c r="G42" s="686" t="n"/>
      <c r="H42" s="686" t="n">
        <v>15</v>
      </c>
      <c r="I42" s="685" t="n"/>
      <c r="J42" s="721">
        <f>G42+H42</f>
        <v/>
      </c>
    </row>
    <row r="43" ht="22.8" customHeight="1">
      <c r="A43" s="719" t="n">
        <v>46067</v>
      </c>
      <c r="B43" s="685" t="inlineStr">
        <is>
          <t>SAT</t>
        </is>
      </c>
      <c r="C43" s="679" t="inlineStr">
        <is>
          <t>Van 2-4</t>
        </is>
      </c>
      <c r="D43" s="687" t="inlineStr">
        <is>
          <t>ခင်ကြီး-ခင်ဘန်း-ကန်စွယ်-သဲတော</t>
        </is>
      </c>
      <c r="E43" s="687" t="n"/>
      <c r="F43" s="686" t="n"/>
      <c r="G43" s="686" t="n"/>
      <c r="H43" s="686" t="n">
        <v>13</v>
      </c>
      <c r="I43" s="685" t="n"/>
      <c r="J43" s="721">
        <f>H43</f>
        <v/>
      </c>
    </row>
    <row r="44" ht="22.8" customHeight="1">
      <c r="A44" s="706" t="n">
        <v>46068</v>
      </c>
      <c r="B44" s="707" t="inlineStr">
        <is>
          <t>SUN</t>
        </is>
      </c>
      <c r="C44" s="708" t="n"/>
      <c r="D44" s="711" t="n"/>
      <c r="E44" s="716" t="n"/>
      <c r="F44" s="715" t="n"/>
      <c r="G44" s="715" t="n"/>
      <c r="H44" s="715" t="n"/>
      <c r="I44" s="725" t="n"/>
      <c r="J44" s="717">
        <f>H44</f>
        <v/>
      </c>
    </row>
    <row r="45" ht="22.8" customHeight="1">
      <c r="A45" s="719" t="n">
        <v>46069</v>
      </c>
      <c r="B45" s="685" t="inlineStr">
        <is>
          <t>MON</t>
        </is>
      </c>
      <c r="C45" s="679" t="inlineStr">
        <is>
          <t>Van 2-5</t>
        </is>
      </c>
      <c r="D45" s="687" t="inlineStr">
        <is>
          <t>သဖန်း-အိုမတွေ့-သစ်ပလွေ(ဝမ်းတွင်း)</t>
        </is>
      </c>
      <c r="E45" s="687" t="n"/>
      <c r="F45" s="686" t="n"/>
      <c r="G45" s="686" t="n"/>
      <c r="H45" s="686" t="n">
        <v>9</v>
      </c>
      <c r="I45" s="685" t="n"/>
      <c r="J45" s="721">
        <f>F45+H45</f>
        <v/>
      </c>
    </row>
    <row r="46" ht="22.8" customHeight="1">
      <c r="A46" s="719" t="n">
        <v>46070</v>
      </c>
      <c r="B46" s="685" t="inlineStr">
        <is>
          <t>TUE</t>
        </is>
      </c>
      <c r="C46" s="679" t="inlineStr">
        <is>
          <t>Van 2-6</t>
        </is>
      </c>
      <c r="D46" s="680" t="inlineStr">
        <is>
          <t>တဲစု-ပင်းတလဲ-အင်းကုန်း (ဝမ်းတွင်း)</t>
        </is>
      </c>
      <c r="E46" s="680" t="n"/>
      <c r="F46" s="933" t="n"/>
      <c r="G46" s="933" t="n">
        <v>1</v>
      </c>
      <c r="H46" s="933" t="n">
        <v>5</v>
      </c>
      <c r="I46" s="685" t="n"/>
      <c r="J46" s="723">
        <f>G46+H46</f>
        <v/>
      </c>
    </row>
    <row r="47" ht="22.8" customHeight="1">
      <c r="A47" s="719" t="n">
        <v>46071</v>
      </c>
      <c r="B47" s="685" t="inlineStr">
        <is>
          <t>WED</t>
        </is>
      </c>
      <c r="C47" s="679" t="inlineStr">
        <is>
          <t>Van 2-7</t>
        </is>
      </c>
      <c r="D47" s="687" t="inlineStr">
        <is>
          <t>အုတ်တွင်း-နန်းတော်ကုန်း-မြောင်းဦး-ဇဝင်း</t>
        </is>
      </c>
      <c r="E47" s="687" t="n"/>
      <c r="F47" s="686" t="n"/>
      <c r="G47" s="686" t="n"/>
      <c r="H47" s="686" t="n">
        <v>17</v>
      </c>
      <c r="I47" s="685" t="n"/>
      <c r="J47" s="721">
        <f>SUM(E47:I47)</f>
        <v/>
      </c>
    </row>
    <row r="48" ht="22.8" customHeight="1">
      <c r="A48" s="719" t="n">
        <v>46072</v>
      </c>
      <c r="B48" s="685" t="inlineStr">
        <is>
          <t>THU</t>
        </is>
      </c>
      <c r="C48" s="679" t="inlineStr">
        <is>
          <t>Van 2-8</t>
        </is>
      </c>
      <c r="D48" s="686" t="inlineStr">
        <is>
          <t>နှမ်းကန်-ကုက္ကိုပေါက်-ညောင်ရမ်း(သာစည်)</t>
        </is>
      </c>
      <c r="E48" s="680" t="n"/>
      <c r="F48" s="933" t="n"/>
      <c r="G48" s="933" t="n"/>
      <c r="H48" s="933" t="n">
        <v>14</v>
      </c>
      <c r="I48" s="685" t="n"/>
      <c r="J48" s="721">
        <f>SUM(E48:I48)</f>
        <v/>
      </c>
    </row>
    <row r="49" ht="22.8" customHeight="1">
      <c r="A49" s="719" t="n">
        <v>46073</v>
      </c>
      <c r="B49" s="685" t="inlineStr">
        <is>
          <t>FRI</t>
        </is>
      </c>
      <c r="C49" s="679" t="inlineStr">
        <is>
          <t>Van 2-9</t>
        </is>
      </c>
      <c r="D49" s="680" t="inlineStr">
        <is>
          <t>ကျောက်ကာ-ကုက္ကိုကုန်း-ညောင်အိုင့်(PB)</t>
        </is>
      </c>
      <c r="E49" s="680" t="n"/>
      <c r="F49" s="933" t="n">
        <v>1</v>
      </c>
      <c r="G49" s="933" t="n"/>
      <c r="H49" s="933" t="n">
        <v>13</v>
      </c>
      <c r="I49" s="685" t="n"/>
      <c r="J49" s="721">
        <f>SUM(E49:I49)</f>
        <v/>
      </c>
    </row>
    <row r="50" ht="22.8" customHeight="1">
      <c r="A50" s="719" t="n">
        <v>46074</v>
      </c>
      <c r="B50" s="685" t="inlineStr">
        <is>
          <t>SAT</t>
        </is>
      </c>
      <c r="C50" s="679" t="inlineStr">
        <is>
          <t>Van 2-10</t>
        </is>
      </c>
      <c r="D50" s="687" t="inlineStr">
        <is>
          <t>ရွှေတုတ်ကုန်း-နတ်မြောင်း(သာစည်)</t>
        </is>
      </c>
      <c r="E50" s="687" t="n"/>
      <c r="F50" s="687" t="n"/>
      <c r="G50" s="685" t="n"/>
      <c r="H50" s="685" t="n">
        <v>11</v>
      </c>
      <c r="I50" s="685" t="n"/>
      <c r="J50" s="721">
        <f>SUM(E50:I50)</f>
        <v/>
      </c>
    </row>
    <row r="51" ht="22.8" customHeight="1">
      <c r="A51" s="706" t="n">
        <v>46075</v>
      </c>
      <c r="B51" s="707" t="inlineStr">
        <is>
          <t>SUN</t>
        </is>
      </c>
      <c r="C51" s="708" t="n"/>
      <c r="D51" s="709" t="n"/>
      <c r="E51" s="711" t="n"/>
      <c r="F51" s="711" t="n"/>
      <c r="G51" s="711" t="n"/>
      <c r="H51" s="711" t="n"/>
      <c r="I51" s="711" t="n"/>
      <c r="J51" s="717">
        <f>SUM(E51:I51)</f>
        <v/>
      </c>
    </row>
    <row r="52" ht="22.8" customHeight="1">
      <c r="A52" s="719" t="n">
        <v>46076</v>
      </c>
      <c r="B52" s="685" t="inlineStr">
        <is>
          <t>MON</t>
        </is>
      </c>
      <c r="C52" s="679" t="inlineStr">
        <is>
          <t>Van 2-1</t>
        </is>
      </c>
      <c r="D52" s="682" t="inlineStr">
        <is>
          <t>ထနောင်းကုန်း-ထနောင်းကန်(သာစည်)</t>
        </is>
      </c>
      <c r="E52" s="683" t="n"/>
      <c r="F52" s="684" t="n"/>
      <c r="G52" s="684" t="n"/>
      <c r="H52" s="684" t="n">
        <v>12</v>
      </c>
      <c r="I52" s="685" t="n"/>
      <c r="J52" s="721">
        <f>SUM(E52:I52)</f>
        <v/>
      </c>
    </row>
    <row r="53" ht="22.8" customHeight="1">
      <c r="A53" s="719" t="n">
        <v>46077</v>
      </c>
      <c r="B53" s="685" t="inlineStr">
        <is>
          <t>TUE</t>
        </is>
      </c>
      <c r="C53" s="679" t="inlineStr">
        <is>
          <t>Van 2-2</t>
        </is>
      </c>
      <c r="D53" s="687" t="inlineStr">
        <is>
          <t>ဟံဇား-ကျောက်ပနား-သာဂရ(ဝမ်းတွင်း)</t>
        </is>
      </c>
      <c r="E53" s="687" t="n"/>
      <c r="F53" s="686" t="n"/>
      <c r="G53" s="686" t="n"/>
      <c r="H53" s="686" t="n">
        <v>15</v>
      </c>
      <c r="I53" s="685" t="n"/>
      <c r="J53" s="723">
        <f>H53</f>
        <v/>
      </c>
    </row>
    <row r="54" ht="22.8" customHeight="1">
      <c r="A54" s="719" t="n">
        <v>46078</v>
      </c>
      <c r="B54" s="685" t="inlineStr">
        <is>
          <t>WED</t>
        </is>
      </c>
      <c r="C54" s="679" t="inlineStr">
        <is>
          <t>Van 2-3</t>
        </is>
      </c>
      <c r="D54" s="687" t="inlineStr">
        <is>
          <t>ရွှေတောင်-ဒိုင်ကောင်းကုန်း(ဝမ်းတွင်း)</t>
        </is>
      </c>
      <c r="E54" s="687" t="n"/>
      <c r="F54" s="686" t="n"/>
      <c r="G54" s="686" t="n"/>
      <c r="H54" s="686" t="n">
        <v>15</v>
      </c>
      <c r="I54" s="685" t="n"/>
      <c r="J54" s="721">
        <f>G54+H54</f>
        <v/>
      </c>
    </row>
    <row r="55" ht="22.8" customHeight="1">
      <c r="A55" s="719" t="n">
        <v>46079</v>
      </c>
      <c r="B55" s="685" t="inlineStr">
        <is>
          <t>THU</t>
        </is>
      </c>
      <c r="C55" s="679" t="inlineStr">
        <is>
          <t>Van 2-4</t>
        </is>
      </c>
      <c r="D55" s="687" t="inlineStr">
        <is>
          <t>ခင်ကြီး-ခင်ဘန်း-ကန်စွယ်-သဲတော</t>
        </is>
      </c>
      <c r="E55" s="687" t="n"/>
      <c r="F55" s="686" t="n"/>
      <c r="G55" s="686" t="n"/>
      <c r="H55" s="686" t="n">
        <v>13</v>
      </c>
      <c r="I55" s="685" t="n"/>
      <c r="J55" s="721">
        <f>G55+H55</f>
        <v/>
      </c>
    </row>
    <row r="56" ht="22.8" customHeight="1">
      <c r="A56" s="719" t="n">
        <v>46080</v>
      </c>
      <c r="B56" s="685" t="inlineStr">
        <is>
          <t>FRI</t>
        </is>
      </c>
      <c r="C56" s="679" t="inlineStr">
        <is>
          <t>Van 2-5</t>
        </is>
      </c>
      <c r="D56" s="687" t="inlineStr">
        <is>
          <t>သဖန်း-အိုမတွေ့-သစ်ပလွေ(ဝမ်းတွင်း)</t>
        </is>
      </c>
      <c r="E56" s="687" t="n"/>
      <c r="F56" s="686" t="n"/>
      <c r="G56" s="686" t="n"/>
      <c r="H56" s="686" t="n">
        <v>9</v>
      </c>
      <c r="I56" s="685" t="n"/>
      <c r="J56" s="721">
        <f>G56+H56</f>
        <v/>
      </c>
    </row>
    <row r="57" ht="22.8" customHeight="1">
      <c r="A57" s="719" t="n">
        <v>46081</v>
      </c>
      <c r="B57" s="685" t="inlineStr">
        <is>
          <t>SAT</t>
        </is>
      </c>
      <c r="C57" s="679" t="inlineStr">
        <is>
          <t>Van 2-6</t>
        </is>
      </c>
      <c r="D57" s="680" t="inlineStr">
        <is>
          <t>တဲစု-ပင်းတလဲ-အင်းကုန်း (ဝမ်းတွင်း)</t>
        </is>
      </c>
      <c r="E57" s="680" t="n"/>
      <c r="F57" s="933" t="n"/>
      <c r="G57" s="933" t="n">
        <v>1</v>
      </c>
      <c r="H57" s="933" t="n">
        <v>5</v>
      </c>
      <c r="I57" s="685" t="n"/>
      <c r="J57" s="721">
        <f>G57+H57</f>
        <v/>
      </c>
    </row>
    <row r="58" ht="22.8" customHeight="1">
      <c r="A58" s="706" t="n">
        <v>46054</v>
      </c>
      <c r="B58" s="707" t="inlineStr">
        <is>
          <t>SUN</t>
        </is>
      </c>
      <c r="C58" s="707" t="n"/>
      <c r="D58" s="718" t="n"/>
      <c r="E58" s="711" t="n"/>
      <c r="F58" s="711" t="n"/>
      <c r="G58" s="711" t="n"/>
      <c r="H58" s="711" t="n"/>
      <c r="I58" s="711" t="n"/>
      <c r="J58" s="717">
        <f>SUM(E58:I58)</f>
        <v/>
      </c>
    </row>
    <row r="59" ht="22.8" customHeight="1">
      <c r="A59" s="719" t="n">
        <v>46055</v>
      </c>
      <c r="B59" s="685" t="inlineStr">
        <is>
          <t>MON</t>
        </is>
      </c>
      <c r="C59" s="679" t="inlineStr">
        <is>
          <t>Van 3-1</t>
        </is>
      </c>
      <c r="D59" s="686" t="inlineStr">
        <is>
          <t xml:space="preserve">ကံသာအေး၊ထူးကုန်း၊ဘွတ်ရွာ၊ဗျဥ်းကတ် </t>
        </is>
      </c>
      <c r="E59" s="685" t="n"/>
      <c r="F59" s="685" t="n"/>
      <c r="G59" s="685" t="n"/>
      <c r="H59" s="685" t="n">
        <v>10</v>
      </c>
      <c r="I59" s="685" t="n"/>
      <c r="J59" s="721">
        <f>SUM(E59:I59)</f>
        <v/>
      </c>
    </row>
    <row r="60" ht="22.8" customHeight="1">
      <c r="A60" s="719" t="n">
        <v>46056</v>
      </c>
      <c r="B60" s="685" t="inlineStr">
        <is>
          <t>TUE</t>
        </is>
      </c>
      <c r="C60" s="679" t="inlineStr">
        <is>
          <t>Van 3-2</t>
        </is>
      </c>
      <c r="D60" s="686" t="inlineStr">
        <is>
          <t>ထီးလှိုင်၊ကင်ပွန်းချုံ၊ဘွတ်ရွာ၊ထူးကုန်း၊သပြေပင်</t>
        </is>
      </c>
      <c r="E60" s="685" t="n"/>
      <c r="F60" s="685" t="n"/>
      <c r="G60" s="685" t="n"/>
      <c r="H60" s="685" t="n">
        <v>10</v>
      </c>
      <c r="I60" s="685" t="n"/>
      <c r="J60" s="723">
        <f>SUM(J58:J59)</f>
        <v/>
      </c>
    </row>
    <row r="61" ht="22.8" customHeight="1">
      <c r="A61" s="719" t="n">
        <v>46057</v>
      </c>
      <c r="B61" s="685" t="inlineStr">
        <is>
          <t>WED</t>
        </is>
      </c>
      <c r="C61" s="679" t="inlineStr">
        <is>
          <t>Van 3-3</t>
        </is>
      </c>
      <c r="D61" s="686" t="inlineStr">
        <is>
          <t>မြို့လှ၊ဌက်ပျောတော၊သရက်ပင်၊ပင်းစု၊အင်ပေါင်း</t>
        </is>
      </c>
      <c r="E61" s="685" t="n"/>
      <c r="F61" s="685" t="n"/>
      <c r="G61" s="685" t="n"/>
      <c r="H61" s="685" t="n">
        <v>13</v>
      </c>
      <c r="I61" s="685" t="n"/>
      <c r="J61" s="721">
        <f>H61</f>
        <v/>
      </c>
    </row>
    <row r="62" ht="22.8" customHeight="1">
      <c r="A62" s="719" t="n">
        <v>46058</v>
      </c>
      <c r="B62" s="685" t="inlineStr">
        <is>
          <t>THU</t>
        </is>
      </c>
      <c r="C62" s="679" t="inlineStr">
        <is>
          <t>Van 3-4</t>
        </is>
      </c>
      <c r="D62" s="686" t="inlineStr">
        <is>
          <t>ပြတိုက်၊ဈေးကုန်းကြီး၊အင်းကုန်း၊အလယ်ကုန်း</t>
        </is>
      </c>
      <c r="E62" s="685" t="n"/>
      <c r="F62" s="685" t="n"/>
      <c r="G62" s="685" t="n"/>
      <c r="H62" s="679" t="n">
        <v>5</v>
      </c>
      <c r="I62" s="685" t="n"/>
      <c r="J62" s="721">
        <f>H62</f>
        <v/>
      </c>
    </row>
    <row r="63" ht="22.8" customHeight="1">
      <c r="A63" s="719" t="n">
        <v>46059</v>
      </c>
      <c r="B63" s="685" t="inlineStr">
        <is>
          <t>FRI</t>
        </is>
      </c>
      <c r="C63" s="679" t="inlineStr">
        <is>
          <t>Van 3-5</t>
        </is>
      </c>
      <c r="D63" s="686" t="inlineStr">
        <is>
          <t>နံချွန်၊ဝကုန်း၊ကျီစု၊ခံဘူး၊ရွှေဘူး၊သိမ်ကုန်း</t>
        </is>
      </c>
      <c r="E63" s="685" t="n"/>
      <c r="F63" s="685" t="n"/>
      <c r="G63" s="685" t="n"/>
      <c r="H63" s="685" t="n">
        <v>6</v>
      </c>
      <c r="I63" s="685" t="n"/>
      <c r="J63" s="721">
        <f>H63</f>
        <v/>
      </c>
    </row>
    <row r="64" ht="22.8" customHeight="1">
      <c r="A64" s="719" t="n">
        <v>46060</v>
      </c>
      <c r="B64" s="685" t="inlineStr">
        <is>
          <t>SAT</t>
        </is>
      </c>
      <c r="C64" s="679" t="inlineStr">
        <is>
          <t>Van 3-6</t>
        </is>
      </c>
      <c r="D64" s="686" t="inlineStr">
        <is>
          <t>ရွာတန်း၊မာန်ကြီးကုန်း၊အနောက်သပြေပင်</t>
        </is>
      </c>
      <c r="E64" s="685" t="n"/>
      <c r="F64" s="685" t="n"/>
      <c r="G64" s="685" t="n"/>
      <c r="H64" s="685" t="n">
        <v>9</v>
      </c>
      <c r="I64" s="685" t="n"/>
      <c r="J64" s="721">
        <f>H64</f>
        <v/>
      </c>
    </row>
    <row r="65" ht="22.8" customHeight="1">
      <c r="A65" s="706" t="n">
        <v>46061</v>
      </c>
      <c r="B65" s="707" t="inlineStr">
        <is>
          <t>SUN</t>
        </is>
      </c>
      <c r="C65" s="708" t="n"/>
      <c r="D65" s="718" t="n"/>
      <c r="E65" s="707" t="n"/>
      <c r="F65" s="707" t="n"/>
      <c r="G65" s="707" t="n"/>
      <c r="H65" s="707" t="n"/>
      <c r="I65" s="707" t="n"/>
      <c r="J65" s="717">
        <f>H65</f>
        <v/>
      </c>
    </row>
    <row r="66" ht="22.8" customHeight="1">
      <c r="A66" s="719" t="n">
        <v>46062</v>
      </c>
      <c r="B66" s="685" t="inlineStr">
        <is>
          <t>MON</t>
        </is>
      </c>
      <c r="C66" s="679" t="inlineStr">
        <is>
          <t>Van 3-1</t>
        </is>
      </c>
      <c r="D66" s="686" t="inlineStr">
        <is>
          <t xml:space="preserve">ကံသာအေး၊ထူးကုန်း၊ဘွတ်ရွာ၊ဗျဥ်းကတ် </t>
        </is>
      </c>
      <c r="E66" s="685" t="n"/>
      <c r="F66" s="685" t="n"/>
      <c r="G66" s="685" t="n"/>
      <c r="H66" s="685" t="n">
        <v>10</v>
      </c>
      <c r="I66" s="685" t="n"/>
      <c r="J66" s="721">
        <f>H66</f>
        <v/>
      </c>
    </row>
    <row r="67" ht="22.8" customHeight="1">
      <c r="A67" s="719" t="n">
        <v>46063</v>
      </c>
      <c r="B67" s="685" t="inlineStr">
        <is>
          <t>TUE</t>
        </is>
      </c>
      <c r="C67" s="679" t="inlineStr">
        <is>
          <t>Van 3-2</t>
        </is>
      </c>
      <c r="D67" s="686" t="inlineStr">
        <is>
          <t>ထီးလှိုင်၊ကင်ပွန်းချုံ၊ဘွတ်ရွာ၊ထူးကုန်း၊သပြေပင်</t>
        </is>
      </c>
      <c r="E67" s="685" t="n"/>
      <c r="F67" s="685" t="n"/>
      <c r="G67" s="685" t="n"/>
      <c r="H67" s="685" t="n">
        <v>10</v>
      </c>
      <c r="I67" s="685" t="n"/>
      <c r="J67" s="723">
        <f>SUM(J61:J66)</f>
        <v/>
      </c>
    </row>
    <row r="68" ht="22.8" customHeight="1">
      <c r="A68" s="719" t="n">
        <v>46064</v>
      </c>
      <c r="B68" s="685" t="inlineStr">
        <is>
          <t>WED</t>
        </is>
      </c>
      <c r="C68" s="679" t="inlineStr">
        <is>
          <t>Van 3-3</t>
        </is>
      </c>
      <c r="D68" s="686" t="inlineStr">
        <is>
          <t>မြို့လှ၊ဌက်ပျောတော၊သရက်ပင်၊ပင်းစု၊အင်ပေါင်း</t>
        </is>
      </c>
      <c r="E68" s="685" t="n"/>
      <c r="F68" s="685" t="n"/>
      <c r="G68" s="685" t="n"/>
      <c r="H68" s="685" t="n">
        <v>13</v>
      </c>
      <c r="I68" s="685" t="n"/>
      <c r="J68" s="721">
        <f>H68</f>
        <v/>
      </c>
    </row>
    <row r="69" ht="22.8" customHeight="1">
      <c r="A69" s="719" t="n">
        <v>46065</v>
      </c>
      <c r="B69" s="685" t="inlineStr">
        <is>
          <t>THU</t>
        </is>
      </c>
      <c r="C69" s="679" t="inlineStr">
        <is>
          <t>Van 3-4</t>
        </is>
      </c>
      <c r="D69" s="686" t="inlineStr">
        <is>
          <t>ပြတိုက်၊ဈေးကုန်းကြီး၊အင်းကုန်း၊အလယ်ကုန်း</t>
        </is>
      </c>
      <c r="E69" s="685" t="n"/>
      <c r="F69" s="685" t="n"/>
      <c r="G69" s="685" t="n"/>
      <c r="H69" s="679" t="n">
        <v>5</v>
      </c>
      <c r="I69" s="685" t="n"/>
      <c r="J69" s="721">
        <f>H69</f>
        <v/>
      </c>
    </row>
    <row r="70" ht="22.8" customHeight="1">
      <c r="A70" s="719" t="n">
        <v>46066</v>
      </c>
      <c r="B70" s="685" t="inlineStr">
        <is>
          <t>FRI</t>
        </is>
      </c>
      <c r="C70" s="679" t="inlineStr">
        <is>
          <t>Van 3-5</t>
        </is>
      </c>
      <c r="D70" s="686" t="inlineStr">
        <is>
          <t>နံချွန်၊ဝကုန်း၊ကျီစု၊ခံဘူး၊ရွှေဘူး၊သိမ်ကုန်း</t>
        </is>
      </c>
      <c r="E70" s="685" t="n"/>
      <c r="F70" s="685" t="n"/>
      <c r="G70" s="685" t="n"/>
      <c r="H70" s="685" t="n">
        <v>6</v>
      </c>
      <c r="I70" s="685" t="n"/>
      <c r="J70" s="721">
        <f>H70</f>
        <v/>
      </c>
    </row>
    <row r="71" ht="22.8" customHeight="1">
      <c r="A71" s="719" t="n">
        <v>46067</v>
      </c>
      <c r="B71" s="685" t="inlineStr">
        <is>
          <t>SAT</t>
        </is>
      </c>
      <c r="C71" s="679" t="inlineStr">
        <is>
          <t>Van 3-6</t>
        </is>
      </c>
      <c r="D71" s="686" t="inlineStr">
        <is>
          <t>ရွာတန်း၊မာန်ကြီးကုန်း၊အနောက်သပြေပင်</t>
        </is>
      </c>
      <c r="E71" s="685" t="n"/>
      <c r="F71" s="685" t="n"/>
      <c r="G71" s="685" t="n"/>
      <c r="H71" s="685" t="n">
        <v>9</v>
      </c>
      <c r="I71" s="685" t="n"/>
      <c r="J71" s="721">
        <f>H71</f>
        <v/>
      </c>
    </row>
    <row r="72" ht="22.8" customHeight="1">
      <c r="A72" s="706" t="n">
        <v>46068</v>
      </c>
      <c r="B72" s="707" t="inlineStr">
        <is>
          <t>SUN</t>
        </is>
      </c>
      <c r="C72" s="708" t="n"/>
      <c r="D72" s="718" t="n"/>
      <c r="E72" s="707" t="n"/>
      <c r="F72" s="707" t="n"/>
      <c r="G72" s="707" t="n"/>
      <c r="H72" s="707" t="n"/>
      <c r="I72" s="707" t="n"/>
      <c r="J72" s="717">
        <f>H72</f>
        <v/>
      </c>
    </row>
    <row r="73" ht="22.8" customHeight="1">
      <c r="A73" s="719" t="n">
        <v>46069</v>
      </c>
      <c r="B73" s="685" t="inlineStr">
        <is>
          <t>MON</t>
        </is>
      </c>
      <c r="C73" s="679" t="inlineStr">
        <is>
          <t>Van 3-1</t>
        </is>
      </c>
      <c r="D73" s="686" t="inlineStr">
        <is>
          <t xml:space="preserve">ကံသာအေး၊ထူးကုန်း၊ဘွတ်ရွာ၊ဗျဥ်းကတ် </t>
        </is>
      </c>
      <c r="E73" s="685" t="n"/>
      <c r="F73" s="685" t="n"/>
      <c r="G73" s="685" t="n"/>
      <c r="H73" s="685" t="n">
        <v>10</v>
      </c>
      <c r="I73" s="685" t="n"/>
      <c r="J73" s="721">
        <f>H73</f>
        <v/>
      </c>
    </row>
    <row r="74" ht="22.8" customHeight="1">
      <c r="A74" s="719" t="n">
        <v>46070</v>
      </c>
      <c r="B74" s="685" t="inlineStr">
        <is>
          <t>TUE</t>
        </is>
      </c>
      <c r="C74" s="679" t="inlineStr">
        <is>
          <t>Van 3-2</t>
        </is>
      </c>
      <c r="D74" s="686" t="inlineStr">
        <is>
          <t>ထီးလှိုင်၊ကင်ပွန်းချုံ၊ဘွတ်ရွာ၊ထူးကုန်း၊သပြေပင်</t>
        </is>
      </c>
      <c r="E74" s="685" t="n"/>
      <c r="F74" s="685" t="n"/>
      <c r="G74" s="685" t="n"/>
      <c r="H74" s="685" t="n">
        <v>10</v>
      </c>
      <c r="I74" s="685" t="n"/>
      <c r="J74" s="723">
        <f>SUM(J68:J73)</f>
        <v/>
      </c>
    </row>
    <row r="75" ht="22.8" customHeight="1">
      <c r="A75" s="719" t="n">
        <v>46071</v>
      </c>
      <c r="B75" s="685" t="inlineStr">
        <is>
          <t>WED</t>
        </is>
      </c>
      <c r="C75" s="679" t="inlineStr">
        <is>
          <t>Van 3-3</t>
        </is>
      </c>
      <c r="D75" s="686" t="inlineStr">
        <is>
          <t>မြို့လှ၊ဌက်ပျောတော၊သရက်ပင်၊ပင်းစု၊အင်ပေါင်း</t>
        </is>
      </c>
      <c r="E75" s="685" t="n"/>
      <c r="F75" s="685" t="n"/>
      <c r="G75" s="685" t="n"/>
      <c r="H75" s="685" t="n">
        <v>13</v>
      </c>
      <c r="I75" s="685" t="n"/>
      <c r="J75" s="721">
        <f>H75</f>
        <v/>
      </c>
    </row>
    <row r="76" ht="22.8" customHeight="1">
      <c r="A76" s="719" t="n">
        <v>46072</v>
      </c>
      <c r="B76" s="685" t="inlineStr">
        <is>
          <t>THU</t>
        </is>
      </c>
      <c r="C76" s="679" t="inlineStr">
        <is>
          <t>Van 3-4</t>
        </is>
      </c>
      <c r="D76" s="686" t="inlineStr">
        <is>
          <t>ပြတိုက်၊ဈေးကုန်းကြီး၊အင်းကုန်း၊အလယ်ကုန်း</t>
        </is>
      </c>
      <c r="E76" s="685" t="n"/>
      <c r="F76" s="685" t="n"/>
      <c r="G76" s="685" t="n"/>
      <c r="H76" s="679" t="n">
        <v>5</v>
      </c>
      <c r="I76" s="685" t="n"/>
      <c r="J76" s="721">
        <f>H76</f>
        <v/>
      </c>
    </row>
    <row r="77" ht="22.8" customHeight="1">
      <c r="A77" s="719" t="n">
        <v>46073</v>
      </c>
      <c r="B77" s="685" t="inlineStr">
        <is>
          <t>FRI</t>
        </is>
      </c>
      <c r="C77" s="679" t="inlineStr">
        <is>
          <t>Van 3-5</t>
        </is>
      </c>
      <c r="D77" s="686" t="inlineStr">
        <is>
          <t>နံချွန်၊ဝကုန်း၊ကျီစု၊ခံဘူး၊ရွှေဘူး၊သိမ်ကုန်း</t>
        </is>
      </c>
      <c r="E77" s="685" t="n"/>
      <c r="F77" s="685" t="n"/>
      <c r="G77" s="685" t="n"/>
      <c r="H77" s="685" t="n">
        <v>6</v>
      </c>
      <c r="I77" s="685" t="n"/>
      <c r="J77" s="721">
        <f>H77</f>
        <v/>
      </c>
    </row>
    <row r="78" ht="22.8" customHeight="1">
      <c r="A78" s="719" t="n">
        <v>46074</v>
      </c>
      <c r="B78" s="685" t="inlineStr">
        <is>
          <t>SAT</t>
        </is>
      </c>
      <c r="C78" s="679" t="inlineStr">
        <is>
          <t>Van 3-6</t>
        </is>
      </c>
      <c r="D78" s="686" t="inlineStr">
        <is>
          <t>ရွာတန်း၊မာန်ကြီးကုန်း၊အနောက်သပြေပင်</t>
        </is>
      </c>
      <c r="E78" s="685" t="n"/>
      <c r="F78" s="685" t="n"/>
      <c r="G78" s="685" t="n"/>
      <c r="H78" s="685" t="n">
        <v>9</v>
      </c>
      <c r="I78" s="685" t="n"/>
      <c r="J78" s="721">
        <f>H78</f>
        <v/>
      </c>
    </row>
    <row r="79" ht="22.8" customHeight="1">
      <c r="A79" s="706" t="n">
        <v>46075</v>
      </c>
      <c r="B79" s="707" t="inlineStr">
        <is>
          <t>SUN</t>
        </is>
      </c>
      <c r="C79" s="708" t="n"/>
      <c r="D79" s="718" t="n"/>
      <c r="E79" s="707" t="n"/>
      <c r="F79" s="707" t="n"/>
      <c r="G79" s="707" t="n"/>
      <c r="H79" s="707" t="n"/>
      <c r="I79" s="707" t="n"/>
      <c r="J79" s="717">
        <f>H79</f>
        <v/>
      </c>
    </row>
    <row r="80" ht="22.8" customHeight="1">
      <c r="A80" s="719" t="n">
        <v>46076</v>
      </c>
      <c r="B80" s="685" t="inlineStr">
        <is>
          <t>MON</t>
        </is>
      </c>
      <c r="C80" s="679" t="inlineStr">
        <is>
          <t>Van 3-1</t>
        </is>
      </c>
      <c r="D80" s="686" t="inlineStr">
        <is>
          <t xml:space="preserve">ကံသာအေး၊ထူးကုန်း၊ဘွတ်ရွာ၊ဗျဥ်းကတ် </t>
        </is>
      </c>
      <c r="E80" s="685" t="n"/>
      <c r="F80" s="685" t="n"/>
      <c r="G80" s="685" t="n"/>
      <c r="H80" s="685" t="n">
        <v>10</v>
      </c>
      <c r="I80" s="685" t="n"/>
      <c r="J80" s="721">
        <f>H80</f>
        <v/>
      </c>
    </row>
    <row r="81" ht="22.8" customHeight="1">
      <c r="A81" s="719" t="n">
        <v>46077</v>
      </c>
      <c r="B81" s="685" t="inlineStr">
        <is>
          <t>TUE</t>
        </is>
      </c>
      <c r="C81" s="679" t="inlineStr">
        <is>
          <t>Van 3-2</t>
        </is>
      </c>
      <c r="D81" s="686" t="inlineStr">
        <is>
          <t>ထီးလှိုင်၊ကင်ပွန်းချုံ၊ဘွတ်ရွာ၊ထူးကုန်း၊သပြေပင်</t>
        </is>
      </c>
      <c r="E81" s="685" t="n"/>
      <c r="F81" s="685" t="n"/>
      <c r="G81" s="685" t="n"/>
      <c r="H81" s="685" t="n">
        <v>10</v>
      </c>
      <c r="I81" s="685" t="n"/>
      <c r="J81" s="723">
        <f>SUM(J75:J80)</f>
        <v/>
      </c>
    </row>
    <row r="82" ht="22.8" customHeight="1">
      <c r="A82" s="719" t="n">
        <v>46078</v>
      </c>
      <c r="B82" s="685" t="inlineStr">
        <is>
          <t>WED</t>
        </is>
      </c>
      <c r="C82" s="679" t="inlineStr">
        <is>
          <t>Van 3-3</t>
        </is>
      </c>
      <c r="D82" s="686" t="inlineStr">
        <is>
          <t>မြို့လှ၊ဌက်ပျောတော၊သရက်ပင်၊ပင်းစု၊အင်ပေါင်း</t>
        </is>
      </c>
      <c r="E82" s="685" t="n"/>
      <c r="F82" s="685" t="n"/>
      <c r="G82" s="685" t="n"/>
      <c r="H82" s="685" t="n">
        <v>13</v>
      </c>
      <c r="I82" s="685" t="n"/>
      <c r="J82" s="721">
        <f>H82</f>
        <v/>
      </c>
    </row>
    <row r="83" ht="22.8" customHeight="1">
      <c r="A83" s="719" t="n">
        <v>46079</v>
      </c>
      <c r="B83" s="685" t="inlineStr">
        <is>
          <t>THU</t>
        </is>
      </c>
      <c r="C83" s="679" t="inlineStr">
        <is>
          <t>Van 3-4</t>
        </is>
      </c>
      <c r="D83" s="686" t="inlineStr">
        <is>
          <t>ပြတိုက်၊ဈေးကုန်းကြီး၊အင်းကုန်း၊အလယ်ကုန်း</t>
        </is>
      </c>
      <c r="E83" s="685" t="n"/>
      <c r="F83" s="685" t="n"/>
      <c r="G83" s="685" t="n"/>
      <c r="H83" s="679" t="n">
        <v>5</v>
      </c>
      <c r="I83" s="685" t="n"/>
      <c r="J83" s="721">
        <f>H83</f>
        <v/>
      </c>
    </row>
    <row r="84" ht="22.8" customHeight="1">
      <c r="A84" s="719" t="n">
        <v>46080</v>
      </c>
      <c r="B84" s="685" t="inlineStr">
        <is>
          <t>FRI</t>
        </is>
      </c>
      <c r="C84" s="679" t="inlineStr">
        <is>
          <t>Van 3-5</t>
        </is>
      </c>
      <c r="D84" s="686" t="inlineStr">
        <is>
          <t>နံချွန်၊ဝကုန်း၊ကျီစု၊ခံဘူး၊ရွှေဘူး၊သိမ်ကုန်း</t>
        </is>
      </c>
      <c r="E84" s="685" t="n"/>
      <c r="F84" s="685" t="n"/>
      <c r="G84" s="685" t="n"/>
      <c r="H84" s="685" t="n">
        <v>6</v>
      </c>
      <c r="I84" s="685" t="n"/>
      <c r="J84" s="721">
        <f>H84</f>
        <v/>
      </c>
    </row>
    <row r="85" ht="22.8" customHeight="1">
      <c r="A85" s="719" t="n">
        <v>46081</v>
      </c>
      <c r="B85" s="685" t="inlineStr">
        <is>
          <t>SAT</t>
        </is>
      </c>
      <c r="C85" s="679" t="inlineStr">
        <is>
          <t>Van 3-6</t>
        </is>
      </c>
      <c r="D85" s="686" t="inlineStr">
        <is>
          <t>ရွာတန်း၊မာန်ကြီးကုန်း၊အနောက်သပြေပင်</t>
        </is>
      </c>
      <c r="E85" s="685" t="n"/>
      <c r="F85" s="685" t="n"/>
      <c r="G85" s="685" t="n"/>
      <c r="H85" s="685" t="n">
        <v>9</v>
      </c>
      <c r="I85" s="685" t="n"/>
      <c r="J85" s="721">
        <f>H85</f>
        <v/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BM39"/>
  <sheetViews>
    <sheetView zoomScale="80" zoomScaleNormal="80" workbookViewId="0">
      <pane xSplit="4" ySplit="4" topLeftCell="E5" activePane="bottomRight" state="frozen"/>
      <selection activeCell="W20" sqref="W20"/>
      <selection pane="topRight" activeCell="W20" sqref="W20"/>
      <selection pane="bottomLeft" activeCell="W20" sqref="W20"/>
      <selection pane="bottomRight" activeCell="I1" sqref="I1"/>
    </sheetView>
  </sheetViews>
  <sheetFormatPr baseColWidth="8" defaultColWidth="10.44140625" defaultRowHeight="19.8"/>
  <cols>
    <col width="15.44140625" customWidth="1" style="767" min="1" max="1"/>
    <col width="31.109375" customWidth="1" style="767" min="2" max="2"/>
    <col width="13.88671875" bestFit="1" customWidth="1" style="767" min="3" max="3"/>
    <col width="39.5546875" bestFit="1" customWidth="1" style="767" min="4" max="4"/>
    <col width="17" customWidth="1" style="767" min="5" max="9"/>
    <col width="10.6640625" customWidth="1" style="767" min="10" max="10"/>
    <col width="10.44140625" customWidth="1" style="767" min="11" max="17"/>
    <col hidden="1" width="10.44140625" customWidth="1" style="767" min="18" max="19"/>
    <col width="10.44140625" customWidth="1" style="767" min="20" max="21"/>
    <col width="8.6640625" customWidth="1" style="767" min="22" max="23"/>
    <col width="10.44140625" customWidth="1" style="767" min="24" max="25"/>
    <col width="12.33203125" customWidth="1" style="767" min="26" max="27"/>
    <col width="11.6640625" customWidth="1" style="767" min="28" max="29"/>
    <col width="11.88671875" customWidth="1" style="767" min="30" max="31"/>
    <col width="11.44140625" customWidth="1" style="767" min="32" max="33"/>
    <col width="10.44140625" customWidth="1" style="767" min="34" max="45"/>
    <col hidden="1" width="10.44140625" customWidth="1" style="767" min="46" max="47"/>
    <col width="10.44140625" customWidth="1" style="767" min="48" max="53"/>
    <col hidden="1" width="10.44140625" customWidth="1" style="767" min="54" max="57"/>
    <col width="12.109375" customWidth="1" style="767" min="58" max="59"/>
    <col width="12.44140625" customWidth="1" style="767" min="60" max="61"/>
    <col width="16.88671875" customWidth="1" style="768" min="62" max="62"/>
    <col width="16.33203125" customWidth="1" style="768" min="63" max="63"/>
    <col width="10.44140625" customWidth="1" style="767" min="64" max="16384"/>
  </cols>
  <sheetData>
    <row r="1" ht="30" customHeight="1" thickBot="1">
      <c r="A1" s="952" t="inlineStr">
        <is>
          <t>Van Wise SKU Report (February-2026)</t>
        </is>
      </c>
    </row>
    <row r="2" ht="69.75" customHeight="1">
      <c r="A2" s="769" t="inlineStr">
        <is>
          <t>Region</t>
        </is>
      </c>
      <c r="B2" s="770" t="inlineStr">
        <is>
          <t>Township</t>
        </is>
      </c>
      <c r="C2" s="770" t="inlineStr">
        <is>
          <t xml:space="preserve">Way </t>
        </is>
      </c>
      <c r="D2" s="770" t="inlineStr">
        <is>
          <t xml:space="preserve">Actual Route Name </t>
        </is>
      </c>
      <c r="E2" s="771" t="inlineStr">
        <is>
          <t xml:space="preserve">Total Working Day / month </t>
        </is>
      </c>
      <c r="F2" s="770" t="inlineStr">
        <is>
          <t xml:space="preserve">Call Plan </t>
        </is>
      </c>
      <c r="G2" s="770" t="inlineStr">
        <is>
          <t xml:space="preserve">Visit Call </t>
        </is>
      </c>
      <c r="H2" s="770" t="inlineStr">
        <is>
          <t>Effective Call</t>
        </is>
      </c>
      <c r="I2" s="770" t="inlineStr">
        <is>
          <t>Strike Rate</t>
        </is>
      </c>
      <c r="J2" s="1260" t="inlineStr">
        <is>
          <t>Zay
(1×14)</t>
        </is>
      </c>
      <c r="K2" s="1162" t="n"/>
      <c r="L2" s="1260" t="inlineStr">
        <is>
          <t>Lime (1x14)</t>
        </is>
      </c>
      <c r="M2" s="1162" t="n"/>
      <c r="N2" s="1260" t="inlineStr">
        <is>
          <t>Myanmar Shout  Pyar(1x14)</t>
        </is>
      </c>
      <c r="O2" s="1162" t="n"/>
      <c r="P2" s="1260" t="inlineStr">
        <is>
          <t>White Orange(1x24)</t>
        </is>
      </c>
      <c r="Q2" s="1162" t="n"/>
      <c r="R2" s="1260" t="inlineStr">
        <is>
          <t>Zayawaddy Red(1x12)</t>
        </is>
      </c>
      <c r="S2" s="1162" t="n"/>
      <c r="T2" s="1260" t="inlineStr">
        <is>
          <t>Zayawaddy Red(1x14)</t>
        </is>
      </c>
      <c r="U2" s="1162" t="n"/>
      <c r="V2" s="1260" t="inlineStr">
        <is>
          <t>KK (14)</t>
        </is>
      </c>
      <c r="W2" s="1162" t="n"/>
      <c r="X2" s="1261" t="inlineStr">
        <is>
          <t>KK
25%
1000 ml</t>
        </is>
      </c>
      <c r="Y2" s="1162" t="n"/>
      <c r="Z2" s="1260" t="inlineStr">
        <is>
          <t>Mongnai Kunki(1x14)</t>
        </is>
      </c>
      <c r="AA2" s="1162" t="n"/>
      <c r="AB2" s="1260" t="inlineStr">
        <is>
          <t>Mongnai Kunki(1 Liter)</t>
        </is>
      </c>
      <c r="AC2" s="1162" t="n"/>
      <c r="AD2" s="1260" t="inlineStr">
        <is>
          <t>Scropion ကင်း(1x14)</t>
        </is>
      </c>
      <c r="AE2" s="1162" t="n"/>
      <c r="AF2" s="1260" t="inlineStr">
        <is>
          <t>Shwe Min Thar-Hkung rai(1x24)</t>
        </is>
      </c>
      <c r="AG2" s="1162" t="n"/>
      <c r="AH2" s="1260" t="inlineStr">
        <is>
          <t>Shwe Min Thar-Tamarind Hkung rai(1x14)</t>
        </is>
      </c>
      <c r="AI2" s="1162" t="n"/>
      <c r="AJ2" s="1260" t="inlineStr">
        <is>
          <t>Zay VODKA(1*12)</t>
        </is>
      </c>
      <c r="AK2" s="1162" t="n"/>
      <c r="AL2" s="1262" t="inlineStr">
        <is>
          <t>Rum/red
(40%) 
1000 ml</t>
        </is>
      </c>
      <c r="AM2" s="1162" t="n"/>
      <c r="AN2" s="1262" t="inlineStr">
        <is>
          <t>Cherry Lime(1 Liter)</t>
        </is>
      </c>
      <c r="AO2" s="1162" t="n"/>
      <c r="AP2" s="771" t="inlineStr">
        <is>
          <t>Cherry (0.6Liter)</t>
        </is>
      </c>
      <c r="AQ2" s="1162" t="n"/>
      <c r="AR2" s="771" t="inlineStr">
        <is>
          <t>Myanmar Shout  Pyar(1 Liter)</t>
        </is>
      </c>
      <c r="AS2" s="1162" t="n"/>
      <c r="AT2" s="771" t="inlineStr">
        <is>
          <t>Moe Nae 1000ml</t>
        </is>
      </c>
      <c r="AU2" s="1162" t="n"/>
      <c r="AV2" s="1263" t="inlineStr">
        <is>
          <t>Shwe Min Thar-Hkung rai(0.6 Liter)</t>
        </is>
      </c>
      <c r="AW2" s="1162" t="n"/>
      <c r="AX2" s="771" t="inlineStr">
        <is>
          <t>Cherry Lime(0.6 Liter)</t>
        </is>
      </c>
      <c r="AY2" s="1162" t="n"/>
      <c r="AZ2" s="771" t="inlineStr">
        <is>
          <t>Shwe Min Thar-Tamarind Hkung rai(06 Liter)</t>
        </is>
      </c>
      <c r="BA2" s="1162" t="n"/>
      <c r="BB2" s="1263" t="inlineStr">
        <is>
          <t>Shwe Min Thar-Tamarind Hkung rai(0.6 Liter)</t>
        </is>
      </c>
      <c r="BC2" s="1162" t="n"/>
      <c r="BD2" s="771" t="inlineStr">
        <is>
          <t>Formula Rum 
700ml</t>
        </is>
      </c>
      <c r="BE2" s="1162" t="n"/>
      <c r="BF2" s="771" t="inlineStr">
        <is>
          <t>Formula Rum 
350ml</t>
        </is>
      </c>
      <c r="BG2" s="1162" t="n"/>
      <c r="BH2" s="941" t="inlineStr">
        <is>
          <t>Dagon Pineapple (1x24)</t>
        </is>
      </c>
      <c r="BI2" s="1161" t="n"/>
      <c r="BJ2" s="771" t="inlineStr">
        <is>
          <t>Shwe Man 1000 ml</t>
        </is>
      </c>
      <c r="BK2" s="1162" t="n"/>
      <c r="BL2" s="1264" t="inlineStr">
        <is>
          <t>Total</t>
        </is>
      </c>
      <c r="BM2" s="1265" t="inlineStr">
        <is>
          <t>Total</t>
        </is>
      </c>
    </row>
    <row r="3" ht="24.6" customHeight="1">
      <c r="A3" s="774" t="inlineStr">
        <is>
          <t>MHL</t>
        </is>
      </c>
      <c r="B3" s="775" t="n"/>
      <c r="C3" s="776" t="n"/>
      <c r="D3" s="776" t="n"/>
      <c r="E3" s="776" t="n"/>
      <c r="F3" s="776" t="n"/>
      <c r="G3" s="776" t="n"/>
      <c r="H3" s="776" t="n"/>
      <c r="I3" s="776" t="n"/>
      <c r="J3" s="777" t="inlineStr">
        <is>
          <t xml:space="preserve">Bot </t>
        </is>
      </c>
      <c r="K3" s="777" t="inlineStr">
        <is>
          <t>Liter</t>
        </is>
      </c>
      <c r="L3" s="777" t="inlineStr">
        <is>
          <t xml:space="preserve">Bot </t>
        </is>
      </c>
      <c r="M3" s="777" t="inlineStr">
        <is>
          <t>Liter</t>
        </is>
      </c>
      <c r="N3" s="777" t="inlineStr">
        <is>
          <t xml:space="preserve">Bot </t>
        </is>
      </c>
      <c r="O3" s="777" t="inlineStr">
        <is>
          <t>Liter</t>
        </is>
      </c>
      <c r="P3" s="777" t="inlineStr">
        <is>
          <t xml:space="preserve">Bot </t>
        </is>
      </c>
      <c r="Q3" s="777" t="inlineStr">
        <is>
          <t>Liter</t>
        </is>
      </c>
      <c r="R3" s="777" t="inlineStr">
        <is>
          <t xml:space="preserve">Bot </t>
        </is>
      </c>
      <c r="S3" s="777" t="inlineStr">
        <is>
          <t>Liter</t>
        </is>
      </c>
      <c r="T3" s="777" t="inlineStr">
        <is>
          <t xml:space="preserve">Bot </t>
        </is>
      </c>
      <c r="U3" s="777" t="inlineStr">
        <is>
          <t>Liter</t>
        </is>
      </c>
      <c r="V3" s="777" t="inlineStr">
        <is>
          <t xml:space="preserve">Bot </t>
        </is>
      </c>
      <c r="W3" s="777" t="inlineStr">
        <is>
          <t>Liter</t>
        </is>
      </c>
      <c r="X3" s="777" t="inlineStr">
        <is>
          <t xml:space="preserve">Bot </t>
        </is>
      </c>
      <c r="Y3" s="777" t="inlineStr">
        <is>
          <t>Liter</t>
        </is>
      </c>
      <c r="Z3" s="777" t="inlineStr">
        <is>
          <t xml:space="preserve">Bot </t>
        </is>
      </c>
      <c r="AA3" s="777" t="inlineStr">
        <is>
          <t>Liter</t>
        </is>
      </c>
      <c r="AB3" s="777" t="inlineStr">
        <is>
          <t xml:space="preserve">Bot </t>
        </is>
      </c>
      <c r="AC3" s="777" t="inlineStr">
        <is>
          <t>Liter</t>
        </is>
      </c>
      <c r="AD3" s="777" t="inlineStr">
        <is>
          <t xml:space="preserve">Bot </t>
        </is>
      </c>
      <c r="AE3" s="777" t="inlineStr">
        <is>
          <t>Liter</t>
        </is>
      </c>
      <c r="AF3" s="777" t="inlineStr">
        <is>
          <t xml:space="preserve">Bot </t>
        </is>
      </c>
      <c r="AG3" s="777" t="inlineStr">
        <is>
          <t>Liter</t>
        </is>
      </c>
      <c r="AH3" s="777" t="inlineStr">
        <is>
          <t xml:space="preserve">Bot </t>
        </is>
      </c>
      <c r="AI3" s="777" t="inlineStr">
        <is>
          <t>Liter</t>
        </is>
      </c>
      <c r="AJ3" s="777" t="inlineStr">
        <is>
          <t xml:space="preserve">Bot </t>
        </is>
      </c>
      <c r="AK3" s="777" t="inlineStr">
        <is>
          <t>Liter</t>
        </is>
      </c>
      <c r="AL3" s="777" t="inlineStr">
        <is>
          <t xml:space="preserve">Bot </t>
        </is>
      </c>
      <c r="AM3" s="777" t="inlineStr">
        <is>
          <t>Liter</t>
        </is>
      </c>
      <c r="AN3" s="777" t="inlineStr">
        <is>
          <t xml:space="preserve">Bot </t>
        </is>
      </c>
      <c r="AO3" s="777" t="inlineStr">
        <is>
          <t>Liter</t>
        </is>
      </c>
      <c r="AP3" s="777" t="inlineStr">
        <is>
          <t xml:space="preserve">Bot </t>
        </is>
      </c>
      <c r="AQ3" s="777" t="inlineStr">
        <is>
          <t>Liter</t>
        </is>
      </c>
      <c r="AR3" s="777" t="inlineStr">
        <is>
          <t xml:space="preserve">Bot </t>
        </is>
      </c>
      <c r="AS3" s="777" t="inlineStr">
        <is>
          <t>Liter</t>
        </is>
      </c>
      <c r="AT3" s="777" t="inlineStr">
        <is>
          <t xml:space="preserve">Bot </t>
        </is>
      </c>
      <c r="AU3" s="777" t="inlineStr">
        <is>
          <t>Liter</t>
        </is>
      </c>
      <c r="AV3" s="777" t="inlineStr">
        <is>
          <t xml:space="preserve">Bot </t>
        </is>
      </c>
      <c r="AW3" s="777" t="inlineStr">
        <is>
          <t>Liter</t>
        </is>
      </c>
      <c r="AX3" s="777" t="inlineStr">
        <is>
          <t xml:space="preserve">Bot </t>
        </is>
      </c>
      <c r="AY3" s="777" t="inlineStr">
        <is>
          <t>Liter</t>
        </is>
      </c>
      <c r="AZ3" s="777" t="inlineStr">
        <is>
          <t xml:space="preserve">Bot </t>
        </is>
      </c>
      <c r="BA3" s="777" t="inlineStr">
        <is>
          <t>Liter</t>
        </is>
      </c>
      <c r="BB3" s="777" t="inlineStr">
        <is>
          <t xml:space="preserve">Bot </t>
        </is>
      </c>
      <c r="BC3" s="777" t="inlineStr">
        <is>
          <t>Liter</t>
        </is>
      </c>
      <c r="BD3" s="777" t="inlineStr">
        <is>
          <t xml:space="preserve">Bot </t>
        </is>
      </c>
      <c r="BE3" s="777" t="inlineStr">
        <is>
          <t>Liter</t>
        </is>
      </c>
      <c r="BF3" s="777" t="inlineStr">
        <is>
          <t xml:space="preserve">Bot </t>
        </is>
      </c>
      <c r="BG3" s="777" t="inlineStr">
        <is>
          <t>Liter</t>
        </is>
      </c>
      <c r="BH3" s="777" t="inlineStr">
        <is>
          <t xml:space="preserve">Bot </t>
        </is>
      </c>
      <c r="BI3" s="777" t="n"/>
      <c r="BJ3" s="777" t="inlineStr">
        <is>
          <t xml:space="preserve">Bot </t>
        </is>
      </c>
      <c r="BK3" s="777" t="inlineStr">
        <is>
          <t>Liter</t>
        </is>
      </c>
      <c r="BL3" s="777" t="inlineStr">
        <is>
          <t xml:space="preserve">Bot </t>
        </is>
      </c>
      <c r="BM3" s="778" t="inlineStr">
        <is>
          <t>Liter</t>
        </is>
      </c>
    </row>
    <row r="4" ht="20.1" customHeight="1">
      <c r="A4" s="779" t="n"/>
      <c r="B4" s="780" t="n"/>
      <c r="C4" s="765" t="n"/>
      <c r="D4" s="765" t="n"/>
      <c r="E4" s="765" t="n"/>
      <c r="F4" s="765" t="n"/>
      <c r="G4" s="765" t="n"/>
      <c r="H4" s="765" t="n"/>
      <c r="I4" s="765" t="n"/>
      <c r="J4" s="774" t="n">
        <v>14</v>
      </c>
      <c r="K4" s="971" t="n"/>
      <c r="L4" s="774" t="n">
        <v>14</v>
      </c>
      <c r="M4" s="971" t="n"/>
      <c r="N4" s="774" t="n">
        <v>14</v>
      </c>
      <c r="O4" s="971" t="n"/>
      <c r="P4" s="774" t="n">
        <v>24</v>
      </c>
      <c r="Q4" s="971" t="n"/>
      <c r="R4" s="774" t="n">
        <v>14</v>
      </c>
      <c r="S4" s="971" t="n"/>
      <c r="T4" s="774" t="n">
        <v>14</v>
      </c>
      <c r="U4" s="971" t="n"/>
      <c r="V4" s="774" t="n">
        <v>14</v>
      </c>
      <c r="W4" s="971" t="n"/>
      <c r="X4" s="774" t="n">
        <v>12</v>
      </c>
      <c r="Y4" s="971" t="n"/>
      <c r="Z4" s="774" t="n">
        <v>14</v>
      </c>
      <c r="AA4" s="971" t="n"/>
      <c r="AB4" s="935" t="n"/>
      <c r="AC4" s="935" t="n">
        <v>12</v>
      </c>
      <c r="AD4" s="774" t="n">
        <v>14</v>
      </c>
      <c r="AE4" s="971" t="n"/>
      <c r="AF4" s="774" t="n">
        <v>24</v>
      </c>
      <c r="AG4" s="971" t="n"/>
      <c r="AH4" s="774" t="n">
        <v>14</v>
      </c>
      <c r="AI4" s="971" t="n"/>
      <c r="AJ4" s="774" t="n">
        <v>12</v>
      </c>
      <c r="AK4" s="971" t="n"/>
      <c r="AL4" s="774" t="n">
        <v>12</v>
      </c>
      <c r="AM4" s="971" t="n"/>
      <c r="AN4" s="774" t="n">
        <v>12</v>
      </c>
      <c r="AO4" s="971" t="n"/>
      <c r="AP4" s="774" t="n">
        <v>24</v>
      </c>
      <c r="AQ4" s="971" t="n"/>
      <c r="AR4" s="774" t="n">
        <v>12</v>
      </c>
      <c r="AS4" s="971" t="n"/>
      <c r="AT4" s="774" t="n">
        <v>12</v>
      </c>
      <c r="AU4" s="971" t="n"/>
      <c r="AV4" s="774" t="n">
        <v>12</v>
      </c>
      <c r="AW4" s="971" t="n"/>
      <c r="AX4" s="774" t="n">
        <v>24</v>
      </c>
      <c r="AY4" s="971" t="n"/>
      <c r="AZ4" s="774" t="n">
        <v>12</v>
      </c>
      <c r="BA4" s="971" t="n"/>
      <c r="BB4" s="774" t="n">
        <v>20</v>
      </c>
      <c r="BC4" s="971" t="n"/>
      <c r="BD4" s="774" t="n">
        <v>12</v>
      </c>
      <c r="BE4" s="971" t="n"/>
      <c r="BF4" s="774" t="n">
        <v>24</v>
      </c>
      <c r="BG4" s="971" t="n"/>
      <c r="BH4" s="934" t="n">
        <v>24</v>
      </c>
      <c r="BI4" s="970" t="n"/>
      <c r="BJ4" s="774" t="n">
        <v>12</v>
      </c>
      <c r="BK4" s="971" t="n"/>
      <c r="BL4" s="935" t="n"/>
      <c r="BM4" s="1266" t="n"/>
    </row>
    <row r="5" ht="20.1" customHeight="1">
      <c r="A5" s="940" t="inlineStr">
        <is>
          <t xml:space="preserve">Van 1 </t>
        </is>
      </c>
      <c r="B5" s="783" t="inlineStr">
        <is>
          <t>သာစည်</t>
        </is>
      </c>
      <c r="C5" s="784" t="inlineStr">
        <is>
          <t>Van 1-1</t>
        </is>
      </c>
      <c r="D5" s="785" t="inlineStr">
        <is>
          <t>ယင်းမာပင်-ပြည်ညောင်</t>
        </is>
      </c>
      <c r="E5" s="756" t="inlineStr">
        <is>
          <t>2 Days</t>
        </is>
      </c>
      <c r="F5" s="756" t="n">
        <v>24</v>
      </c>
      <c r="G5" s="756" t="n">
        <v>24</v>
      </c>
      <c r="H5" s="756" t="n">
        <v>6</v>
      </c>
      <c r="I5" s="786" t="n">
        <v>0.25</v>
      </c>
      <c r="J5" s="1267" t="n"/>
      <c r="K5" s="1267" t="n"/>
      <c r="L5" s="1267" t="n"/>
      <c r="M5" s="1267" t="n"/>
      <c r="N5" s="1267" t="n"/>
      <c r="O5" s="1267" t="n"/>
      <c r="P5" s="1267" t="n"/>
      <c r="Q5" s="1267" t="n"/>
      <c r="R5" s="1267" t="n"/>
      <c r="S5" s="1267" t="n"/>
      <c r="T5" s="1267" t="n"/>
      <c r="U5" s="1267" t="n"/>
      <c r="V5" s="1267" t="n"/>
      <c r="W5" s="1267" t="n"/>
      <c r="X5" s="1267" t="n"/>
      <c r="Y5" s="1267">
        <f>80*12</f>
        <v/>
      </c>
      <c r="Z5" s="1267" t="n"/>
      <c r="AA5" s="1267" t="n"/>
      <c r="AB5" s="1267" t="n"/>
      <c r="AC5" s="1267" t="n"/>
      <c r="AD5" s="1267" t="n"/>
      <c r="AE5" s="1267" t="n"/>
      <c r="AF5" s="788" t="n"/>
      <c r="AG5" s="1267" t="n"/>
      <c r="AH5" s="1267" t="n"/>
      <c r="AI5" s="1267" t="n"/>
      <c r="AJ5" s="1267" t="n"/>
      <c r="AK5" s="1267" t="n"/>
      <c r="AL5" s="1267" t="n"/>
      <c r="AM5" s="1267" t="n"/>
      <c r="AN5" s="1267" t="n"/>
      <c r="AO5" s="1267">
        <f>5*12</f>
        <v/>
      </c>
      <c r="AP5" s="1267" t="n"/>
      <c r="AQ5" s="1267" t="n"/>
      <c r="AR5" s="1267" t="n"/>
      <c r="AS5" s="1267" t="n"/>
      <c r="AT5" s="1267" t="n"/>
      <c r="AU5" s="1267" t="n"/>
      <c r="AV5" s="1267" t="n"/>
      <c r="AW5" s="1267" t="n"/>
      <c r="AX5" s="1267" t="n"/>
      <c r="AY5" s="1267" t="n"/>
      <c r="AZ5" s="1267" t="n"/>
      <c r="BA5" s="1267" t="n"/>
      <c r="BB5" s="1267" t="n"/>
      <c r="BC5" s="1267" t="n"/>
      <c r="BD5" s="1267" t="n"/>
      <c r="BE5" s="1267" t="n"/>
      <c r="BF5" s="1267" t="n"/>
      <c r="BG5" s="1268" t="n"/>
      <c r="BH5" s="1268" t="n"/>
      <c r="BI5" s="1268" t="n"/>
      <c r="BJ5" s="1268" t="n"/>
      <c r="BK5" s="1268" t="n"/>
      <c r="BL5" s="1269">
        <f>BJ5+BH5+BF5+AZ5+AX5+AV5+AR5+AP5+AN5+AL5+AJ5+AH5+AF5+AD5+AB5+AB5+Z5+X5+V5+T5+P5+N5+L5+J5</f>
        <v/>
      </c>
      <c r="BM5" s="1270">
        <f>BK5+BI5+BG5+BA5+AY5+AW5+AS5+AQ5+AQ5+AO5+AM5+AK5+AI5+AG5+AE5+AC5+AA5+Y5+W5+U5+Q5+O5+M5+K5</f>
        <v/>
      </c>
    </row>
    <row r="6" ht="20.1" customHeight="1">
      <c r="A6" s="972" t="n"/>
      <c r="B6" s="783" t="inlineStr">
        <is>
          <t>ညောင်ဦး</t>
        </is>
      </c>
      <c r="C6" s="784" t="inlineStr">
        <is>
          <t>Van 1-2</t>
        </is>
      </c>
      <c r="D6" s="785" t="inlineStr">
        <is>
          <t>တက်မ-ငါးမင်းမေ့(ညောင်ဦး)</t>
        </is>
      </c>
      <c r="E6" s="756" t="inlineStr">
        <is>
          <t>2 Days</t>
        </is>
      </c>
      <c r="F6" s="756" t="n">
        <v>22</v>
      </c>
      <c r="G6" s="756" t="n">
        <v>22</v>
      </c>
      <c r="H6" s="756" t="n">
        <v>9</v>
      </c>
      <c r="I6" s="786" t="n">
        <v>0.41</v>
      </c>
      <c r="J6" s="1267">
        <f>150*14</f>
        <v/>
      </c>
      <c r="K6" s="1267" t="n"/>
      <c r="L6" s="1267">
        <f>30*14</f>
        <v/>
      </c>
      <c r="M6" s="1267" t="n"/>
      <c r="N6" s="1267" t="n"/>
      <c r="O6" s="1267" t="n"/>
      <c r="P6" s="1267" t="n"/>
      <c r="Q6" s="1267" t="n"/>
      <c r="R6" s="1267" t="n"/>
      <c r="S6" s="1267" t="n"/>
      <c r="T6" s="1267" t="n"/>
      <c r="U6" s="1267" t="n"/>
      <c r="V6" s="1267" t="n"/>
      <c r="W6" s="1267" t="n"/>
      <c r="X6" s="1267" t="n"/>
      <c r="Y6" s="1267">
        <f>3*12</f>
        <v/>
      </c>
      <c r="Z6" s="1267" t="n"/>
      <c r="AA6" s="1267" t="n"/>
      <c r="AB6" s="1267" t="n"/>
      <c r="AC6" s="1267" t="n"/>
      <c r="AD6" s="1267" t="n"/>
      <c r="AE6" s="1267" t="n"/>
      <c r="AF6" s="1267">
        <f>5*24</f>
        <v/>
      </c>
      <c r="AG6" s="1267" t="n"/>
      <c r="AH6" s="1267" t="n"/>
      <c r="AI6" s="1267" t="n"/>
      <c r="AJ6" s="1267" t="n"/>
      <c r="AK6" s="1267" t="n"/>
      <c r="AL6" s="1267" t="n"/>
      <c r="AM6" s="1267" t="n"/>
      <c r="AN6" s="1267" t="n"/>
      <c r="AO6" s="1267">
        <f>15*12</f>
        <v/>
      </c>
      <c r="AP6" s="1267" t="n"/>
      <c r="AQ6" s="1267">
        <f>5*24</f>
        <v/>
      </c>
      <c r="AR6" s="1267" t="n"/>
      <c r="AS6" s="1267" t="n"/>
      <c r="AT6" s="1267" t="n"/>
      <c r="AU6" s="1267" t="n"/>
      <c r="AV6" s="1267" t="n"/>
      <c r="AW6" s="1267" t="n"/>
      <c r="AX6" s="1267" t="n"/>
      <c r="AY6" s="1267" t="n"/>
      <c r="AZ6" s="1267" t="n"/>
      <c r="BA6" s="1267" t="n"/>
      <c r="BB6" s="1267" t="n"/>
      <c r="BC6" s="1267" t="n"/>
      <c r="BD6" s="1267" t="n"/>
      <c r="BE6" s="1267" t="n"/>
      <c r="BF6" s="1267" t="n"/>
      <c r="BG6" s="1268" t="n"/>
      <c r="BH6" s="1268" t="n"/>
      <c r="BI6" s="1268" t="n"/>
      <c r="BJ6" s="1268" t="n"/>
      <c r="BK6" s="1268" t="n"/>
      <c r="BL6" s="1269">
        <f>BJ6+BH6+BF6+AZ6+AX6+AV6+AR6+AP6+AN6+AL6+AJ6+AH6+AF6+AD6+AB6+AB6+Z6+X6+V6+T6+P6+N6+L6+J6</f>
        <v/>
      </c>
      <c r="BM6" s="1270">
        <f>BK6+BI6+BG6+BA6+AY6+AW6+AS6+AQ6+AQ6+AO6+AM6+AK6+AI6+AG6+AE6+AC6+AA6+Y6+W6+U6+Q6+O6+M6+K6</f>
        <v/>
      </c>
    </row>
    <row r="7" ht="20.1" customHeight="1">
      <c r="A7" s="972" t="n"/>
      <c r="B7" s="783" t="inlineStr">
        <is>
          <t>ညောင်ဦး</t>
        </is>
      </c>
      <c r="C7" s="784" t="inlineStr">
        <is>
          <t>Van 1-3</t>
        </is>
      </c>
      <c r="D7" s="785" t="inlineStr">
        <is>
          <t>ပုဂံမြို့-သူကောင်း (ညောင်ဦး)</t>
        </is>
      </c>
      <c r="E7" s="756" t="inlineStr">
        <is>
          <t>2 Days</t>
        </is>
      </c>
      <c r="F7" s="756" t="n">
        <v>32</v>
      </c>
      <c r="G7" s="756" t="n">
        <v>32</v>
      </c>
      <c r="H7" s="756" t="n">
        <v>11</v>
      </c>
      <c r="I7" s="786" t="n">
        <v>0.34</v>
      </c>
      <c r="J7" s="1267">
        <f>64*14</f>
        <v/>
      </c>
      <c r="K7" s="1267" t="n"/>
      <c r="L7" s="1267" t="n"/>
      <c r="M7" s="1267" t="n"/>
      <c r="N7" s="1267" t="n"/>
      <c r="O7" s="1267" t="n"/>
      <c r="P7" s="1267">
        <f>26*24</f>
        <v/>
      </c>
      <c r="Q7" s="1267" t="n"/>
      <c r="R7" s="1267" t="n"/>
      <c r="S7" s="1267" t="n"/>
      <c r="T7" s="1267" t="n"/>
      <c r="U7" s="1267" t="n"/>
      <c r="V7" s="1267" t="n"/>
      <c r="W7" s="1267" t="n"/>
      <c r="X7" s="1267" t="n"/>
      <c r="Y7" s="1267">
        <f>65*12</f>
        <v/>
      </c>
      <c r="Z7" s="1267" t="n"/>
      <c r="AA7" s="1267" t="n"/>
      <c r="AB7" s="1267" t="n"/>
      <c r="AC7" s="1267" t="n"/>
      <c r="AD7" s="1267" t="n"/>
      <c r="AE7" s="1267" t="n"/>
      <c r="AF7" s="1267">
        <f>18*24</f>
        <v/>
      </c>
      <c r="AG7" s="1267" t="n"/>
      <c r="AH7" s="1267" t="n"/>
      <c r="AI7" s="1267" t="n"/>
      <c r="AJ7" s="1267" t="n"/>
      <c r="AK7" s="1267" t="n"/>
      <c r="AL7" s="1267" t="n"/>
      <c r="AM7" s="1267" t="n"/>
      <c r="AN7" s="1267" t="n"/>
      <c r="AO7" s="1267" t="n"/>
      <c r="AP7" s="1267" t="n"/>
      <c r="AQ7" s="1267" t="n"/>
      <c r="AR7" s="1267" t="n"/>
      <c r="AS7" s="1267" t="n"/>
      <c r="AT7" s="1267" t="n"/>
      <c r="AU7" s="1267" t="n"/>
      <c r="AV7" s="1267" t="n"/>
      <c r="AW7" s="1267" t="n"/>
      <c r="AX7" s="1267" t="n"/>
      <c r="AY7" s="1267" t="n"/>
      <c r="AZ7" s="1267" t="n"/>
      <c r="BA7" s="1267" t="n"/>
      <c r="BB7" s="1267" t="n"/>
      <c r="BC7" s="1267" t="n"/>
      <c r="BD7" s="1267" t="n"/>
      <c r="BE7" s="1267" t="n"/>
      <c r="BF7" s="1267" t="n"/>
      <c r="BG7" s="1268" t="n"/>
      <c r="BH7" s="1268" t="n"/>
      <c r="BI7" s="1268" t="n"/>
      <c r="BJ7" s="1268" t="n"/>
      <c r="BK7" s="1268" t="n"/>
      <c r="BL7" s="1269">
        <f>BJ7+BH7+BF7+AZ7+AX7+AV7+AR7+AP7+AN7+AL7+AJ7+AH7+AF7+AD7+AB7+AB7+Z7+X7+V7+T7+P7+N7+L7+J7</f>
        <v/>
      </c>
      <c r="BM7" s="1270">
        <f>BK7+BI7+BG7+BA7+AY7+AW7+AS7+AQ7+AQ7+AO7+AM7+AK7+AI7+AG7+AE7+AC7+AA7+Y7+W7+U7+Q7+O7+M7+K7</f>
        <v/>
      </c>
    </row>
    <row r="8" ht="20.1" customHeight="1">
      <c r="A8" s="972" t="n"/>
      <c r="B8" s="783" t="inlineStr">
        <is>
          <t>ပျော်ဘွယ်</t>
        </is>
      </c>
      <c r="C8" s="784" t="inlineStr">
        <is>
          <t>Van 1-4</t>
        </is>
      </c>
      <c r="D8" s="734" t="inlineStr">
        <is>
          <t>ရန်နောင်-စံကျော်နက်(ပျော်ဘွယ်)</t>
        </is>
      </c>
      <c r="E8" s="756" t="inlineStr">
        <is>
          <t>3 Days</t>
        </is>
      </c>
      <c r="F8" s="756" t="n">
        <v>45</v>
      </c>
      <c r="G8" s="756" t="n">
        <v>45</v>
      </c>
      <c r="H8" s="756" t="n">
        <v>18</v>
      </c>
      <c r="I8" s="786" t="n">
        <v>0.24</v>
      </c>
      <c r="J8" s="1267">
        <f>100*14</f>
        <v/>
      </c>
      <c r="K8" s="1267" t="n"/>
      <c r="L8" s="1267" t="n"/>
      <c r="M8" s="1267" t="n"/>
      <c r="N8" s="1267" t="n"/>
      <c r="O8" s="1267" t="n"/>
      <c r="P8" s="1267">
        <f>2*24</f>
        <v/>
      </c>
      <c r="Q8" s="1267" t="n"/>
      <c r="R8" s="1267" t="n"/>
      <c r="S8" s="1267" t="n"/>
      <c r="T8" s="1267" t="n"/>
      <c r="U8" s="1267" t="n"/>
      <c r="V8" s="1267">
        <f>25*14</f>
        <v/>
      </c>
      <c r="W8" s="1267" t="n"/>
      <c r="X8" s="1267" t="n"/>
      <c r="Y8" s="1267">
        <f>68*12</f>
        <v/>
      </c>
      <c r="Z8" s="1267">
        <f>9*14</f>
        <v/>
      </c>
      <c r="AA8" s="1267" t="n"/>
      <c r="AB8" s="1267" t="n"/>
      <c r="AC8" s="1267" t="n"/>
      <c r="AD8" s="1267" t="n"/>
      <c r="AE8" s="1267" t="n"/>
      <c r="AF8" s="1267">
        <f>2*24</f>
        <v/>
      </c>
      <c r="AG8" s="1267" t="n"/>
      <c r="AH8" s="1267" t="n"/>
      <c r="AI8" s="1267" t="n"/>
      <c r="AJ8" s="1267">
        <f>75*12</f>
        <v/>
      </c>
      <c r="AK8" s="1267" t="n"/>
      <c r="AL8" s="1267" t="n"/>
      <c r="AM8" s="1267" t="n"/>
      <c r="AN8" s="1267" t="n"/>
      <c r="AO8" s="1267">
        <f>2*12</f>
        <v/>
      </c>
      <c r="AP8" s="1267" t="n"/>
      <c r="AQ8" s="1267">
        <f>2*24</f>
        <v/>
      </c>
      <c r="AR8" s="1267" t="n"/>
      <c r="AS8" s="1267" t="n"/>
      <c r="AT8" s="1267" t="n"/>
      <c r="AU8" s="1267" t="n"/>
      <c r="AV8" s="1267" t="n"/>
      <c r="AW8" s="1267">
        <f>10*12</f>
        <v/>
      </c>
      <c r="AX8" s="1267" t="n"/>
      <c r="AY8" s="1267" t="n"/>
      <c r="AZ8" s="1267" t="n"/>
      <c r="BA8" s="1267">
        <f>10*12</f>
        <v/>
      </c>
      <c r="BB8" s="1267" t="n"/>
      <c r="BC8" s="1267" t="n"/>
      <c r="BD8" s="1267" t="n"/>
      <c r="BE8" s="1267" t="n"/>
      <c r="BF8" s="1267" t="n"/>
      <c r="BG8" s="1268" t="n"/>
      <c r="BH8" s="1268">
        <f>50*24</f>
        <v/>
      </c>
      <c r="BI8" s="1268" t="n"/>
      <c r="BJ8" s="1268" t="n"/>
      <c r="BK8" s="1268" t="n"/>
      <c r="BL8" s="1269">
        <f>BJ8+BH8+BF8+AZ8+AX8+AV8+AR8+AP8+AN8+AL8+AJ8+AH8+AF8+AD8+AB8+AB8+Z8+X8+V8+T8+P8+N8+L8+J8</f>
        <v/>
      </c>
      <c r="BM8" s="1270">
        <f>BK8+BI8+BG8+BA8+AY8+AW8+AS8+AQ8+AQ8+AO8+AM8+AK8+AI8+AG8+AE8+AC8+AA8+Y8+W8+U8+Q8+O8+M8+K8</f>
        <v/>
      </c>
    </row>
    <row r="9" ht="20.1" customHeight="1">
      <c r="A9" s="972" t="n"/>
      <c r="B9" s="783" t="inlineStr">
        <is>
          <t>ရမည်းသင်း</t>
        </is>
      </c>
      <c r="C9" s="784" t="inlineStr">
        <is>
          <t>Van 1-5</t>
        </is>
      </c>
      <c r="D9" s="734" t="inlineStr">
        <is>
          <t>ရွာတန်း-ကံဦး-ဘိုကုန်း(ရမည်းသင်း)</t>
        </is>
      </c>
      <c r="E9" s="756" t="inlineStr">
        <is>
          <t>3 Days</t>
        </is>
      </c>
      <c r="F9" s="756" t="n">
        <v>48</v>
      </c>
      <c r="G9" s="756" t="n">
        <v>48</v>
      </c>
      <c r="H9" s="756" t="n">
        <v>14</v>
      </c>
      <c r="I9" s="786" t="n">
        <v>0.29</v>
      </c>
      <c r="J9" s="1267" t="n"/>
      <c r="K9" s="1267" t="n"/>
      <c r="L9" s="1267" t="n"/>
      <c r="M9" s="1267" t="n"/>
      <c r="N9" s="1267" t="n"/>
      <c r="O9" s="1267" t="n"/>
      <c r="P9" s="1267" t="n"/>
      <c r="Q9" s="1267" t="n"/>
      <c r="R9" s="1267" t="n"/>
      <c r="S9" s="1267" t="n"/>
      <c r="T9" s="1267" t="n"/>
      <c r="U9" s="1267" t="n"/>
      <c r="V9" s="1267" t="n"/>
      <c r="W9" s="1267" t="n"/>
      <c r="X9" s="1267" t="n"/>
      <c r="Y9" s="1267">
        <f>100*12</f>
        <v/>
      </c>
      <c r="Z9" s="1267" t="n"/>
      <c r="AA9" s="1267" t="n"/>
      <c r="AB9" s="1267" t="n"/>
      <c r="AC9" s="1267">
        <f>10*14</f>
        <v/>
      </c>
      <c r="AD9" s="1267" t="n"/>
      <c r="AE9" s="1267" t="n"/>
      <c r="AF9" s="1267" t="n"/>
      <c r="AG9" s="1267" t="n"/>
      <c r="AH9" s="1267" t="n"/>
      <c r="AI9" s="1267" t="n"/>
      <c r="AJ9" s="1267" t="n"/>
      <c r="AK9" s="1267" t="n"/>
      <c r="AL9" s="1267" t="n"/>
      <c r="AM9" s="1267" t="n"/>
      <c r="AN9" s="1267" t="n"/>
      <c r="AO9" s="1267">
        <f>60*12</f>
        <v/>
      </c>
      <c r="AP9" s="1267" t="n"/>
      <c r="AQ9" s="1267">
        <f>100*24</f>
        <v/>
      </c>
      <c r="AR9" s="1267" t="n"/>
      <c r="AS9" s="1267" t="n"/>
      <c r="AT9" s="1267" t="n"/>
      <c r="AU9" s="1267" t="n"/>
      <c r="AV9" s="1267" t="n"/>
      <c r="AW9" s="1267" t="n"/>
      <c r="AX9" s="1267" t="n"/>
      <c r="AY9" s="1267" t="n"/>
      <c r="AZ9" s="1267" t="n"/>
      <c r="BA9" s="1267" t="n"/>
      <c r="BB9" s="1267" t="n"/>
      <c r="BC9" s="1267" t="n"/>
      <c r="BD9" s="1267" t="n"/>
      <c r="BE9" s="1267" t="n"/>
      <c r="BF9" s="1267" t="n"/>
      <c r="BG9" s="1268" t="n"/>
      <c r="BH9" s="1268">
        <f>30*24</f>
        <v/>
      </c>
      <c r="BI9" s="1268" t="n"/>
      <c r="BJ9" s="1268" t="n"/>
      <c r="BK9" s="1268" t="n"/>
      <c r="BL9" s="1269">
        <f>BJ9+BH9+BF9+AZ9+AX9+AV9+AR9+AP9+AN9+AL9+AJ9+AH9+AF9+AD9+AB9+AB9+Z9+X9+V9+T9+P9+N9+L9+J9</f>
        <v/>
      </c>
      <c r="BM9" s="1270">
        <f>BK9+BI9+BG9+BA9+AY9+AW9+AS9+AQ9+AQ9+AO9+AM9+AK9+AI9+AG9+AE9+AC9+AA9+Y9+W9+U9+Q9+O9+M9+K9</f>
        <v/>
      </c>
    </row>
    <row r="10" ht="20.1" customHeight="1">
      <c r="A10" s="972" t="n"/>
      <c r="B10" s="783" t="inlineStr">
        <is>
          <t>ကျောက်ပန်းတောင်း</t>
        </is>
      </c>
      <c r="C10" s="784" t="inlineStr">
        <is>
          <t>Van 1-6</t>
        </is>
      </c>
      <c r="D10" s="734" t="inlineStr">
        <is>
          <t>လက်ပံပျား-တောင်ဦး-ဝက်ချုပ်ကုန်း</t>
        </is>
      </c>
      <c r="E10" s="756" t="inlineStr">
        <is>
          <t>2 Days</t>
        </is>
      </c>
      <c r="F10" s="756" t="n">
        <v>26</v>
      </c>
      <c r="G10" s="756" t="n">
        <v>26</v>
      </c>
      <c r="H10" s="756" t="n">
        <v>12</v>
      </c>
      <c r="I10" s="786" t="n">
        <v>0.46</v>
      </c>
      <c r="J10" s="1267" t="n"/>
      <c r="K10" s="1267" t="n"/>
      <c r="L10" s="1267" t="n"/>
      <c r="M10" s="1267" t="n"/>
      <c r="N10" s="1267" t="n"/>
      <c r="O10" s="1267" t="n"/>
      <c r="P10" s="1267">
        <f>20*24</f>
        <v/>
      </c>
      <c r="Q10" s="1267" t="n"/>
      <c r="R10" s="1267" t="n"/>
      <c r="S10" s="1267" t="n"/>
      <c r="T10" s="1267" t="n"/>
      <c r="U10" s="1267" t="n"/>
      <c r="V10" s="1267">
        <f>25*14</f>
        <v/>
      </c>
      <c r="W10" s="1267" t="n"/>
      <c r="X10" s="1267" t="n"/>
      <c r="Y10" s="1267">
        <f>290*12</f>
        <v/>
      </c>
      <c r="Z10" s="1267" t="n"/>
      <c r="AA10" s="1267" t="n"/>
      <c r="AB10" s="1267" t="n"/>
      <c r="AC10" s="1267">
        <f>1*14</f>
        <v/>
      </c>
      <c r="AD10" s="1267" t="n"/>
      <c r="AE10" s="1267" t="n"/>
      <c r="AF10" s="1267">
        <f>8*24</f>
        <v/>
      </c>
      <c r="AG10" s="1267" t="n"/>
      <c r="AH10" s="1267">
        <f>5*14</f>
        <v/>
      </c>
      <c r="AI10" s="1267" t="n"/>
      <c r="AJ10" s="1267" t="n"/>
      <c r="AK10" s="1267" t="n"/>
      <c r="AL10" s="1267" t="n"/>
      <c r="AM10" s="1267" t="n"/>
      <c r="AN10" s="1267" t="n"/>
      <c r="AO10" s="1267">
        <f>5*12</f>
        <v/>
      </c>
      <c r="AP10" s="1267" t="n"/>
      <c r="AQ10" s="1267" t="n"/>
      <c r="AR10" s="1267" t="n"/>
      <c r="AS10" s="1267" t="n"/>
      <c r="AT10" s="1267" t="n"/>
      <c r="AU10" s="1267" t="n"/>
      <c r="AV10" s="1267" t="n"/>
      <c r="AW10" s="1267" t="n"/>
      <c r="AX10" s="1267" t="n"/>
      <c r="AY10" s="1267" t="n"/>
      <c r="AZ10" s="1267" t="n"/>
      <c r="BA10" s="1267" t="n"/>
      <c r="BB10" s="1267" t="n"/>
      <c r="BC10" s="1267" t="n"/>
      <c r="BD10" s="1267" t="n"/>
      <c r="BE10" s="1267" t="n"/>
      <c r="BF10" s="1267" t="n"/>
      <c r="BG10" s="1268" t="n"/>
      <c r="BH10" s="1268" t="n"/>
      <c r="BI10" s="1268" t="n"/>
      <c r="BJ10" s="1268" t="n"/>
      <c r="BK10" s="1268" t="n"/>
      <c r="BL10" s="1269">
        <f>BJ10+BH10+BF10+AZ10+AX10+AV10+AR10+AP10+AN10+AL10+AJ10+AH10+AF10+AD10+AB10+AB10+Z10+X10+V10+T10+P10+N10+L10+J10</f>
        <v/>
      </c>
      <c r="BM10" s="1270">
        <f>BK10+BI10+BG10+BA10+AY10+AW10+AS10+AQ10+AQ10+AO10+AM10+AK10+AI10+AG10+AE10+AC10+AA10+Y10+W10+U10+Q10+O10+M10+K10</f>
        <v/>
      </c>
    </row>
    <row r="11" ht="20.1" customHeight="1">
      <c r="A11" s="972" t="n"/>
      <c r="B11" s="783" t="inlineStr">
        <is>
          <t>ကျောက်ပန်းတောင်း</t>
        </is>
      </c>
      <c r="C11" s="784" t="inlineStr">
        <is>
          <t>Van 1-7</t>
        </is>
      </c>
      <c r="D11" s="734" t="inlineStr">
        <is>
          <t xml:space="preserve">ပန်းပဲကြီး-ပန်းပဲလေး-ရိုးခြား </t>
        </is>
      </c>
      <c r="E11" s="756" t="inlineStr">
        <is>
          <t>2 Days</t>
        </is>
      </c>
      <c r="F11" s="756" t="n">
        <v>22</v>
      </c>
      <c r="G11" s="756" t="n">
        <v>22</v>
      </c>
      <c r="H11" s="756" t="n">
        <v>13</v>
      </c>
      <c r="I11" s="786" t="n">
        <v>0.59</v>
      </c>
      <c r="J11" s="1267" t="n"/>
      <c r="K11" s="1267" t="n"/>
      <c r="L11" s="1267" t="n"/>
      <c r="M11" s="1267" t="n"/>
      <c r="N11" s="1267" t="n"/>
      <c r="O11" s="1267" t="n"/>
      <c r="P11" s="1267" t="n"/>
      <c r="Q11" s="1267" t="n"/>
      <c r="R11" s="1267" t="n"/>
      <c r="S11" s="1267" t="n"/>
      <c r="T11" s="1267" t="n"/>
      <c r="U11" s="1267" t="n"/>
      <c r="V11" s="1267" t="n"/>
      <c r="W11" s="1267" t="n"/>
      <c r="X11" s="1267" t="n"/>
      <c r="Y11" s="1267" t="n"/>
      <c r="Z11" s="1267" t="n"/>
      <c r="AA11" s="1267" t="n"/>
      <c r="AB11" s="1267" t="n"/>
      <c r="AC11" s="1267" t="n"/>
      <c r="AD11" s="1267" t="n"/>
      <c r="AE11" s="1267" t="n"/>
      <c r="AF11" s="1267" t="n"/>
      <c r="AG11" s="1267" t="n"/>
      <c r="AH11" s="1267">
        <f>2*14</f>
        <v/>
      </c>
      <c r="AI11" s="1267" t="n"/>
      <c r="AJ11" s="1267" t="n"/>
      <c r="AK11" s="1267" t="n"/>
      <c r="AL11" s="1267" t="n"/>
      <c r="AM11" s="1267" t="n"/>
      <c r="AN11" s="1267" t="n"/>
      <c r="AO11" s="1267">
        <f>13*12</f>
        <v/>
      </c>
      <c r="AP11" s="1267" t="n"/>
      <c r="AQ11" s="1267">
        <f>46*24</f>
        <v/>
      </c>
      <c r="AR11" s="1267" t="n"/>
      <c r="AS11" s="1267" t="n"/>
      <c r="AT11" s="1267" t="n"/>
      <c r="AU11" s="1267" t="n"/>
      <c r="AV11" s="1267" t="n"/>
      <c r="AW11" s="1267" t="n"/>
      <c r="AX11" s="1267" t="n"/>
      <c r="AY11" s="1267" t="n"/>
      <c r="AZ11" s="1267" t="n"/>
      <c r="BA11" s="1267" t="n"/>
      <c r="BB11" s="1267" t="n"/>
      <c r="BC11" s="1267" t="n"/>
      <c r="BD11" s="1267" t="n"/>
      <c r="BE11" s="1267" t="n"/>
      <c r="BF11" s="1267" t="n"/>
      <c r="BG11" s="1268" t="n"/>
      <c r="BH11" s="1268" t="n"/>
      <c r="BI11" s="1268" t="n"/>
      <c r="BJ11" s="1268" t="n"/>
      <c r="BK11" s="1268" t="n"/>
      <c r="BL11" s="1269">
        <f>BJ11+BH11+BF11+AZ11+AX11+AV11+AR11+AP11+AN11+AL11+AJ11+AH11+AF11+AD11+AB11+AB11+Z11+X11+V11+T11+P11+N11+L11+J11</f>
        <v/>
      </c>
      <c r="BM11" s="1270">
        <f>BK11+BI11+BG11+BA11+AY11+AW11+AS11+AQ11+AQ11+AO11+AM11+AK11+AI11+AG11+AE11+AC11+AA11+Y11+W11+U11+Q11+O11+M11+K11</f>
        <v/>
      </c>
    </row>
    <row r="12" ht="20.1" customHeight="1">
      <c r="A12" s="972" t="n"/>
      <c r="B12" s="783" t="inlineStr">
        <is>
          <t>ကျောက်ပန်းတောင်း</t>
        </is>
      </c>
      <c r="C12" s="784" t="inlineStr">
        <is>
          <t>Van 1-8</t>
        </is>
      </c>
      <c r="D12" s="734" t="inlineStr">
        <is>
          <t>ရေထွက်-ပုပ္ပါး-သန်းကြီးကုန်း</t>
        </is>
      </c>
      <c r="E12" s="756" t="inlineStr">
        <is>
          <t>2 Days</t>
        </is>
      </c>
      <c r="F12" s="756" t="n">
        <v>22</v>
      </c>
      <c r="G12" s="756" t="n">
        <v>22</v>
      </c>
      <c r="H12" s="756" t="n">
        <v>15</v>
      </c>
      <c r="I12" s="786" t="n">
        <v>0.68</v>
      </c>
      <c r="J12" s="1267">
        <f>10*14</f>
        <v/>
      </c>
      <c r="K12" s="1267" t="n"/>
      <c r="L12" s="1267" t="n"/>
      <c r="M12" s="1267" t="n"/>
      <c r="N12" s="1267" t="n"/>
      <c r="O12" s="1267" t="n"/>
      <c r="P12" s="1267">
        <f>13*24</f>
        <v/>
      </c>
      <c r="Q12" s="1267" t="n"/>
      <c r="R12" s="1267" t="n"/>
      <c r="S12" s="1267" t="n"/>
      <c r="T12" s="1267" t="n"/>
      <c r="U12" s="1267" t="n"/>
      <c r="V12" s="1267" t="n"/>
      <c r="W12" s="1267" t="n"/>
      <c r="X12" s="1267" t="n"/>
      <c r="Y12" s="1267" t="n"/>
      <c r="Z12" s="1267">
        <f>11*142</f>
        <v/>
      </c>
      <c r="AA12" s="1267" t="n"/>
      <c r="AB12" s="1267" t="n"/>
      <c r="AC12" s="1267" t="n"/>
      <c r="AD12" s="1267" t="n"/>
      <c r="AE12" s="1267" t="n"/>
      <c r="AF12" s="1267" t="n"/>
      <c r="AG12" s="1267" t="n"/>
      <c r="AH12" s="1267">
        <f>3*14</f>
        <v/>
      </c>
      <c r="AI12" s="1267" t="n"/>
      <c r="AJ12" s="1267" t="n"/>
      <c r="AK12" s="1267" t="n"/>
      <c r="AL12" s="1267" t="n"/>
      <c r="AM12" s="1267" t="n"/>
      <c r="AN12" s="1267" t="n"/>
      <c r="AO12" s="1267">
        <f>5*12</f>
        <v/>
      </c>
      <c r="AP12" s="1267" t="n"/>
      <c r="AQ12" s="1267">
        <f>4*24</f>
        <v/>
      </c>
      <c r="AR12" s="1267" t="n"/>
      <c r="AS12" s="1267" t="n"/>
      <c r="AT12" s="1267" t="n"/>
      <c r="AU12" s="1267" t="n"/>
      <c r="AV12" s="1267" t="n"/>
      <c r="AW12" s="1267" t="n"/>
      <c r="AX12" s="1267" t="n"/>
      <c r="AY12" s="1267">
        <f>8*24</f>
        <v/>
      </c>
      <c r="AZ12" s="1267" t="n"/>
      <c r="BA12" s="1267" t="n"/>
      <c r="BB12" s="1267" t="n"/>
      <c r="BC12" s="1267" t="n"/>
      <c r="BD12" s="1267" t="n"/>
      <c r="BE12" s="1267" t="n"/>
      <c r="BF12" s="1267" t="n"/>
      <c r="BG12" s="1268" t="n"/>
      <c r="BH12" s="1268" t="n"/>
      <c r="BI12" s="1268" t="n"/>
      <c r="BJ12" s="1268" t="n"/>
      <c r="BK12" s="1268" t="n"/>
      <c r="BL12" s="1269">
        <f>BJ12+BH12+BF12+AZ12+AX12+AV12+AR12+AP12+AN12+AL12+AJ12+AH12+AF12+AD12+AB12+AB12+Z12+X12+V12+T12+P12+N12+L12+J12</f>
        <v/>
      </c>
      <c r="BM12" s="1270">
        <f>BK12+BI12+BG12+BA12+AY12+AW12+AS12+AQ12+AQ12+AO12+AM12+AK12+AI12+AG12+AE12+AC12+AA12+Y12+W12+U12+Q12+O12+M12+K12</f>
        <v/>
      </c>
    </row>
    <row r="13" ht="20.1" customHeight="1">
      <c r="A13" s="972" t="n"/>
      <c r="B13" s="783" t="inlineStr">
        <is>
          <t>ကျောက်ပန်းတောင်း</t>
        </is>
      </c>
      <c r="C13" s="784" t="inlineStr">
        <is>
          <t>Van 1-9</t>
        </is>
      </c>
      <c r="D13" s="734" t="inlineStr">
        <is>
          <t>သီးပင်ကုန်း-ကျေးသာအိုင့်(KPD)</t>
        </is>
      </c>
      <c r="E13" s="756" t="inlineStr">
        <is>
          <t>2 Days</t>
        </is>
      </c>
      <c r="F13" s="756" t="n">
        <v>18</v>
      </c>
      <c r="G13" s="756" t="n">
        <v>18</v>
      </c>
      <c r="H13" s="756" t="n">
        <v>10</v>
      </c>
      <c r="I13" s="786" t="n">
        <v>0.5600000000000001</v>
      </c>
      <c r="J13" s="1267" t="n"/>
      <c r="K13" s="1267" t="n"/>
      <c r="L13" s="1267" t="n"/>
      <c r="M13" s="1267" t="n"/>
      <c r="N13" s="1267" t="n"/>
      <c r="O13" s="1267" t="n"/>
      <c r="P13" s="1267">
        <f>25*24</f>
        <v/>
      </c>
      <c r="Q13" s="1267" t="n"/>
      <c r="R13" s="1267" t="n"/>
      <c r="S13" s="1267" t="n"/>
      <c r="T13" s="1267" t="n"/>
      <c r="U13" s="1267" t="n"/>
      <c r="V13" s="1267" t="n"/>
      <c r="W13" s="1267" t="n"/>
      <c r="X13" s="1267" t="n"/>
      <c r="Y13" s="1267">
        <f>250*12</f>
        <v/>
      </c>
      <c r="Z13" s="1267">
        <f>5*14</f>
        <v/>
      </c>
      <c r="AA13" s="1267" t="n"/>
      <c r="AB13" s="1267" t="n"/>
      <c r="AC13" s="1267" t="n"/>
      <c r="AD13" s="1267" t="n"/>
      <c r="AE13" s="1267" t="n"/>
      <c r="AF13" s="1267">
        <f>5*24</f>
        <v/>
      </c>
      <c r="AG13" s="1267" t="n"/>
      <c r="AH13" s="1267" t="n"/>
      <c r="AI13" s="1267" t="n"/>
      <c r="AJ13" s="1267" t="n"/>
      <c r="AK13" s="1267" t="n"/>
      <c r="AL13" s="1267" t="n"/>
      <c r="AM13" s="1267" t="n"/>
      <c r="AN13" s="1267" t="n"/>
      <c r="AO13" s="1267" t="n"/>
      <c r="AP13" s="1267" t="n"/>
      <c r="AQ13" s="1267" t="n"/>
      <c r="AR13" s="1267" t="n"/>
      <c r="AS13" s="1267" t="n"/>
      <c r="AT13" s="1267" t="n"/>
      <c r="AU13" s="1267" t="n"/>
      <c r="AV13" s="1267" t="n"/>
      <c r="AW13" s="1267" t="n"/>
      <c r="AX13" s="1267" t="n"/>
      <c r="AY13" s="1267" t="n"/>
      <c r="AZ13" s="1267" t="n"/>
      <c r="BA13" s="1267" t="n"/>
      <c r="BB13" s="1267" t="n"/>
      <c r="BC13" s="1267" t="n"/>
      <c r="BD13" s="1267" t="n"/>
      <c r="BE13" s="1267" t="n"/>
      <c r="BF13" s="1267" t="n"/>
      <c r="BG13" s="1268" t="n"/>
      <c r="BH13" s="1268" t="n"/>
      <c r="BI13" s="1268" t="n"/>
      <c r="BJ13" s="1268" t="n"/>
      <c r="BK13" s="1268" t="n"/>
      <c r="BL13" s="1269">
        <f>BJ13+BH13+BF13+AZ13+AX13+AV13+AR13+AP13+AN13+AL13+AJ13+AH13+AF13+AD13+AB13+AB13+Z13+X13+V13+T13+P13+N13+L13+J13</f>
        <v/>
      </c>
      <c r="BM13" s="1270">
        <f>BK13+BI13+BG13+BA13+AY13+AW13+AS13+AQ13+AQ13+AO13+AM13+AK13+AI13+AG13+AE13+AC13+AA13+Y13+W13+U13+Q13+O13+M13+K13</f>
        <v/>
      </c>
    </row>
    <row r="14" ht="20.1" customHeight="1">
      <c r="A14" s="972" t="n"/>
      <c r="B14" s="783" t="inlineStr">
        <is>
          <t>ပျော်ဘွယ်</t>
        </is>
      </c>
      <c r="C14" s="784" t="inlineStr">
        <is>
          <t>Van 1-10</t>
        </is>
      </c>
      <c r="D14" s="785" t="inlineStr">
        <is>
          <t>ခံဘူး-ဝကုန်း-ရှမ်းရွာ(ပျော်ဘွယ်)</t>
        </is>
      </c>
      <c r="E14" s="756" t="inlineStr">
        <is>
          <t>2 Days</t>
        </is>
      </c>
      <c r="F14" s="756" t="n">
        <v>20</v>
      </c>
      <c r="G14" s="756" t="n">
        <v>20</v>
      </c>
      <c r="H14" s="756" t="n">
        <v>12</v>
      </c>
      <c r="I14" s="786" t="n">
        <v>0.6</v>
      </c>
      <c r="J14" s="1267" t="n">
        <v>980</v>
      </c>
      <c r="K14" s="1267" t="n"/>
      <c r="L14" s="1267" t="n">
        <v>700</v>
      </c>
      <c r="M14" s="1267" t="n"/>
      <c r="N14" s="1267" t="n"/>
      <c r="O14" s="1267" t="n"/>
      <c r="P14" s="1267">
        <f>12*24</f>
        <v/>
      </c>
      <c r="Q14" s="1267" t="n"/>
      <c r="R14" s="1267" t="n"/>
      <c r="S14" s="1267" t="n"/>
      <c r="T14" s="1267" t="n"/>
      <c r="U14" s="1267" t="n"/>
      <c r="V14" s="1267" t="n"/>
      <c r="W14" s="1267" t="n"/>
      <c r="X14" s="1267" t="n"/>
      <c r="Y14" s="1267">
        <f>60*12</f>
        <v/>
      </c>
      <c r="Z14" s="1267" t="n"/>
      <c r="AA14" s="1267" t="n"/>
      <c r="AB14" s="1267" t="n"/>
      <c r="AC14" s="1267" t="n"/>
      <c r="AD14" s="1267" t="n"/>
      <c r="AE14" s="1267" t="n"/>
      <c r="AF14" s="1267" t="n"/>
      <c r="AG14" s="1267" t="n"/>
      <c r="AH14" s="1267" t="n"/>
      <c r="AI14" s="1267" t="n"/>
      <c r="AJ14" s="1267" t="n"/>
      <c r="AK14" s="1267" t="n"/>
      <c r="AL14" s="1267" t="n"/>
      <c r="AM14" s="1267" t="n"/>
      <c r="AN14" s="1267" t="n"/>
      <c r="AO14" s="1267" t="n">
        <v>361</v>
      </c>
      <c r="AP14" s="1267" t="n"/>
      <c r="AQ14" s="1267" t="n"/>
      <c r="AR14" s="1267" t="n"/>
      <c r="AS14" s="1267" t="n"/>
      <c r="AT14" s="1267" t="n"/>
      <c r="AU14" s="1267" t="n"/>
      <c r="AV14" s="1267" t="n"/>
      <c r="AW14" s="1267" t="n"/>
      <c r="AX14" s="1267" t="n"/>
      <c r="AY14" s="1267" t="n"/>
      <c r="AZ14" s="1267" t="n"/>
      <c r="BA14" s="1267" t="n"/>
      <c r="BB14" s="1267" t="n"/>
      <c r="BC14" s="1267" t="n"/>
      <c r="BD14" s="1267" t="n"/>
      <c r="BE14" s="1267" t="n"/>
      <c r="BF14" s="1267" t="n"/>
      <c r="BG14" s="1268" t="n"/>
      <c r="BH14" s="1268" t="n"/>
      <c r="BI14" s="1268" t="n"/>
      <c r="BJ14" s="1268" t="n"/>
      <c r="BK14" s="1268" t="n"/>
      <c r="BL14" s="1269">
        <f>BJ14+BH14+BF14+AZ14+AX14+AV14+AR14+AP14+AN14+AL14+AJ14+AH14+AF14+AD14+AB14+AB14+Z14+X14+V14+T14+P14+N14+L14+J14</f>
        <v/>
      </c>
      <c r="BM14" s="1270">
        <f>BK14+BI14+BG14+BA14+AY14+AW14+AS14+AQ14+AQ14+AO14+AM14+AK14+AI14+AG14+AE14+AC14+AA14+Y14+W14+U14+Q14+O14+M14+K14</f>
        <v/>
      </c>
    </row>
    <row r="15" ht="20.1" customHeight="1">
      <c r="A15" s="973" t="n"/>
      <c r="B15" s="783" t="inlineStr">
        <is>
          <t>ရမည်းသင်း</t>
        </is>
      </c>
      <c r="C15" s="784" t="inlineStr">
        <is>
          <t>Van 1-11</t>
        </is>
      </c>
      <c r="D15" s="734" t="inlineStr">
        <is>
          <t>အောက်တောက်-ပြတိုက်(ရမည်းသင်း)</t>
        </is>
      </c>
      <c r="E15" s="756" t="inlineStr">
        <is>
          <t>2 Days</t>
        </is>
      </c>
      <c r="F15" s="756" t="n">
        <v>26</v>
      </c>
      <c r="G15" s="756" t="n">
        <v>26</v>
      </c>
      <c r="H15" s="756" t="n">
        <v>11</v>
      </c>
      <c r="I15" s="786" t="n">
        <v>0.42</v>
      </c>
      <c r="J15" s="1267" t="n">
        <v>1260</v>
      </c>
      <c r="K15" s="1267" t="n"/>
      <c r="L15" s="1267">
        <f>10*14</f>
        <v/>
      </c>
      <c r="M15" s="1267" t="n"/>
      <c r="N15" s="1267" t="n"/>
      <c r="O15" s="1267" t="n"/>
      <c r="P15" s="1267" t="n"/>
      <c r="Q15" s="1267" t="n"/>
      <c r="R15" s="1267" t="n"/>
      <c r="S15" s="1267" t="n"/>
      <c r="T15" s="1267" t="n"/>
      <c r="U15" s="1267" t="n"/>
      <c r="V15" s="1267" t="n"/>
      <c r="W15" s="1267" t="n"/>
      <c r="X15" s="1267" t="n"/>
      <c r="Y15" s="1267" t="n"/>
      <c r="Z15" s="1267" t="n"/>
      <c r="AA15" s="1267" t="n"/>
      <c r="AB15" s="1267" t="n"/>
      <c r="AC15" s="1267" t="n"/>
      <c r="AD15" s="1267" t="n"/>
      <c r="AE15" s="1267" t="n"/>
      <c r="AF15" s="1267">
        <f>4*24</f>
        <v/>
      </c>
      <c r="AG15" s="1267" t="n"/>
      <c r="AH15" s="1267" t="n"/>
      <c r="AI15" s="1267" t="n"/>
      <c r="AJ15" s="1267" t="n"/>
      <c r="AK15" s="1267" t="n"/>
      <c r="AL15" s="1267" t="n"/>
      <c r="AM15" s="1267" t="n"/>
      <c r="AN15" s="1267" t="n"/>
      <c r="AO15" s="1267" t="n"/>
      <c r="AP15" s="1267" t="n"/>
      <c r="AQ15" s="1267">
        <f>30*24</f>
        <v/>
      </c>
      <c r="AR15" s="1267" t="n"/>
      <c r="AS15" s="1267" t="n"/>
      <c r="AT15" s="1267" t="n"/>
      <c r="AU15" s="1267" t="n"/>
      <c r="AV15" s="1267" t="n"/>
      <c r="AW15" s="1267" t="n"/>
      <c r="AX15" s="1267" t="n"/>
      <c r="AY15" s="1267">
        <f>10*24</f>
        <v/>
      </c>
      <c r="AZ15" s="1267" t="n"/>
      <c r="BA15" s="1267" t="n"/>
      <c r="BB15" s="1267" t="n"/>
      <c r="BC15" s="1267" t="n"/>
      <c r="BD15" s="1267" t="n"/>
      <c r="BE15" s="1267" t="n"/>
      <c r="BF15" s="1267" t="n"/>
      <c r="BG15" s="1268" t="n"/>
      <c r="BH15" s="1268" t="n"/>
      <c r="BI15" s="1268" t="n"/>
      <c r="BJ15" s="1268" t="n"/>
      <c r="BK15" s="1268" t="n"/>
      <c r="BL15" s="1269">
        <f>BJ15+BH15+BF15+AZ15+AX15+AV15+AR15+AP15+AN15+AL15+AJ15+AH15+AF15+AD15+AB15+AB15+Z15+X15+V15+T15+P15+N15+L15+J15</f>
        <v/>
      </c>
      <c r="BM15" s="1270">
        <f>BK15+BI15+BG15+BA15+AY15+AW15+AS15+AQ15+AQ15+AO15+AM15+AK15+AI15+AG15+AE15+AC15+AA15+Y15+W15+U15+Q15+O15+M15+K15</f>
        <v/>
      </c>
    </row>
    <row r="16" ht="19.95" customHeight="1">
      <c r="A16" s="792" t="n"/>
      <c r="B16" s="793" t="n"/>
      <c r="C16" s="794" t="n"/>
      <c r="D16" s="793" t="n"/>
      <c r="E16" s="794" t="n"/>
      <c r="F16" s="795">
        <f>SUM(F5:F15)</f>
        <v/>
      </c>
      <c r="G16" s="795">
        <f>SUM(G5:G15)</f>
        <v/>
      </c>
      <c r="H16" s="795">
        <f>SUM(H5:H15)</f>
        <v/>
      </c>
      <c r="I16" s="796" t="n">
        <v>0.43</v>
      </c>
      <c r="J16" s="1271">
        <f>SUM(J5:J15)</f>
        <v/>
      </c>
      <c r="K16" s="1271">
        <f>SUM(K5:K15)</f>
        <v/>
      </c>
      <c r="L16" s="1271">
        <f>SUM(L5:L15)</f>
        <v/>
      </c>
      <c r="M16" s="1271">
        <f>SUM(M5:M15)</f>
        <v/>
      </c>
      <c r="N16" s="1271">
        <f>SUM(N5:N15)</f>
        <v/>
      </c>
      <c r="O16" s="1271">
        <f>SUM(O5:O15)</f>
        <v/>
      </c>
      <c r="P16" s="1271">
        <f>SUM(P5:P15)</f>
        <v/>
      </c>
      <c r="Q16" s="1271">
        <f>SUM(Q5:Q15)</f>
        <v/>
      </c>
      <c r="R16" s="1271">
        <f>SUM(R5:R15)</f>
        <v/>
      </c>
      <c r="S16" s="1271">
        <f>SUM(S5:S15)</f>
        <v/>
      </c>
      <c r="T16" s="1271">
        <f>SUM(T5:T15)</f>
        <v/>
      </c>
      <c r="U16" s="1271">
        <f>SUM(U5:U15)</f>
        <v/>
      </c>
      <c r="V16" s="1271">
        <f>SUM(V5:V15)</f>
        <v/>
      </c>
      <c r="W16" s="1271">
        <f>SUM(W5:W15)</f>
        <v/>
      </c>
      <c r="X16" s="1271">
        <f>SUM(X5:X15)</f>
        <v/>
      </c>
      <c r="Y16" s="1271">
        <f>SUM(Y5:Y15)</f>
        <v/>
      </c>
      <c r="Z16" s="1271">
        <f>SUM(Z5:Z15)</f>
        <v/>
      </c>
      <c r="AA16" s="1271">
        <f>SUM(AA5:AA15)</f>
        <v/>
      </c>
      <c r="AB16" s="1271">
        <f>SUM(AB5:AB15)</f>
        <v/>
      </c>
      <c r="AC16" s="1271">
        <f>SUM(AC5:AC15)</f>
        <v/>
      </c>
      <c r="AD16" s="1271">
        <f>SUM(AD5:AD15)</f>
        <v/>
      </c>
      <c r="AE16" s="1271">
        <f>SUM(AE5:AE15)</f>
        <v/>
      </c>
      <c r="AF16" s="1271">
        <f>SUM(AF5:AF15)</f>
        <v/>
      </c>
      <c r="AG16" s="1271">
        <f>SUM(AG5:AG15)</f>
        <v/>
      </c>
      <c r="AH16" s="1271">
        <f>SUM(AH5:AH15)</f>
        <v/>
      </c>
      <c r="AI16" s="1271">
        <f>SUM(AI5:AI15)</f>
        <v/>
      </c>
      <c r="AJ16" s="1271">
        <f>SUM(AJ5:AJ15)</f>
        <v/>
      </c>
      <c r="AK16" s="1271">
        <f>SUM(AK5:AK15)</f>
        <v/>
      </c>
      <c r="AL16" s="1271">
        <f>SUM(AL5:AL15)</f>
        <v/>
      </c>
      <c r="AM16" s="1271">
        <f>SUM(AM5:AM15)</f>
        <v/>
      </c>
      <c r="AN16" s="1271">
        <f>SUM(AN5:AN15)</f>
        <v/>
      </c>
      <c r="AO16" s="1271">
        <f>SUM(AO5:AO15)</f>
        <v/>
      </c>
      <c r="AP16" s="1271">
        <f>SUM(AP5:AP15)</f>
        <v/>
      </c>
      <c r="AQ16" s="1271">
        <f>SUM(AQ5:AQ15)</f>
        <v/>
      </c>
      <c r="AR16" s="1271">
        <f>SUM(AR5:AR15)</f>
        <v/>
      </c>
      <c r="AS16" s="1271">
        <f>SUM(AS5:AS15)</f>
        <v/>
      </c>
      <c r="AT16" s="1271">
        <f>SUM(AT5:AT15)</f>
        <v/>
      </c>
      <c r="AU16" s="1271">
        <f>SUM(AU5:AU15)</f>
        <v/>
      </c>
      <c r="AV16" s="1271">
        <f>SUM(AV5:AV15)</f>
        <v/>
      </c>
      <c r="AW16" s="1271">
        <f>SUM(AW5:AW15)</f>
        <v/>
      </c>
      <c r="AX16" s="1271">
        <f>SUM(AX5:AX15)</f>
        <v/>
      </c>
      <c r="AY16" s="1271">
        <f>SUM(AY5:AY15)</f>
        <v/>
      </c>
      <c r="AZ16" s="1271">
        <f>SUM(AZ5:AZ15)</f>
        <v/>
      </c>
      <c r="BA16" s="1271">
        <f>SUM(BA5:BA15)</f>
        <v/>
      </c>
      <c r="BB16" s="1271">
        <f>SUM(BB5:BB15)</f>
        <v/>
      </c>
      <c r="BC16" s="1271">
        <f>SUM(BC5:BC15)</f>
        <v/>
      </c>
      <c r="BD16" s="1271">
        <f>SUM(BD5:BD15)</f>
        <v/>
      </c>
      <c r="BE16" s="1271">
        <f>SUM(BE5:BE15)</f>
        <v/>
      </c>
      <c r="BF16" s="1271">
        <f>SUM(BF5:BF15)</f>
        <v/>
      </c>
      <c r="BG16" s="1271">
        <f>SUM(BG5:BG15)</f>
        <v/>
      </c>
      <c r="BH16" s="1271">
        <f>SUM(BH5:BH15)</f>
        <v/>
      </c>
      <c r="BI16" s="1271">
        <f>SUM(BI5:BI15)</f>
        <v/>
      </c>
      <c r="BJ16" s="1271">
        <f>SUM(BJ5:BJ15)</f>
        <v/>
      </c>
      <c r="BK16" s="1271">
        <f>SUM(BK5:BK15)</f>
        <v/>
      </c>
      <c r="BL16" s="1271">
        <f>SUM(BL5:BL15)</f>
        <v/>
      </c>
      <c r="BM16" s="1271">
        <f>SUM(BM5:BM15)</f>
        <v/>
      </c>
    </row>
    <row r="17" ht="19.95" customHeight="1">
      <c r="A17" s="940" t="inlineStr">
        <is>
          <t>Van 2</t>
        </is>
      </c>
      <c r="B17" s="783" t="inlineStr">
        <is>
          <t>သာစည်</t>
        </is>
      </c>
      <c r="C17" s="784" t="inlineStr">
        <is>
          <t>Van 2-1</t>
        </is>
      </c>
      <c r="D17" s="798" t="inlineStr">
        <is>
          <t>ထနောင်းကုန်း-ထနောင်းကန်(သာစည်)</t>
        </is>
      </c>
      <c r="E17" s="765" t="inlineStr">
        <is>
          <t>2 Days</t>
        </is>
      </c>
      <c r="F17" s="799" t="n">
        <v>24</v>
      </c>
      <c r="G17" s="799" t="n">
        <v>24</v>
      </c>
      <c r="H17" s="799" t="n">
        <v>10</v>
      </c>
      <c r="I17" s="800" t="n">
        <v>0.42</v>
      </c>
      <c r="J17" s="1267" t="n"/>
      <c r="K17" s="1272" t="n"/>
      <c r="L17" s="1272" t="n"/>
      <c r="M17" s="1272" t="n"/>
      <c r="N17" s="1272">
        <f>5*14</f>
        <v/>
      </c>
      <c r="O17" s="1272" t="n"/>
      <c r="P17" s="1272">
        <f>7*24</f>
        <v/>
      </c>
      <c r="Q17" s="1272" t="n"/>
      <c r="R17" s="1272" t="n"/>
      <c r="S17" s="1272" t="n"/>
      <c r="T17" s="1272" t="n"/>
      <c r="U17" s="1272" t="n"/>
      <c r="V17" s="1272" t="n">
        <v>14</v>
      </c>
      <c r="W17" s="1272" t="n"/>
      <c r="X17" s="1272" t="n"/>
      <c r="Y17" s="1272" t="n">
        <v>13</v>
      </c>
      <c r="Z17" s="1272" t="n">
        <v>28</v>
      </c>
      <c r="AA17" s="1272" t="n"/>
      <c r="AB17" s="1272" t="n"/>
      <c r="AC17" s="1272" t="n"/>
      <c r="AD17" s="1272" t="n"/>
      <c r="AE17" s="1272" t="n"/>
      <c r="AF17" s="1272" t="n">
        <v>12</v>
      </c>
      <c r="AG17" s="1272" t="n"/>
      <c r="AH17" s="1272">
        <f>133*14</f>
        <v/>
      </c>
      <c r="AI17" s="1272" t="n"/>
      <c r="AJ17" s="1272" t="n"/>
      <c r="AK17" s="1272" t="n"/>
      <c r="AL17" s="1272" t="n"/>
      <c r="AM17" s="1272" t="n"/>
      <c r="AN17" s="1272" t="n"/>
      <c r="AO17" s="1272" t="n"/>
      <c r="AP17" s="1272" t="n"/>
      <c r="AQ17" s="1272" t="n"/>
      <c r="AR17" s="1272" t="n"/>
      <c r="AS17" s="1272" t="n"/>
      <c r="AT17" s="1272" t="n"/>
      <c r="AU17" s="1272" t="n"/>
      <c r="AV17" s="1272" t="n"/>
      <c r="AW17" s="1272">
        <f>11*12</f>
        <v/>
      </c>
      <c r="AX17" s="1272" t="n"/>
      <c r="AY17" s="1272" t="n"/>
      <c r="AZ17" s="1272" t="n"/>
      <c r="BA17" s="1272">
        <f>11*12</f>
        <v/>
      </c>
      <c r="BB17" s="1272" t="n"/>
      <c r="BC17" s="1272" t="n"/>
      <c r="BD17" s="1272" t="n"/>
      <c r="BE17" s="1272" t="n"/>
      <c r="BF17" s="1272" t="n"/>
      <c r="BG17" s="1273" t="n"/>
      <c r="BH17" s="1273" t="n"/>
      <c r="BI17" s="1273" t="n"/>
      <c r="BJ17" s="1273" t="n"/>
      <c r="BK17" s="1273" t="n"/>
      <c r="BL17" s="1269">
        <f>BJ17+BH17+BF17+AZ17+AX17+AV17+AR17+AP17+AN17+AL17+AJ17+AH17+AF17+AD17+AB17+AB17+Z17+X17+V17+T17+P17+N17+L17+J17</f>
        <v/>
      </c>
      <c r="BM17" s="1270">
        <f>BK17+BI17+BG17+BA17+AY17+AW17+AS17+AQ17+AQ17+AO17+AM17+AK17+AI17+AG17+AE17+AC17+AA17+Y17+W17+U17+Q17+O17+M17+K17</f>
        <v/>
      </c>
    </row>
    <row r="18" ht="19.95" customHeight="1">
      <c r="A18" s="972" t="n"/>
      <c r="B18" s="803" t="inlineStr">
        <is>
          <t>ဝမ်းတွင်း</t>
        </is>
      </c>
      <c r="C18" s="784" t="inlineStr">
        <is>
          <t>Van 2-2</t>
        </is>
      </c>
      <c r="D18" s="734" t="inlineStr">
        <is>
          <t>ဟံဇား-ကျောက်ပနား-သာဂရ(ဝမ်းတွင်း)</t>
        </is>
      </c>
      <c r="E18" s="765" t="inlineStr">
        <is>
          <t>2 Days</t>
        </is>
      </c>
      <c r="F18" s="799" t="n">
        <v>30</v>
      </c>
      <c r="G18" s="799" t="n">
        <v>30</v>
      </c>
      <c r="H18" s="799" t="n">
        <v>11</v>
      </c>
      <c r="I18" s="800" t="n">
        <v>0.37</v>
      </c>
      <c r="J18" s="1267" t="n"/>
      <c r="K18" s="1272" t="n"/>
      <c r="L18" s="1272" t="n"/>
      <c r="M18" s="1272" t="n"/>
      <c r="N18" s="1272">
        <f>12*14</f>
        <v/>
      </c>
      <c r="O18" s="1272" t="n"/>
      <c r="P18" s="1272" t="n"/>
      <c r="Q18" s="1272" t="n"/>
      <c r="R18" s="1272" t="n"/>
      <c r="S18" s="1272" t="n"/>
      <c r="T18" s="1272" t="n"/>
      <c r="U18" s="1272" t="n"/>
      <c r="V18" s="1272">
        <f>15*14</f>
        <v/>
      </c>
      <c r="W18" s="1272" t="n"/>
      <c r="X18" s="1272" t="n"/>
      <c r="Y18" s="1272">
        <f>16*12</f>
        <v/>
      </c>
      <c r="Z18" s="1272" t="n"/>
      <c r="AA18" s="1272" t="n"/>
      <c r="AB18" s="1272" t="n"/>
      <c r="AC18" s="1272" t="n"/>
      <c r="AD18" s="1272" t="n"/>
      <c r="AE18" s="1272" t="n"/>
      <c r="AF18" s="1272" t="n"/>
      <c r="AG18" s="1272" t="n"/>
      <c r="AH18" s="1272">
        <f>31*14</f>
        <v/>
      </c>
      <c r="AI18" s="1272" t="n"/>
      <c r="AJ18" s="1272" t="n"/>
      <c r="AK18" s="1272" t="n"/>
      <c r="AL18" s="1272" t="n"/>
      <c r="AM18" s="1272" t="n"/>
      <c r="AN18" s="1272" t="n"/>
      <c r="AO18" s="1272" t="n"/>
      <c r="AP18" s="1272" t="n"/>
      <c r="AQ18" s="1272">
        <f>3*24</f>
        <v/>
      </c>
      <c r="AR18" s="1272" t="n"/>
      <c r="AS18" s="1272" t="n"/>
      <c r="AT18" s="1272" t="n"/>
      <c r="AU18" s="1272" t="n"/>
      <c r="AV18" s="1272" t="n"/>
      <c r="AW18" s="1272" t="n"/>
      <c r="AX18" s="1272" t="n"/>
      <c r="AY18" s="1272" t="n"/>
      <c r="AZ18" s="1272" t="n"/>
      <c r="BA18" s="1272" t="n"/>
      <c r="BB18" s="1272" t="n"/>
      <c r="BC18" s="1272" t="n"/>
      <c r="BD18" s="1272" t="n"/>
      <c r="BE18" s="1272" t="n"/>
      <c r="BF18" s="1272" t="n"/>
      <c r="BG18" s="1273" t="n"/>
      <c r="BH18" s="1273" t="n"/>
      <c r="BI18" s="1273" t="n"/>
      <c r="BJ18" s="1273" t="n"/>
      <c r="BK18" s="1273" t="n"/>
      <c r="BL18" s="1269">
        <f>BJ18+BH18+BF18+AZ18+AX18+AV18+AR18+AP18+AN18+AL18+AJ18+AH18+AF18+AD18+AB18+AB18+Z18+X18+V18+T18+P18+N18+L18+J18</f>
        <v/>
      </c>
      <c r="BM18" s="1270">
        <f>BK18+BI18+BG18+BA18+AY18+AW18+AS18+AQ18+AQ18+AO18+AM18+AK18+AI18+AG18+AE18+AC18+AA18+Y18+W18+U18+Q18+O18+M18+K18</f>
        <v/>
      </c>
    </row>
    <row r="19" ht="19.95" customHeight="1">
      <c r="A19" s="972" t="n"/>
      <c r="B19" s="803" t="inlineStr">
        <is>
          <t>ဝမ်းတွင်း</t>
        </is>
      </c>
      <c r="C19" s="784" t="inlineStr">
        <is>
          <t>Van 2-3</t>
        </is>
      </c>
      <c r="D19" s="734" t="inlineStr">
        <is>
          <t>ရွှေတောင်-ဒိုင်ကောင်းကုန်း(ဝမ်းတွင်း)</t>
        </is>
      </c>
      <c r="E19" s="765" t="inlineStr">
        <is>
          <t>3 Days</t>
        </is>
      </c>
      <c r="F19" s="799" t="n">
        <v>45</v>
      </c>
      <c r="G19" s="799" t="n">
        <v>45</v>
      </c>
      <c r="H19" s="799" t="n">
        <v>24</v>
      </c>
      <c r="I19" s="800" t="n">
        <v>0.53</v>
      </c>
      <c r="J19" s="1267" t="n"/>
      <c r="K19" s="1272" t="n"/>
      <c r="L19" s="1272">
        <f>33*14</f>
        <v/>
      </c>
      <c r="M19" s="1272" t="n"/>
      <c r="N19" s="1272">
        <f>13*14</f>
        <v/>
      </c>
      <c r="O19" s="1272" t="n"/>
      <c r="P19" s="1272" t="n"/>
      <c r="Q19" s="1272" t="n"/>
      <c r="R19" s="1272" t="n"/>
      <c r="S19" s="1272" t="n"/>
      <c r="T19" s="1272" t="n"/>
      <c r="U19" s="1272" t="n"/>
      <c r="V19" s="1272">
        <f>82*14</f>
        <v/>
      </c>
      <c r="W19" s="1272" t="n"/>
      <c r="X19" s="1272" t="n"/>
      <c r="Y19" s="1272">
        <f>22*12</f>
        <v/>
      </c>
      <c r="Z19" s="1272" t="n"/>
      <c r="AA19" s="1272" t="n"/>
      <c r="AB19" s="1272" t="n"/>
      <c r="AC19" s="1272">
        <f>2*12</f>
        <v/>
      </c>
      <c r="AD19" s="1272" t="n"/>
      <c r="AE19" s="1272" t="n"/>
      <c r="AF19" s="1272">
        <f>30*24</f>
        <v/>
      </c>
      <c r="AG19" s="1272" t="n"/>
      <c r="AH19" s="1272" t="n"/>
      <c r="AI19" s="1272" t="n"/>
      <c r="AJ19" s="1272" t="n"/>
      <c r="AK19" s="1272" t="n"/>
      <c r="AL19" s="1272" t="n"/>
      <c r="AM19" s="1272" t="n"/>
      <c r="AN19" s="1272" t="n"/>
      <c r="AO19" s="1272" t="n"/>
      <c r="AP19" s="1272" t="n"/>
      <c r="AQ19" s="1272">
        <f>5*24</f>
        <v/>
      </c>
      <c r="AR19" s="1272" t="n"/>
      <c r="AS19" s="1272" t="n"/>
      <c r="AT19" s="1272" t="n"/>
      <c r="AU19" s="1272" t="n"/>
      <c r="AV19" s="1272" t="n"/>
      <c r="AW19" s="1272" t="n"/>
      <c r="AX19" s="1272" t="n"/>
      <c r="AY19" s="1272" t="n"/>
      <c r="AZ19" s="1272" t="n"/>
      <c r="BA19" s="1272" t="n"/>
      <c r="BB19" s="1272" t="n"/>
      <c r="BC19" s="1272" t="n"/>
      <c r="BD19" s="1272" t="n"/>
      <c r="BE19" s="1272" t="n"/>
      <c r="BF19" s="1272" t="n"/>
      <c r="BG19" s="1273" t="n"/>
      <c r="BH19" s="1273">
        <f>8*24</f>
        <v/>
      </c>
      <c r="BI19" s="1273" t="n"/>
      <c r="BJ19" s="1273" t="n"/>
      <c r="BK19" s="1273" t="n"/>
      <c r="BL19" s="1269">
        <f>BJ19+BH19+BF19+AZ19+AX19+AV19+AR19+AP19+AN19+AL19+AJ19+AH19+AF19+AD19+AB19+AB19+Z19+X19+V19+T19+P19+N19+L19+J19</f>
        <v/>
      </c>
      <c r="BM19" s="1270">
        <f>BK19+BI19+BG19+BA19+AY19+AW19+AS19+AQ19+AQ19+AO19+AM19+AK19+AI19+AG19+AE19+AC19+AA19+Y19+W19+U19+Q19+O19+M19+K19</f>
        <v/>
      </c>
    </row>
    <row r="20" ht="19.95" customHeight="1">
      <c r="A20" s="972" t="n"/>
      <c r="B20" s="803" t="inlineStr">
        <is>
          <t>ဝမ်းတွင်း</t>
        </is>
      </c>
      <c r="C20" s="784" t="inlineStr">
        <is>
          <t>Van 2-4</t>
        </is>
      </c>
      <c r="D20" s="734" t="inlineStr">
        <is>
          <t>ခင်ကြီး-ခင်ဘန်း-ကန်စွယ်-သဲတော</t>
        </is>
      </c>
      <c r="E20" s="765" t="inlineStr">
        <is>
          <t>3 Days</t>
        </is>
      </c>
      <c r="F20" s="799" t="n">
        <v>39</v>
      </c>
      <c r="G20" s="799" t="n">
        <v>39</v>
      </c>
      <c r="H20" s="799" t="n">
        <v>17</v>
      </c>
      <c r="I20" s="800" t="n">
        <v>0.44</v>
      </c>
      <c r="K20" s="1272" t="n"/>
      <c r="L20" s="1272">
        <f>50*14</f>
        <v/>
      </c>
      <c r="M20" s="1272" t="n"/>
      <c r="N20" s="1272">
        <f>22*14</f>
        <v/>
      </c>
      <c r="O20" s="1272" t="n"/>
      <c r="P20" s="1272" t="n"/>
      <c r="Q20" s="1272" t="n"/>
      <c r="R20" s="1272" t="n"/>
      <c r="S20" s="1272" t="n"/>
      <c r="T20" s="1272" t="n"/>
      <c r="U20" s="1272" t="n"/>
      <c r="V20" s="1272">
        <f>34*14</f>
        <v/>
      </c>
      <c r="W20" s="1272" t="n"/>
      <c r="X20" s="1272" t="n"/>
      <c r="Y20" s="1272" t="n"/>
      <c r="Z20" s="1272" t="n"/>
      <c r="AA20" s="1272" t="n"/>
      <c r="AB20" s="1272" t="n"/>
      <c r="AC20" s="1272">
        <f>6*12</f>
        <v/>
      </c>
      <c r="AD20" s="1272" t="n"/>
      <c r="AE20" s="1272" t="n"/>
      <c r="AF20" s="1272">
        <f>2*24</f>
        <v/>
      </c>
      <c r="AG20" s="1272" t="n"/>
      <c r="AH20" s="1272">
        <f>30*14</f>
        <v/>
      </c>
      <c r="AI20" s="1272" t="n"/>
      <c r="AJ20" s="1272" t="n"/>
      <c r="AK20" s="1272" t="n"/>
      <c r="AL20" s="1272" t="n"/>
      <c r="AM20" s="1272" t="n"/>
      <c r="AN20" s="1272" t="n"/>
      <c r="AO20" s="1272">
        <f>7*12</f>
        <v/>
      </c>
      <c r="AP20" s="1272" t="n"/>
      <c r="AQ20" s="1272">
        <f>6*24</f>
        <v/>
      </c>
      <c r="AR20" s="1272" t="n"/>
      <c r="AS20" s="1272" t="n"/>
      <c r="AT20" s="1272" t="n"/>
      <c r="AU20" s="1272" t="n"/>
      <c r="AV20" s="1272" t="n"/>
      <c r="AW20" s="1272" t="n"/>
      <c r="AX20" s="1272" t="n"/>
      <c r="AY20" s="1272" t="n"/>
      <c r="AZ20" s="1272" t="n"/>
      <c r="BA20" s="1272" t="n"/>
      <c r="BB20" s="1272" t="n"/>
      <c r="BC20" s="1272" t="n"/>
      <c r="BD20" s="1272" t="n"/>
      <c r="BE20" s="1272" t="n"/>
      <c r="BF20" s="1272" t="n"/>
      <c r="BG20" s="1273" t="n"/>
      <c r="BH20" s="1273" t="n"/>
      <c r="BI20" s="1273" t="n"/>
      <c r="BJ20" s="1273" t="n"/>
      <c r="BK20" s="1273" t="n"/>
      <c r="BL20" s="1269">
        <f>BJ20+BH20+BF20+AZ20+AX20+AV20+AR20+AP20+AN20+AL20+AJ20+AH20+AF20+AD20+AB20+AB20+Z20+X20+V20+T20+P20+N20+L20+J20</f>
        <v/>
      </c>
      <c r="BM20" s="1270">
        <f>BK20+BI20+BG20+BA20+AY20+AW20+AS20+AQ20+AQ20+AO20+AM20+AK20+AI20+AG20+AE20+AC20+AA20+Y20+W20+U20+Q20+O20+M20+K20</f>
        <v/>
      </c>
    </row>
    <row r="21" ht="19.95" customHeight="1">
      <c r="A21" s="972" t="n"/>
      <c r="B21" s="803" t="inlineStr">
        <is>
          <t>ဝမ်းတွင်း</t>
        </is>
      </c>
      <c r="C21" s="784" t="inlineStr">
        <is>
          <t>Van 2-5</t>
        </is>
      </c>
      <c r="D21" s="734" t="inlineStr">
        <is>
          <t>သဖန်း-အိုမတွေ့-သစ်ပလွေ(ဝမ်းတွင်း)</t>
        </is>
      </c>
      <c r="E21" s="765" t="inlineStr">
        <is>
          <t>3 Days</t>
        </is>
      </c>
      <c r="F21" s="799" t="n">
        <v>27</v>
      </c>
      <c r="G21" s="799" t="n">
        <v>27</v>
      </c>
      <c r="H21" s="799" t="n">
        <v>21</v>
      </c>
      <c r="I21" s="800" t="n">
        <v>0.76</v>
      </c>
      <c r="J21" s="1267" t="n"/>
      <c r="K21" s="1272" t="n"/>
      <c r="L21" s="1272" t="n"/>
      <c r="M21" s="1272" t="n"/>
      <c r="N21" s="1272">
        <f>35*14</f>
        <v/>
      </c>
      <c r="O21" s="1272" t="n"/>
      <c r="P21" s="1272">
        <f>15*24</f>
        <v/>
      </c>
      <c r="Q21" s="1272" t="n"/>
      <c r="R21" s="1272" t="n"/>
      <c r="S21" s="1272" t="n"/>
      <c r="T21" s="1272">
        <f>13*14</f>
        <v/>
      </c>
      <c r="U21" s="1272" t="n"/>
      <c r="V21" s="1272">
        <f>33*14</f>
        <v/>
      </c>
      <c r="W21" s="1272" t="n"/>
      <c r="X21" s="1272" t="n"/>
      <c r="Y21" s="1272">
        <f>39*12</f>
        <v/>
      </c>
      <c r="Z21" s="1272" t="n">
        <v>70</v>
      </c>
      <c r="AA21" s="1272" t="n"/>
      <c r="AB21" s="1272" t="n"/>
      <c r="AC21" s="1272" t="n"/>
      <c r="AD21" s="1272" t="n"/>
      <c r="AE21" s="1272" t="n"/>
      <c r="AF21" s="1272" t="n"/>
      <c r="AG21" s="1272" t="n"/>
      <c r="AH21" s="1272">
        <f>6*14</f>
        <v/>
      </c>
      <c r="AI21" s="1272" t="n"/>
      <c r="AJ21" s="1272" t="n"/>
      <c r="AK21" s="1272" t="n"/>
      <c r="AL21" s="1272" t="n"/>
      <c r="AM21" s="1272" t="n"/>
      <c r="AN21" s="1272" t="n"/>
      <c r="AO21" s="1272" t="n"/>
      <c r="AP21" s="1272" t="n"/>
      <c r="AQ21" s="1272">
        <f>6*24</f>
        <v/>
      </c>
      <c r="AR21" s="1272" t="n"/>
      <c r="AS21" s="1272" t="n"/>
      <c r="AT21" s="1272" t="n"/>
      <c r="AU21" s="1272" t="n"/>
      <c r="AV21" s="1272" t="n"/>
      <c r="AW21" s="1272" t="n"/>
      <c r="AX21" s="1272" t="n"/>
      <c r="AY21" s="1272" t="n"/>
      <c r="AZ21" s="1272" t="n"/>
      <c r="BA21" s="1272" t="n"/>
      <c r="BB21" s="1272" t="n"/>
      <c r="BC21" s="1272" t="n"/>
      <c r="BD21" s="1272" t="n"/>
      <c r="BE21" s="1272" t="n"/>
      <c r="BF21" s="1272" t="n"/>
      <c r="BG21" s="1273" t="n"/>
      <c r="BH21" s="1273" t="n"/>
      <c r="BI21" s="1273" t="n"/>
      <c r="BJ21" s="1273" t="n"/>
      <c r="BK21" s="1273">
        <f>2*12</f>
        <v/>
      </c>
      <c r="BL21" s="1269">
        <f>BJ21+BH21+BF21+AZ21+AX21+AV21+AR21+AP21+AN21+AL21+AJ21+AH21+AF21+AD21+AB21+AB21+Z21+X21+V21+T21+P21+N21+L21+J21</f>
        <v/>
      </c>
      <c r="BM21" s="1270">
        <f>BK21+BI21+BG21+BA21+AY21+AW21+AS21+AQ21+AQ21+AO21+AM21+AK21+AI21+AG21+AE21+AC21+AA21+Y21+W21+U21+Q21+O21+M21+K21</f>
        <v/>
      </c>
    </row>
    <row r="22" ht="19.95" customHeight="1">
      <c r="A22" s="972" t="n"/>
      <c r="B22" s="803" t="inlineStr">
        <is>
          <t>ဝမ်းတွင်း</t>
        </is>
      </c>
      <c r="C22" s="784" t="inlineStr">
        <is>
          <t>Van 2-6</t>
        </is>
      </c>
      <c r="D22" s="785" t="inlineStr">
        <is>
          <t>တဲစု-ပင်းတလဲ-အင်းကုန်း (ဝမ်းတွင်း)</t>
        </is>
      </c>
      <c r="E22" s="765" t="inlineStr">
        <is>
          <t>3 Days</t>
        </is>
      </c>
      <c r="F22" s="799" t="n">
        <v>18</v>
      </c>
      <c r="G22" s="799" t="n">
        <v>18</v>
      </c>
      <c r="H22" s="799" t="n">
        <v>18</v>
      </c>
      <c r="I22" s="800" t="n">
        <v>1</v>
      </c>
      <c r="J22" s="1267">
        <f>10*14</f>
        <v/>
      </c>
      <c r="K22" s="1272" t="n"/>
      <c r="L22" s="1272" t="n"/>
      <c r="M22" s="1272" t="n"/>
      <c r="N22" s="1272">
        <f>21*14</f>
        <v/>
      </c>
      <c r="O22" s="1272" t="n"/>
      <c r="P22" s="1272">
        <f>10*24</f>
        <v/>
      </c>
      <c r="Q22" s="1272" t="n"/>
      <c r="R22" s="1272" t="n"/>
      <c r="S22" s="1272" t="n"/>
      <c r="T22" s="1272">
        <f>5*14</f>
        <v/>
      </c>
      <c r="U22" s="1272" t="n"/>
      <c r="V22" s="1272" t="n"/>
      <c r="W22" s="1272" t="n"/>
      <c r="X22" s="1272" t="n"/>
      <c r="Y22" s="1272" t="n"/>
      <c r="Z22" s="1272" t="n">
        <v>42</v>
      </c>
      <c r="AA22" s="1272" t="n"/>
      <c r="AB22" s="1272" t="n"/>
      <c r="AC22" s="1272" t="n"/>
      <c r="AD22" s="1272" t="n"/>
      <c r="AE22" s="1272" t="n"/>
      <c r="AF22" s="1272" t="n"/>
      <c r="AG22" s="1272" t="n"/>
      <c r="AH22" s="1272">
        <f>5*14</f>
        <v/>
      </c>
      <c r="AI22" s="1272" t="n"/>
      <c r="AJ22" s="1272" t="n"/>
      <c r="AK22" s="1272" t="n"/>
      <c r="AL22" s="1272" t="n"/>
      <c r="AM22" s="1272" t="n"/>
      <c r="AN22" s="1272" t="n"/>
      <c r="AO22" s="1272">
        <f>84*12</f>
        <v/>
      </c>
      <c r="AP22" s="1272" t="n"/>
      <c r="AQ22" s="1272">
        <f>4*24</f>
        <v/>
      </c>
      <c r="AR22" s="1272" t="n"/>
      <c r="AS22" s="1272" t="n"/>
      <c r="AT22" s="1272" t="n"/>
      <c r="AU22" s="1272" t="n"/>
      <c r="AV22" s="1272" t="n"/>
      <c r="AW22" s="1272" t="n"/>
      <c r="AX22" s="1272" t="n"/>
      <c r="AY22" s="1272">
        <f>4*24</f>
        <v/>
      </c>
      <c r="AZ22" s="1272" t="n"/>
      <c r="BA22" s="1272" t="n"/>
      <c r="BB22" s="1272" t="n"/>
      <c r="BC22" s="1272" t="n"/>
      <c r="BD22" s="1272" t="n"/>
      <c r="BE22" s="1272" t="n"/>
      <c r="BF22" s="1272" t="n"/>
      <c r="BG22" s="1273" t="n"/>
      <c r="BH22" s="1273" t="n"/>
      <c r="BI22" s="1273" t="n"/>
      <c r="BJ22" s="1273" t="n"/>
      <c r="BK22" s="1273" t="n"/>
      <c r="BL22" s="1269">
        <f>BJ22+BH22+BF22+AZ22+AX22+AV22+AR22+AP22+AN22+AL22+AJ22+AH22+AF22+AD22+AB22+AB22+Z22+X22+V22+T22+P22+N22+L22+J22</f>
        <v/>
      </c>
      <c r="BM22" s="1270">
        <f>BK22+BI22+BG22+BA22+AY22+AW22+AS22+AQ22+AQ22+AO22+AM22+AK22+AI22+AG22+AE22+AC22+AA22+Y22+W22+U22+Q22+O22+M22+K22</f>
        <v/>
      </c>
    </row>
    <row r="23" ht="20.1" customHeight="1">
      <c r="A23" s="972" t="n"/>
      <c r="B23" s="783" t="inlineStr">
        <is>
          <t>သာစည်</t>
        </is>
      </c>
      <c r="C23" s="784" t="inlineStr">
        <is>
          <t>Van 2-7</t>
        </is>
      </c>
      <c r="D23" s="734" t="inlineStr">
        <is>
          <t>အုတ်တွင်း-နန်းတော်ကုန်း-မြောင်းဦး-ဇဝင်း</t>
        </is>
      </c>
      <c r="E23" s="756" t="inlineStr">
        <is>
          <t>2 Days</t>
        </is>
      </c>
      <c r="F23" s="940" t="n">
        <v>34</v>
      </c>
      <c r="G23" s="940" t="n">
        <v>34</v>
      </c>
      <c r="H23" s="940" t="n">
        <v>19</v>
      </c>
      <c r="I23" s="800" t="n">
        <v>0.5600000000000001</v>
      </c>
      <c r="J23" s="1267" t="n"/>
      <c r="K23" s="1272" t="n"/>
      <c r="L23" s="1272" t="n"/>
      <c r="M23" s="1272" t="n"/>
      <c r="N23" s="1272" t="n"/>
      <c r="O23" s="1272" t="n"/>
      <c r="P23" s="1272">
        <f>16*24</f>
        <v/>
      </c>
      <c r="Q23" s="1272" t="n"/>
      <c r="R23" s="1272" t="n"/>
      <c r="S23" s="1272" t="n"/>
      <c r="T23" s="1272" t="n"/>
      <c r="U23" s="1272" t="n"/>
      <c r="V23" s="1272" t="n"/>
      <c r="W23" s="1272" t="n"/>
      <c r="X23" s="1272" t="n"/>
      <c r="Y23" s="1272">
        <f>41*12</f>
        <v/>
      </c>
      <c r="Z23" s="1272" t="n"/>
      <c r="AA23" s="1272" t="n"/>
      <c r="AB23" s="1272" t="n"/>
      <c r="AC23" s="1272" t="n"/>
      <c r="AD23" s="1272" t="n"/>
      <c r="AE23" s="1272" t="n"/>
      <c r="AF23" s="1272" t="n">
        <v>85</v>
      </c>
      <c r="AG23" s="1272" t="n"/>
      <c r="AH23" s="1272">
        <f>39*14</f>
        <v/>
      </c>
      <c r="AI23" s="1272" t="n"/>
      <c r="AJ23" s="1272" t="n"/>
      <c r="AK23" s="1272" t="n"/>
      <c r="AL23" s="1272" t="n"/>
      <c r="AM23" s="1272" t="n"/>
      <c r="AN23" s="1272" t="n"/>
      <c r="AO23" s="1272" t="n"/>
      <c r="AP23" s="1272" t="n"/>
      <c r="AQ23" s="1272">
        <f>5*24</f>
        <v/>
      </c>
      <c r="AR23" s="1272" t="n"/>
      <c r="AS23" s="1272" t="n"/>
      <c r="AT23" s="1272" t="n"/>
      <c r="AU23" s="1272" t="n"/>
      <c r="AV23" s="1272" t="n"/>
      <c r="AW23" s="1272">
        <f>5*12</f>
        <v/>
      </c>
      <c r="AX23" s="1272" t="n"/>
      <c r="AY23" s="1272" t="n"/>
      <c r="AZ23" s="1272" t="n"/>
      <c r="BA23" s="1272">
        <f>6*12</f>
        <v/>
      </c>
      <c r="BB23" s="1272" t="n"/>
      <c r="BC23" s="1272" t="n"/>
      <c r="BD23" s="1272" t="n"/>
      <c r="BE23" s="1272" t="n"/>
      <c r="BF23" s="1272" t="n"/>
      <c r="BG23" s="1273" t="n"/>
      <c r="BH23" s="1273" t="n"/>
      <c r="BI23" s="1273" t="n"/>
      <c r="BJ23" s="1273" t="n"/>
      <c r="BK23" s="1273" t="n"/>
      <c r="BL23" s="1269">
        <f>BJ23+BH23+BF23+AZ23+AX23+AV23+AR23+AP23+AN23+AL23+AJ23+AH23+AF23+AD23+AB23+AB23+Z23+X23+V23+T23+P23+N23+L23+J23</f>
        <v/>
      </c>
      <c r="BM23" s="1270">
        <f>BK23+BI23+BG23+BA23+AY23+AW23+AS23+AQ23+AQ23+AO23+AM23+AK23+AI23+AG23+AE23+AC23+AA23+Y23+W23+U23+Q23+O23+M23+K23</f>
        <v/>
      </c>
    </row>
    <row r="24" ht="20.1" customHeight="1">
      <c r="A24" s="972" t="n"/>
      <c r="B24" s="783" t="inlineStr">
        <is>
          <t>သာစည်</t>
        </is>
      </c>
      <c r="C24" s="784" t="inlineStr">
        <is>
          <t>Van 2-8</t>
        </is>
      </c>
      <c r="D24" s="727" t="inlineStr">
        <is>
          <t>နှမ်းကန်-ကုက္ကိုပေါက်-ညောင်ရမ်း(သာစည်)</t>
        </is>
      </c>
      <c r="E24" s="756" t="inlineStr">
        <is>
          <t>2 Days</t>
        </is>
      </c>
      <c r="F24" s="940" t="n">
        <v>28</v>
      </c>
      <c r="G24" s="940" t="n">
        <v>28</v>
      </c>
      <c r="H24" s="940" t="n">
        <v>12</v>
      </c>
      <c r="I24" s="800" t="n">
        <v>0.43</v>
      </c>
      <c r="J24" s="1267">
        <f>15*14</f>
        <v/>
      </c>
      <c r="K24" s="1272" t="n"/>
      <c r="L24" s="1272" t="n"/>
      <c r="M24" s="1272" t="n"/>
      <c r="N24" s="1272" t="n"/>
      <c r="O24" s="1272" t="n"/>
      <c r="P24" s="1272">
        <f>6*24</f>
        <v/>
      </c>
      <c r="Q24" s="1272" t="n"/>
      <c r="R24" s="1272" t="n"/>
      <c r="S24" s="1272" t="n"/>
      <c r="T24" s="1272">
        <f>14*14</f>
        <v/>
      </c>
      <c r="U24" s="1272" t="n"/>
      <c r="V24" s="1272">
        <f>10*14</f>
        <v/>
      </c>
      <c r="W24" s="1272" t="n"/>
      <c r="X24" s="1272" t="n"/>
      <c r="Y24" s="1272" t="n"/>
      <c r="Z24" s="1272">
        <f>8*14</f>
        <v/>
      </c>
      <c r="AA24" s="1272" t="n"/>
      <c r="AB24" s="1272" t="n"/>
      <c r="AC24" s="1272" t="n"/>
      <c r="AD24" s="1272" t="n"/>
      <c r="AE24" s="1272" t="n"/>
      <c r="AF24" s="1272">
        <f>3*24</f>
        <v/>
      </c>
      <c r="AG24" s="1272" t="n"/>
      <c r="AH24" s="1272">
        <f>6*14</f>
        <v/>
      </c>
      <c r="AI24" s="1272" t="n"/>
      <c r="AJ24" s="1272" t="n"/>
      <c r="AK24" s="1272" t="n"/>
      <c r="AL24" s="1272" t="n"/>
      <c r="AM24" s="1272" t="n"/>
      <c r="AN24" s="1272" t="n"/>
      <c r="AO24" s="1272">
        <f>31*12</f>
        <v/>
      </c>
      <c r="AP24" s="1272" t="n"/>
      <c r="AQ24" s="1272" t="n"/>
      <c r="AR24" s="1272" t="n"/>
      <c r="AS24" s="1272" t="n"/>
      <c r="AT24" s="1272" t="n"/>
      <c r="AU24" s="1272" t="n"/>
      <c r="AV24" s="1272" t="n"/>
      <c r="AW24" s="1272" t="n"/>
      <c r="AX24" s="1272" t="n"/>
      <c r="AY24" s="1272">
        <f>5*24</f>
        <v/>
      </c>
      <c r="AZ24" s="1272" t="n"/>
      <c r="BA24" s="1272" t="n"/>
      <c r="BB24" s="1272" t="n"/>
      <c r="BC24" s="1272" t="n"/>
      <c r="BD24" s="1272" t="n"/>
      <c r="BE24" s="1272" t="n"/>
      <c r="BF24" s="1272" t="n"/>
      <c r="BG24" s="1273" t="n"/>
      <c r="BH24" s="1273" t="n"/>
      <c r="BI24" s="1273" t="n"/>
      <c r="BJ24" s="1273" t="n"/>
      <c r="BK24" s="1273" t="n"/>
      <c r="BL24" s="1269">
        <f>BJ24+BH24+BF24+AZ24+AX24+AV24+AR24+AP24+AN24+AL24+AJ24+AH24+AF24+AD24+AB24+AB24+Z24+X24+V24+T24+P24+N24+L24+J24</f>
        <v/>
      </c>
      <c r="BM24" s="1270">
        <f>BK24+BI24+BG24+BA24+AY24+AW24+AS24+AQ24+AQ24+AO24+AM24+AK24+AI24+AG24+AE24+AC24+AA24+Y24+W24+U24+Q24+O24+M24+K24</f>
        <v/>
      </c>
    </row>
    <row r="25" ht="20.1" customHeight="1">
      <c r="A25" s="972" t="n"/>
      <c r="B25" s="783" t="inlineStr">
        <is>
          <t>ပျော်ဘွယ်</t>
        </is>
      </c>
      <c r="C25" s="784" t="inlineStr">
        <is>
          <t>Van 2-9</t>
        </is>
      </c>
      <c r="D25" s="785" t="inlineStr">
        <is>
          <t>ကျောက်ကာ-ကုက္ကိုကုန်း-ညောင်အိုင့်(PB)</t>
        </is>
      </c>
      <c r="E25" s="756" t="inlineStr">
        <is>
          <t>2 Days</t>
        </is>
      </c>
      <c r="F25" s="940" t="n">
        <v>28</v>
      </c>
      <c r="G25" s="940" t="n">
        <v>28</v>
      </c>
      <c r="H25" s="940" t="n">
        <v>10</v>
      </c>
      <c r="I25" s="800" t="n">
        <v>0.36</v>
      </c>
      <c r="J25" s="1267">
        <f>5*14</f>
        <v/>
      </c>
      <c r="K25" s="1272" t="n"/>
      <c r="L25" s="1272" t="n"/>
      <c r="M25" s="1272" t="n"/>
      <c r="N25" s="1272" t="n"/>
      <c r="O25" s="1272" t="n"/>
      <c r="P25" s="1272">
        <f>7*24</f>
        <v/>
      </c>
      <c r="Q25" s="1272" t="n"/>
      <c r="R25" s="1272" t="n"/>
      <c r="S25" s="1272" t="n"/>
      <c r="T25" s="1272" t="n"/>
      <c r="U25" s="1272" t="n"/>
      <c r="V25" s="1272">
        <f>3*14</f>
        <v/>
      </c>
      <c r="W25" s="1272" t="n"/>
      <c r="X25" s="1272" t="n"/>
      <c r="Y25" s="1272">
        <f>5*12</f>
        <v/>
      </c>
      <c r="Z25" s="1272" t="n"/>
      <c r="AA25" s="1272" t="n"/>
      <c r="AB25" s="1272" t="n"/>
      <c r="AC25" s="1272" t="n"/>
      <c r="AD25" s="1272" t="n"/>
      <c r="AE25" s="1272" t="n"/>
      <c r="AF25" s="1272">
        <f>15*24</f>
        <v/>
      </c>
      <c r="AG25" s="1272" t="n"/>
      <c r="AH25" s="1272">
        <f>7*14</f>
        <v/>
      </c>
      <c r="AI25" s="1272" t="n"/>
      <c r="AJ25" s="1272" t="n"/>
      <c r="AK25" s="1272" t="n"/>
      <c r="AL25" s="1272" t="n"/>
      <c r="AM25" s="1272" t="n"/>
      <c r="AN25" s="1272" t="n"/>
      <c r="AO25" s="1272">
        <f>21*12</f>
        <v/>
      </c>
      <c r="AP25" s="1272" t="n"/>
      <c r="AQ25" s="1272">
        <f>7*24</f>
        <v/>
      </c>
      <c r="AR25" s="1272" t="n"/>
      <c r="AS25" s="1272" t="n"/>
      <c r="AT25" s="1272" t="n"/>
      <c r="AU25" s="1272" t="n"/>
      <c r="AV25" s="1272" t="n"/>
      <c r="AW25" s="1272" t="n"/>
      <c r="AX25" s="1272" t="n"/>
      <c r="AY25" s="1272" t="n"/>
      <c r="AZ25" s="1272" t="n"/>
      <c r="BA25" s="1272" t="n"/>
      <c r="BB25" s="1272" t="n"/>
      <c r="BC25" s="1272" t="n"/>
      <c r="BD25" s="1272" t="n"/>
      <c r="BE25" s="1272" t="n"/>
      <c r="BF25" s="1272" t="n"/>
      <c r="BG25" s="1273" t="n"/>
      <c r="BH25" s="1273" t="n"/>
      <c r="BI25" s="1273" t="n"/>
      <c r="BJ25" s="1273" t="n"/>
      <c r="BK25" s="1273" t="n"/>
      <c r="BL25" s="1269">
        <f>BJ25+BH25+BF25+AZ25+AX25+AV25+AR25+AP25+AN25+AL25+AJ25+AH25+AF25+AD25+AB25+AB25+Z25+X25+V25+T25+P25+N25+L25+J25</f>
        <v/>
      </c>
      <c r="BM25" s="1270">
        <f>BK25+BI25+BG25+BA25+AY25+AW25+AS25+AQ25+AQ25+AO25+AM25+AK25+AI25+AG25+AE25+AC25+AA25+Y25+W25+U25+Q25+O25+M25+K25</f>
        <v/>
      </c>
    </row>
    <row r="26" ht="20.1" customHeight="1">
      <c r="A26" s="972" t="n"/>
      <c r="B26" s="783" t="inlineStr">
        <is>
          <t>သာစည်</t>
        </is>
      </c>
      <c r="C26" s="784" t="inlineStr">
        <is>
          <t>Van 2-10</t>
        </is>
      </c>
      <c r="D26" s="734" t="inlineStr">
        <is>
          <t>ရွှေတုတ်ကုန်း-နတ်မြောင်း(သာစည်)</t>
        </is>
      </c>
      <c r="E26" s="756" t="inlineStr">
        <is>
          <t>2 Days</t>
        </is>
      </c>
      <c r="F26" s="940" t="n">
        <v>22</v>
      </c>
      <c r="G26" s="940" t="n">
        <v>22</v>
      </c>
      <c r="H26" s="940" t="n">
        <v>4</v>
      </c>
      <c r="I26" s="800" t="n">
        <v>0.18</v>
      </c>
      <c r="J26" s="1267" t="n"/>
      <c r="K26" s="1272" t="n"/>
      <c r="L26" s="1272" t="n"/>
      <c r="M26" s="1272" t="n"/>
      <c r="N26" s="1272" t="n"/>
      <c r="O26" s="1272" t="n"/>
      <c r="P26" s="1272" t="n"/>
      <c r="Q26" s="1272" t="n"/>
      <c r="R26" s="1272" t="n"/>
      <c r="S26" s="1272" t="n"/>
      <c r="T26" s="1272" t="n"/>
      <c r="U26" s="1272" t="n"/>
      <c r="V26" s="1272">
        <f>40*14</f>
        <v/>
      </c>
      <c r="W26" s="1272" t="n"/>
      <c r="X26" s="1272" t="n"/>
      <c r="Y26" s="1272" t="n"/>
      <c r="Z26" s="1272" t="n"/>
      <c r="AA26" s="1272" t="n"/>
      <c r="AB26" s="1272" t="n"/>
      <c r="AC26" s="1272" t="n"/>
      <c r="AD26" s="1272" t="n"/>
      <c r="AE26" s="1272" t="n"/>
      <c r="AF26" s="1272" t="n"/>
      <c r="AG26" s="1272" t="n"/>
      <c r="AH26" s="1272">
        <f>50*14</f>
        <v/>
      </c>
      <c r="AI26" s="1272" t="n"/>
      <c r="AJ26" s="1272" t="n"/>
      <c r="AK26" s="1272" t="n"/>
      <c r="AL26" s="1272" t="n"/>
      <c r="AM26" s="1272" t="n"/>
      <c r="AN26" s="1272" t="n"/>
      <c r="AO26" s="1272" t="n"/>
      <c r="AP26" s="1272" t="n"/>
      <c r="AQ26" s="1272" t="n"/>
      <c r="AR26" s="1272" t="n"/>
      <c r="AS26" s="1272" t="n"/>
      <c r="AT26" s="1272" t="n"/>
      <c r="AU26" s="1272" t="n"/>
      <c r="AV26" s="1272" t="n"/>
      <c r="AW26" s="1272" t="n"/>
      <c r="AX26" s="1272" t="n"/>
      <c r="AY26" s="1272" t="n"/>
      <c r="AZ26" s="1272" t="n"/>
      <c r="BA26" s="1272">
        <f>11*12</f>
        <v/>
      </c>
      <c r="BB26" s="1272" t="n"/>
      <c r="BC26" s="1272" t="n"/>
      <c r="BD26" s="1272" t="n"/>
      <c r="BE26" s="1272" t="n"/>
      <c r="BF26" s="1272" t="n"/>
      <c r="BG26" s="1273" t="n"/>
      <c r="BH26" s="1273" t="n"/>
      <c r="BI26" s="1273" t="n"/>
      <c r="BJ26" s="1273" t="n"/>
      <c r="BK26" s="1273" t="n"/>
      <c r="BL26" s="1269">
        <f>BJ26+BH26+BF26+AZ26+AX26+AV26+AR26+AP26+AN26+AL26+AJ26+AH26+AF26+AD26+AB26+AB26+Z26+X26+V26+T26+P26+N26+L26+J26</f>
        <v/>
      </c>
      <c r="BM26" s="1270">
        <f>BK26+BI26+BG26+BA26+AY26+AW26+AS26+AQ26+AQ26+AO26+AM26+AK26+AI26+AG26+AE26+AC26+AA26+Y26+W26+U26+Q26+O26+M26+K26</f>
        <v/>
      </c>
    </row>
    <row r="27" ht="20.1" customHeight="1">
      <c r="A27" s="973" t="n"/>
      <c r="B27" s="793" t="n"/>
      <c r="C27" s="794" t="n"/>
      <c r="D27" s="794" t="n"/>
      <c r="E27" s="794" t="n"/>
      <c r="F27" s="795">
        <f>SUM(F17:F26)</f>
        <v/>
      </c>
      <c r="G27" s="795">
        <f>SUM(G17:G26)</f>
        <v/>
      </c>
      <c r="H27" s="795">
        <f>SUM(H17:H26)</f>
        <v/>
      </c>
      <c r="I27" s="796" t="n">
        <v>0.49</v>
      </c>
      <c r="J27" s="1274">
        <f>SUM(J17:J26)</f>
        <v/>
      </c>
      <c r="K27" s="1274">
        <f>SUM(K17:K26)</f>
        <v/>
      </c>
      <c r="L27" s="1274">
        <f>SUM(L17:L26)</f>
        <v/>
      </c>
      <c r="M27" s="1274">
        <f>SUM(M17:M26)</f>
        <v/>
      </c>
      <c r="N27" s="1274">
        <f>SUM(N17:N26)</f>
        <v/>
      </c>
      <c r="O27" s="1274">
        <f>SUM(O17:O26)</f>
        <v/>
      </c>
      <c r="P27" s="1274">
        <f>SUM(P17:P26)</f>
        <v/>
      </c>
      <c r="Q27" s="1274">
        <f>SUM(Q17:Q26)</f>
        <v/>
      </c>
      <c r="R27" s="1274">
        <f>SUM(R17:R26)</f>
        <v/>
      </c>
      <c r="S27" s="1274">
        <f>SUM(S17:S26)</f>
        <v/>
      </c>
      <c r="T27" s="1274">
        <f>SUM(T17:T26)</f>
        <v/>
      </c>
      <c r="U27" s="1274">
        <f>SUM(U17:U26)</f>
        <v/>
      </c>
      <c r="V27" s="1274">
        <f>SUM(V17:V26)</f>
        <v/>
      </c>
      <c r="W27" s="1274">
        <f>SUM(W17:W26)</f>
        <v/>
      </c>
      <c r="X27" s="1274">
        <f>SUM(X17:X26)</f>
        <v/>
      </c>
      <c r="Y27" s="1274">
        <f>SUM(Y17:Y26)</f>
        <v/>
      </c>
      <c r="Z27" s="1274">
        <f>SUM(Z17:Z26)</f>
        <v/>
      </c>
      <c r="AA27" s="1274">
        <f>SUM(AA17:AA26)</f>
        <v/>
      </c>
      <c r="AB27" s="1274">
        <f>SUM(AB17:AB26)</f>
        <v/>
      </c>
      <c r="AC27" s="1274">
        <f>SUM(AC17:AC26)</f>
        <v/>
      </c>
      <c r="AD27" s="1274">
        <f>SUM(AD17:AD26)</f>
        <v/>
      </c>
      <c r="AE27" s="1274">
        <f>SUM(AE17:AE26)</f>
        <v/>
      </c>
      <c r="AF27" s="1274">
        <f>SUM(AF17:AF26)</f>
        <v/>
      </c>
      <c r="AG27" s="1274">
        <f>SUM(AG17:AG26)</f>
        <v/>
      </c>
      <c r="AH27" s="1274">
        <f>SUM(AH17:AH26)</f>
        <v/>
      </c>
      <c r="AI27" s="1274">
        <f>SUM(AI17:AI26)</f>
        <v/>
      </c>
      <c r="AJ27" s="1274">
        <f>SUM(AJ17:AJ26)</f>
        <v/>
      </c>
      <c r="AK27" s="1274">
        <f>SUM(AK17:AK26)</f>
        <v/>
      </c>
      <c r="AL27" s="1274">
        <f>SUM(AL17:AL26)</f>
        <v/>
      </c>
      <c r="AM27" s="1274">
        <f>SUM(AM17:AM26)</f>
        <v/>
      </c>
      <c r="AN27" s="1274">
        <f>SUM(AN17:AN26)</f>
        <v/>
      </c>
      <c r="AO27" s="1274">
        <f>SUM(AO17:AO26)</f>
        <v/>
      </c>
      <c r="AP27" s="1274">
        <f>SUM(AP17:AP26)</f>
        <v/>
      </c>
      <c r="AQ27" s="1274">
        <f>SUM(AQ17:AQ26)</f>
        <v/>
      </c>
      <c r="AR27" s="1274">
        <f>SUM(AR17:AR26)</f>
        <v/>
      </c>
      <c r="AS27" s="1274">
        <f>SUM(AS17:AS26)</f>
        <v/>
      </c>
      <c r="AT27" s="1274">
        <f>SUM(AT17:AT26)</f>
        <v/>
      </c>
      <c r="AU27" s="1274">
        <f>SUM(AU17:AU26)</f>
        <v/>
      </c>
      <c r="AV27" s="1274">
        <f>SUM(AV17:AV26)</f>
        <v/>
      </c>
      <c r="AW27" s="1274">
        <f>SUM(AW17:AW26)</f>
        <v/>
      </c>
      <c r="AX27" s="1274">
        <f>SUM(AX17:AX26)</f>
        <v/>
      </c>
      <c r="AY27" s="1274">
        <f>SUM(AY17:AY26)</f>
        <v/>
      </c>
      <c r="AZ27" s="1274">
        <f>SUM(AZ17:AZ26)</f>
        <v/>
      </c>
      <c r="BA27" s="1274">
        <f>SUM(BA17:BA26)</f>
        <v/>
      </c>
      <c r="BB27" s="1274">
        <f>SUM(BB17:BB26)</f>
        <v/>
      </c>
      <c r="BC27" s="1274">
        <f>SUM(BC17:BC26)</f>
        <v/>
      </c>
      <c r="BD27" s="1274">
        <f>SUM(BD17:BD26)</f>
        <v/>
      </c>
      <c r="BE27" s="1274">
        <f>SUM(BE17:BE26)</f>
        <v/>
      </c>
      <c r="BF27" s="1274">
        <f>SUM(BF17:BF26)</f>
        <v/>
      </c>
      <c r="BG27" s="1274">
        <f>SUM(BG17:BG26)</f>
        <v/>
      </c>
      <c r="BH27" s="1274">
        <f>SUM(BH17:BH26)</f>
        <v/>
      </c>
      <c r="BI27" s="1274">
        <f>SUM(BI17:BI26)</f>
        <v/>
      </c>
      <c r="BJ27" s="1274">
        <f>SUM(BJ17:BJ26)</f>
        <v/>
      </c>
      <c r="BK27" s="1274">
        <f>SUM(BK17:BK26)</f>
        <v/>
      </c>
      <c r="BL27" s="1274">
        <f>SUM(BL17:BL26)</f>
        <v/>
      </c>
      <c r="BM27" s="1274">
        <f>SUM(BM17:BM26)</f>
        <v/>
      </c>
    </row>
    <row r="28" ht="20.1" customHeight="1">
      <c r="A28" s="940" t="inlineStr">
        <is>
          <t>Van 3(Yamethin New Market)</t>
        </is>
      </c>
      <c r="B28" s="783" t="inlineStr">
        <is>
          <t>ရမည်းသင်း</t>
        </is>
      </c>
      <c r="C28" s="784" t="inlineStr">
        <is>
          <t>Van 3-1</t>
        </is>
      </c>
      <c r="D28" s="740" t="inlineStr">
        <is>
          <t>ကန်သာအေး၊ထူးကုန်း၊ဘွတ်ရွာ၊‌ဗျဥ်းကတ်</t>
        </is>
      </c>
      <c r="E28" s="756" t="inlineStr">
        <is>
          <t>4 Days</t>
        </is>
      </c>
      <c r="F28" s="756" t="n">
        <v>40</v>
      </c>
      <c r="G28" s="756" t="n">
        <v>40</v>
      </c>
      <c r="H28" s="806" t="n">
        <v>22</v>
      </c>
      <c r="I28" s="807" t="n">
        <v>0.55</v>
      </c>
      <c r="J28" s="1275" t="n"/>
      <c r="K28" s="1275" t="n"/>
      <c r="L28" s="1275" t="n"/>
      <c r="M28" s="1275" t="n"/>
      <c r="N28" s="1275" t="n"/>
      <c r="O28" s="1275" t="n"/>
      <c r="P28" s="1275" t="n"/>
      <c r="Q28" s="1275" t="n"/>
      <c r="R28" s="1275" t="n"/>
      <c r="S28" s="1275" t="n"/>
      <c r="T28" s="1275" t="n"/>
      <c r="U28" s="1275" t="n"/>
      <c r="V28" s="1275" t="n"/>
      <c r="W28" s="1275" t="n"/>
      <c r="X28" s="1275" t="n"/>
      <c r="Y28" s="1275" t="n"/>
      <c r="Z28" s="1275">
        <f>6*14</f>
        <v/>
      </c>
      <c r="AA28" s="1275" t="n"/>
      <c r="AB28" s="1275" t="n"/>
      <c r="AC28" s="1275">
        <f>2*12</f>
        <v/>
      </c>
      <c r="AD28" s="1275" t="n"/>
      <c r="AE28" s="1275" t="n"/>
      <c r="AF28" s="1275" t="n"/>
      <c r="AG28" s="1275" t="n"/>
      <c r="AH28" s="1275" t="n"/>
      <c r="AI28" s="1275" t="n"/>
      <c r="AJ28" s="1275" t="n"/>
      <c r="AK28" s="1275" t="n"/>
      <c r="AL28" s="1275" t="n"/>
      <c r="AM28" s="1275" t="n"/>
      <c r="AN28" s="1275" t="n"/>
      <c r="AO28" s="1275">
        <f>11*12</f>
        <v/>
      </c>
      <c r="AP28" s="1275" t="n"/>
      <c r="AQ28" s="1275">
        <f>5*24</f>
        <v/>
      </c>
      <c r="AR28" s="1275" t="n"/>
      <c r="AS28" s="1275">
        <f>14*12</f>
        <v/>
      </c>
      <c r="AT28" s="1275" t="n"/>
      <c r="AU28" s="1275" t="n"/>
      <c r="AV28" s="1275" t="n"/>
      <c r="AW28" s="1275">
        <f>2*12</f>
        <v/>
      </c>
      <c r="AX28" s="1275" t="n"/>
      <c r="AY28" s="1275" t="n">
        <v>24</v>
      </c>
      <c r="AZ28" s="1275" t="n"/>
      <c r="BA28" s="1275">
        <f>7*12</f>
        <v/>
      </c>
      <c r="BB28" s="1275" t="n"/>
      <c r="BC28" s="1275" t="n"/>
      <c r="BD28" s="1275" t="n"/>
      <c r="BE28" s="1275" t="n"/>
      <c r="BF28" s="1275" t="n"/>
      <c r="BG28" s="1275" t="n"/>
      <c r="BH28" s="1275" t="n"/>
      <c r="BI28" s="1275" t="n"/>
      <c r="BJ28" s="1275" t="n"/>
      <c r="BK28" s="1275" t="n"/>
      <c r="BL28" s="1269">
        <f>BJ28+BH28+BF28+AZ28+AX28+AV28+AR28+AP28+AN28+AL28+AJ28+AH28+AF28+AD28+AB28+AB28+Z28+X28+V28+T28+P28+N28+L28+J28</f>
        <v/>
      </c>
      <c r="BM28" s="1270">
        <f>BK28+BI28+BG28+BA28+AY28+AW28+AS28+AQ28+AQ28+AO28+AM28+AK28+AI28+AG28+AE28+AC28+AA28+Y28+W28+U28+Q28+O28+M28+K28</f>
        <v/>
      </c>
    </row>
    <row r="29" ht="20.1" customHeight="1">
      <c r="A29" s="972" t="n"/>
      <c r="B29" s="783" t="inlineStr">
        <is>
          <t>ရမည်းသင်း</t>
        </is>
      </c>
      <c r="C29" s="784" t="inlineStr">
        <is>
          <t>Van 3-2</t>
        </is>
      </c>
      <c r="D29" s="740" t="inlineStr">
        <is>
          <t>ကင်မွန်းခြုံ၊ဇီးဖြူးကုန်း၊ညောင်အိုင်၊ထီးလှိုင်</t>
        </is>
      </c>
      <c r="E29" s="756" t="inlineStr">
        <is>
          <t>4 Days</t>
        </is>
      </c>
      <c r="F29" s="756" t="n">
        <v>40</v>
      </c>
      <c r="G29" s="756" t="n">
        <v>40</v>
      </c>
      <c r="H29" s="806" t="n">
        <v>20</v>
      </c>
      <c r="I29" s="807" t="n">
        <v>0.5</v>
      </c>
      <c r="J29" s="1275" t="n"/>
      <c r="K29" s="1275" t="n"/>
      <c r="L29" s="1275" t="n"/>
      <c r="M29" s="1275" t="n"/>
      <c r="N29" s="1275" t="n"/>
      <c r="O29" s="1275" t="n"/>
      <c r="P29" s="1275" t="n"/>
      <c r="Q29" s="1275" t="n"/>
      <c r="R29" s="1275" t="n"/>
      <c r="S29" s="1275" t="n"/>
      <c r="T29" s="1275" t="n"/>
      <c r="U29" s="1275" t="n"/>
      <c r="V29" s="1275" t="n"/>
      <c r="W29" s="1275" t="n"/>
      <c r="X29" s="1275" t="n"/>
      <c r="Y29" s="1275">
        <f>9*12</f>
        <v/>
      </c>
      <c r="Z29" s="1275" t="n"/>
      <c r="AA29" s="1275" t="n"/>
      <c r="AB29" s="1275" t="n"/>
      <c r="AC29" s="1275" t="n">
        <v>13</v>
      </c>
      <c r="AD29" s="1275" t="n"/>
      <c r="AE29" s="1275" t="n"/>
      <c r="AF29" s="1275" t="n"/>
      <c r="AG29" s="1275" t="n"/>
      <c r="AH29" s="1275" t="n"/>
      <c r="AI29" s="1275" t="n"/>
      <c r="AJ29" s="1275" t="n"/>
      <c r="AK29" s="1275" t="n"/>
      <c r="AL29" s="1275" t="n"/>
      <c r="AM29" s="1275" t="n"/>
      <c r="AN29" s="1275" t="n"/>
      <c r="AO29" s="1275">
        <f>9*12</f>
        <v/>
      </c>
      <c r="AP29" s="1275" t="n"/>
      <c r="AQ29" s="1275">
        <f>4*24</f>
        <v/>
      </c>
      <c r="AR29" s="1275" t="n"/>
      <c r="AS29" s="1275" t="n"/>
      <c r="AT29" s="1275" t="n"/>
      <c r="AU29" s="1275" t="n"/>
      <c r="AV29" s="1275" t="n"/>
      <c r="AW29" s="1275">
        <f>6*12</f>
        <v/>
      </c>
      <c r="AX29" s="1275" t="n"/>
      <c r="AY29" s="1275" t="n">
        <v>24</v>
      </c>
      <c r="AZ29" s="1275" t="n"/>
      <c r="BA29" s="1275">
        <f>5*12</f>
        <v/>
      </c>
      <c r="BB29" s="1275" t="n"/>
      <c r="BC29" s="1275" t="n"/>
      <c r="BD29" s="1275" t="n"/>
      <c r="BE29" s="1275" t="n"/>
      <c r="BF29" s="1275" t="n"/>
      <c r="BG29" s="1275" t="n"/>
      <c r="BH29" s="1275" t="n"/>
      <c r="BI29" s="1275" t="n"/>
      <c r="BJ29" s="1275" t="n"/>
      <c r="BK29" s="1275" t="n"/>
      <c r="BL29" s="1269">
        <f>BJ29+BH29+BF29+AZ29+AX29+AV29+AR29+AP29+AN29+AL29+AJ29+AH29+AF29+AD29+AB29+AB29+Z29+X29+V29+T29+P29+N29+L29+J29</f>
        <v/>
      </c>
      <c r="BM29" s="1270">
        <f>BK29+BI29+BG29+BA29+AY29+AW29+AS29+AQ29+AQ29+AO29+AM29+AK29+AI29+AG29+AE29+AC29+AA29+Y29+W29+U29+Q29+O29+M29+K29</f>
        <v/>
      </c>
    </row>
    <row r="30" ht="20.1" customHeight="1">
      <c r="A30" s="972" t="n"/>
      <c r="B30" s="783" t="inlineStr">
        <is>
          <t>ရမည်းသင်း</t>
        </is>
      </c>
      <c r="C30" s="784" t="inlineStr">
        <is>
          <t>Van 3-3</t>
        </is>
      </c>
      <c r="D30" s="740" t="inlineStr">
        <is>
          <t>မြို့လှ၊အင်းပေါင်၊ဝါးရုံ၊သရက်ပင်</t>
        </is>
      </c>
      <c r="E30" s="756" t="inlineStr">
        <is>
          <t>4 Days</t>
        </is>
      </c>
      <c r="F30" s="756" t="n">
        <v>52</v>
      </c>
      <c r="G30" s="756" t="n">
        <v>52</v>
      </c>
      <c r="H30" s="806" t="n">
        <v>19</v>
      </c>
      <c r="I30" s="807" t="n">
        <v>0.37</v>
      </c>
      <c r="J30" s="1275" t="n"/>
      <c r="K30" s="1275" t="n"/>
      <c r="L30" s="1275" t="n"/>
      <c r="M30" s="1275" t="n"/>
      <c r="N30" s="1275" t="n"/>
      <c r="O30" s="1275" t="n"/>
      <c r="P30" s="1275" t="n"/>
      <c r="Q30" s="1275" t="n"/>
      <c r="R30" s="1275" t="n"/>
      <c r="S30" s="1275" t="n"/>
      <c r="T30" s="1275" t="n"/>
      <c r="U30" s="1275" t="n"/>
      <c r="V30" s="1275" t="n"/>
      <c r="W30" s="1275" t="n"/>
      <c r="X30" s="1275" t="n"/>
      <c r="Y30" s="1275" t="n"/>
      <c r="Z30" s="1275" t="n">
        <v>14</v>
      </c>
      <c r="AA30" s="1275" t="n"/>
      <c r="AB30" s="1275" t="n"/>
      <c r="AC30" s="1275" t="n"/>
      <c r="AD30" s="1275" t="n"/>
      <c r="AE30" s="1275" t="n"/>
      <c r="AF30" s="1275" t="n"/>
      <c r="AG30" s="1275" t="n"/>
      <c r="AH30" s="1275" t="n"/>
      <c r="AI30" s="1275" t="n"/>
      <c r="AJ30" s="1275" t="n"/>
      <c r="AK30" s="1275" t="n"/>
      <c r="AL30" s="1275" t="n"/>
      <c r="AM30" s="1275" t="n"/>
      <c r="AN30" s="1275" t="n"/>
      <c r="AO30" s="1275">
        <f>15*12</f>
        <v/>
      </c>
      <c r="AP30" s="1275" t="n"/>
      <c r="AQ30" s="1275">
        <f>6*24</f>
        <v/>
      </c>
      <c r="AR30" s="1275" t="n"/>
      <c r="AS30" s="1275" t="n">
        <v>19</v>
      </c>
      <c r="AT30" s="1275" t="n"/>
      <c r="AU30" s="1275" t="n"/>
      <c r="AV30" s="1275" t="n"/>
      <c r="AW30" s="1275">
        <f>5*12</f>
        <v/>
      </c>
      <c r="AX30" s="1275" t="n"/>
      <c r="AY30" s="1275">
        <f>6*12+6</f>
        <v/>
      </c>
      <c r="AZ30" s="1275" t="n"/>
      <c r="BA30" s="1275">
        <f>5*12</f>
        <v/>
      </c>
      <c r="BB30" s="1275" t="n"/>
      <c r="BC30" s="1275" t="n"/>
      <c r="BD30" s="1275" t="n"/>
      <c r="BE30" s="1275" t="n"/>
      <c r="BF30" s="1275" t="n"/>
      <c r="BG30" s="1275" t="n"/>
      <c r="BH30" s="1275" t="n"/>
      <c r="BI30" s="1275" t="n"/>
      <c r="BJ30" s="1275" t="n"/>
      <c r="BK30" s="1275" t="n"/>
      <c r="BL30" s="1269">
        <f>BJ30+BH30+BF30+AZ30+AX30+AV30+AR30+AP30+AN30+AL30+AJ30+AH30+AF30+AD30+AB30+AB30+Z30+X30+V30+T30+P30+N30+L30+J30</f>
        <v/>
      </c>
      <c r="BM30" s="1270">
        <f>BK30+BI30+BG30+BA30+AY30+AW30+AS30+AQ30+AQ30+AO30+AM30+AK30+AI30+AG30+AE30+AC30+AA30+Y30+W30+U30+Q30+O30+M30+K30</f>
        <v/>
      </c>
    </row>
    <row r="31" ht="20.1" customHeight="1">
      <c r="A31" s="972" t="n"/>
      <c r="B31" s="783" t="inlineStr">
        <is>
          <t>ရမည်းသင်း</t>
        </is>
      </c>
      <c r="C31" s="784" t="inlineStr">
        <is>
          <t>Van 3-4</t>
        </is>
      </c>
      <c r="D31" s="740" t="inlineStr">
        <is>
          <t>ခံဘူး၊နန်းလုံ၊ကျီစု၊ရွှေညောင်ဖူး</t>
        </is>
      </c>
      <c r="E31" s="756" t="inlineStr">
        <is>
          <t>4 Days</t>
        </is>
      </c>
      <c r="F31" s="756" t="n">
        <v>24</v>
      </c>
      <c r="G31" s="756" t="n">
        <v>24</v>
      </c>
      <c r="H31" s="806" t="n">
        <v>25</v>
      </c>
      <c r="I31" s="807" t="n">
        <v>0.73</v>
      </c>
      <c r="J31" s="1275" t="n"/>
      <c r="K31" s="1275" t="n"/>
      <c r="L31" s="1275" t="n"/>
      <c r="M31" s="1275" t="n"/>
      <c r="N31" s="1275" t="n"/>
      <c r="O31" s="1275" t="n"/>
      <c r="P31" s="1275" t="n"/>
      <c r="Q31" s="1275" t="n"/>
      <c r="R31" s="1275" t="n"/>
      <c r="S31" s="1275" t="n"/>
      <c r="T31" s="1275" t="n"/>
      <c r="U31" s="1275" t="n"/>
      <c r="V31" s="1275" t="n"/>
      <c r="W31" s="1275" t="n"/>
      <c r="X31" s="1275" t="n"/>
      <c r="Y31" s="1275" t="n"/>
      <c r="Z31" s="1275">
        <f>6*14</f>
        <v/>
      </c>
      <c r="AA31" s="1275" t="n"/>
      <c r="AB31" s="1275" t="n"/>
      <c r="AC31" s="1275">
        <f>3*12</f>
        <v/>
      </c>
      <c r="AD31" s="1275" t="n"/>
      <c r="AE31" s="1275" t="n"/>
      <c r="AF31" s="1275" t="n"/>
      <c r="AG31" s="1275" t="n"/>
      <c r="AH31" s="1275" t="n"/>
      <c r="AI31" s="1275" t="n"/>
      <c r="AJ31" s="1275" t="n"/>
      <c r="AK31" s="1275" t="n"/>
      <c r="AL31" s="1275" t="n"/>
      <c r="AM31" s="1275" t="n"/>
      <c r="AN31" s="1275" t="n"/>
      <c r="AO31" s="1275">
        <f>16*12</f>
        <v/>
      </c>
      <c r="AP31" s="1275" t="n"/>
      <c r="AQ31" s="1275">
        <f>10*24</f>
        <v/>
      </c>
      <c r="AR31" s="1275" t="n"/>
      <c r="AS31" s="1275">
        <f>9*12</f>
        <v/>
      </c>
      <c r="AT31" s="1275" t="n"/>
      <c r="AU31" s="1275" t="n"/>
      <c r="AV31" s="1275" t="n"/>
      <c r="AW31" s="1275" t="n"/>
      <c r="AX31" s="1275" t="n"/>
      <c r="AY31" s="1275" t="n"/>
      <c r="AZ31" s="1275" t="n"/>
      <c r="BA31" s="1275" t="n">
        <v>13</v>
      </c>
      <c r="BB31" s="1275" t="n"/>
      <c r="BC31" s="1275" t="n"/>
      <c r="BD31" s="1275" t="n"/>
      <c r="BE31" s="1275" t="n"/>
      <c r="BF31" s="1275" t="n"/>
      <c r="BG31" s="1275" t="n"/>
      <c r="BH31" s="1275" t="n"/>
      <c r="BI31" s="1275" t="n"/>
      <c r="BJ31" s="1275" t="n"/>
      <c r="BK31" s="1275" t="n"/>
      <c r="BL31" s="1269">
        <f>BJ31+BH31+BF31+AZ31+AX31+AV31+AR31+AP31+AN31+AL31+AJ31+AH31+AF31+AD31+AB31+AB31+Z31+X31+V31+T31+P31+N31+L31+J31</f>
        <v/>
      </c>
      <c r="BM31" s="1270">
        <f>BK31+BI31+BG31+BA31+AY31+AW31+AS31+AQ31+AQ31+AO31+AM31+AK31+AI31+AG31+AE31+AC31+AA31+Y31+W31+U31+Q31+O31+M31+K31</f>
        <v/>
      </c>
    </row>
    <row r="32" ht="20.1" customHeight="1">
      <c r="A32" s="972" t="n"/>
      <c r="B32" s="783" t="inlineStr">
        <is>
          <t>ရမည်းသင်း</t>
        </is>
      </c>
      <c r="C32" s="784" t="inlineStr">
        <is>
          <t>Van 3-5</t>
        </is>
      </c>
      <c r="D32" s="740" t="inlineStr">
        <is>
          <t>ဈေးကုန်းကြီး၊အင်းကုန်း၊အလယ်ကုန်း</t>
        </is>
      </c>
      <c r="E32" s="756" t="inlineStr">
        <is>
          <t>4 Days</t>
        </is>
      </c>
      <c r="F32" s="756" t="n">
        <v>20</v>
      </c>
      <c r="G32" s="756" t="n">
        <v>20</v>
      </c>
      <c r="H32" s="806" t="n">
        <v>18</v>
      </c>
      <c r="I32" s="807" t="n">
        <v>0.9</v>
      </c>
      <c r="J32" s="1275" t="n"/>
      <c r="K32" s="1275" t="n"/>
      <c r="L32" s="1275" t="n"/>
      <c r="M32" s="1275" t="n"/>
      <c r="N32" s="1275" t="n"/>
      <c r="O32" s="1275" t="n"/>
      <c r="P32" s="1275" t="n"/>
      <c r="Q32" s="1275" t="n"/>
      <c r="R32" s="1275" t="n"/>
      <c r="S32" s="1275" t="n"/>
      <c r="T32" s="1275" t="n"/>
      <c r="U32" s="1275" t="n"/>
      <c r="V32" s="1275" t="n"/>
      <c r="W32" s="1275" t="n"/>
      <c r="X32" s="1275" t="n"/>
      <c r="Y32" s="1275">
        <f>5*12</f>
        <v/>
      </c>
      <c r="Z32" s="1275">
        <f>3*14</f>
        <v/>
      </c>
      <c r="AA32" s="1275" t="n"/>
      <c r="AB32" s="1275" t="n"/>
      <c r="AC32" s="1275" t="n"/>
      <c r="AD32" s="1275" t="n"/>
      <c r="AE32" s="1275" t="n"/>
      <c r="AF32" s="1275" t="n"/>
      <c r="AG32" s="1275" t="n"/>
      <c r="AH32" s="1275" t="n"/>
      <c r="AI32" s="1275" t="n"/>
      <c r="AJ32" s="1275" t="n"/>
      <c r="AK32" s="1275" t="n"/>
      <c r="AL32" s="1275" t="n"/>
      <c r="AM32" s="1275" t="n"/>
      <c r="AN32" s="1275" t="n"/>
      <c r="AO32" s="1275">
        <f>7*12</f>
        <v/>
      </c>
      <c r="AP32" s="1275" t="n"/>
      <c r="AQ32" s="1275">
        <f>3*24</f>
        <v/>
      </c>
      <c r="AR32" s="1275" t="n"/>
      <c r="AS32" s="1275" t="n"/>
      <c r="AT32" s="1275" t="n"/>
      <c r="AU32" s="1275" t="n"/>
      <c r="AV32" s="1275" t="n"/>
      <c r="AW32" s="1275">
        <f>5*12</f>
        <v/>
      </c>
      <c r="AX32" s="1275" t="n"/>
      <c r="AY32" s="1275" t="n">
        <v>25</v>
      </c>
      <c r="AZ32" s="1275" t="n"/>
      <c r="BA32" s="1275">
        <f>16*12</f>
        <v/>
      </c>
      <c r="BB32" s="1275" t="n"/>
      <c r="BC32" s="1275" t="n"/>
      <c r="BD32" s="1275" t="n"/>
      <c r="BE32" s="1275" t="n"/>
      <c r="BF32" s="1275" t="n"/>
      <c r="BG32" s="1275" t="n"/>
      <c r="BH32" s="1275" t="n"/>
      <c r="BI32" s="1275" t="n"/>
      <c r="BJ32" s="1275" t="n"/>
      <c r="BK32" s="1275" t="n"/>
      <c r="BL32" s="1269">
        <f>BJ32+BH32+BF32+AZ32+AX32+AV32+AR32+AP32+AN32+AL32+AJ32+AH32+AF32+AD32+AB32+AB32+Z32+X32+V32+T32+P32+N32+L32+J32</f>
        <v/>
      </c>
      <c r="BM32" s="1270">
        <f>BK32+BI32+BG32+BA32+AY32+AW32+AS32+AQ32+AQ32+AO32+AM32+AK32+AI32+AG32+AE32+AC32+AA32+Y32+W32+U32+Q32+O32+M32+K32</f>
        <v/>
      </c>
    </row>
    <row r="33" ht="20.1" customHeight="1">
      <c r="A33" s="972" t="n"/>
      <c r="B33" s="783" t="inlineStr">
        <is>
          <t>ရမည်းသင်း</t>
        </is>
      </c>
      <c r="C33" s="784" t="inlineStr">
        <is>
          <t>Van 3-6</t>
        </is>
      </c>
      <c r="D33" s="740" t="inlineStr">
        <is>
          <t>ရွာတန်း၊ရွှေတောင်ကုန်း၊ဂွေးကုန်း၊ရွှေကုန်း</t>
        </is>
      </c>
      <c r="E33" s="756" t="inlineStr">
        <is>
          <t>4 Days</t>
        </is>
      </c>
      <c r="F33" s="756" t="n">
        <v>36</v>
      </c>
      <c r="G33" s="756" t="n">
        <v>36</v>
      </c>
      <c r="H33" s="806" t="n">
        <v>17</v>
      </c>
      <c r="I33" s="807" t="n">
        <v>0.47</v>
      </c>
      <c r="J33" s="1275" t="n"/>
      <c r="K33" s="1275" t="n"/>
      <c r="L33" s="1275" t="n"/>
      <c r="M33" s="1275" t="n"/>
      <c r="N33" s="1275" t="n"/>
      <c r="O33" s="1275" t="n"/>
      <c r="P33" s="1275" t="n"/>
      <c r="Q33" s="1275" t="n"/>
      <c r="R33" s="1275" t="n"/>
      <c r="S33" s="1275" t="n"/>
      <c r="T33" s="1275" t="n"/>
      <c r="U33" s="1275" t="n"/>
      <c r="V33" s="1275" t="n"/>
      <c r="W33" s="1275" t="n"/>
      <c r="X33" s="1275" t="n"/>
      <c r="Y33" s="1275">
        <f>5*12</f>
        <v/>
      </c>
      <c r="Z33" s="1275">
        <f>2*14</f>
        <v/>
      </c>
      <c r="AA33" s="1275" t="n"/>
      <c r="AB33" s="1275" t="n"/>
      <c r="AC33" s="1275" t="n"/>
      <c r="AD33" s="1275" t="n"/>
      <c r="AE33" s="1275" t="n"/>
      <c r="AF33" s="1275" t="n"/>
      <c r="AG33" s="1275" t="n"/>
      <c r="AH33" s="1275" t="n"/>
      <c r="AI33" s="1275" t="n"/>
      <c r="AJ33" s="1275" t="n"/>
      <c r="AK33" s="1275" t="n"/>
      <c r="AL33" s="1275" t="n"/>
      <c r="AM33" s="1275" t="n"/>
      <c r="AN33" s="1275" t="n"/>
      <c r="AO33" s="1275">
        <f>23*12</f>
        <v/>
      </c>
      <c r="AP33" s="1275" t="n"/>
      <c r="AQ33" s="1275">
        <f>6*24</f>
        <v/>
      </c>
      <c r="AR33" s="1275" t="n"/>
      <c r="AS33" s="1275" t="n"/>
      <c r="AT33" s="1275" t="n"/>
      <c r="AU33" s="1275" t="n"/>
      <c r="AV33" s="1275" t="n"/>
      <c r="AW33" s="1275" t="n"/>
      <c r="AX33" s="1275" t="n"/>
      <c r="AY33" s="1275">
        <f>3*24</f>
        <v/>
      </c>
      <c r="AZ33" s="1275" t="n"/>
      <c r="BA33" s="1275" t="n"/>
      <c r="BB33" s="1275" t="n"/>
      <c r="BC33" s="1275" t="n"/>
      <c r="BD33" s="1275" t="n"/>
      <c r="BE33" s="1275" t="n"/>
      <c r="BF33" s="1275" t="n"/>
      <c r="BG33" s="1275" t="n"/>
      <c r="BH33" s="1275" t="n"/>
      <c r="BI33" s="1275" t="n"/>
      <c r="BJ33" s="1275" t="n"/>
      <c r="BK33" s="1275" t="n"/>
      <c r="BL33" s="1269">
        <f>BJ33+BH33+BF33+AZ33+AX33+AV33+AR33+AP33+AN33+AL33+AJ33+AH33+AF33+AD33+AB33+AB33+Z33+X33+V33+T33+P33+N33+L33+J33</f>
        <v/>
      </c>
      <c r="BM33" s="1270">
        <f>BK33+BI33+BG33+BA33+AY33+AW33+AS33+AQ33+AQ33+AO33+AM33+AK33+AI33+AG33+AE33+AC33+AA33+Y33+W33+U33+Q33+O33+M33+K33</f>
        <v/>
      </c>
    </row>
    <row r="34" ht="20.1" customHeight="1" thickBot="1">
      <c r="A34" s="972" t="n"/>
      <c r="B34" s="809" t="n"/>
      <c r="C34" s="810" t="n"/>
      <c r="D34" s="810" t="n"/>
      <c r="E34" s="810" t="n"/>
      <c r="F34" s="795">
        <f>SUM(F28:F33)</f>
        <v/>
      </c>
      <c r="G34" s="795">
        <f>SUM(G28:G33)</f>
        <v/>
      </c>
      <c r="H34" s="795">
        <f>SUM(H28:H33)</f>
        <v/>
      </c>
      <c r="I34" s="796" t="n">
        <v>0.57</v>
      </c>
      <c r="J34" s="1276">
        <f>SUM(J28:J33)</f>
        <v/>
      </c>
      <c r="K34" s="1276">
        <f>SUM(K28:K33)</f>
        <v/>
      </c>
      <c r="L34" s="1276">
        <f>SUM(L28:L33)</f>
        <v/>
      </c>
      <c r="M34" s="1276">
        <f>SUM(M28:M33)</f>
        <v/>
      </c>
      <c r="N34" s="1276">
        <f>SUM(N28:N33)</f>
        <v/>
      </c>
      <c r="O34" s="1276">
        <f>SUM(O28:O33)</f>
        <v/>
      </c>
      <c r="P34" s="1276">
        <f>SUM(P28:P33)</f>
        <v/>
      </c>
      <c r="Q34" s="1276">
        <f>SUM(Q28:Q33)</f>
        <v/>
      </c>
      <c r="R34" s="1276">
        <f>SUM(R28:R33)</f>
        <v/>
      </c>
      <c r="S34" s="1276">
        <f>SUM(S28:S33)</f>
        <v/>
      </c>
      <c r="T34" s="1276">
        <f>SUM(T28:T33)</f>
        <v/>
      </c>
      <c r="U34" s="1276">
        <f>SUM(U28:U33)</f>
        <v/>
      </c>
      <c r="V34" s="1276">
        <f>SUM(V28:V33)</f>
        <v/>
      </c>
      <c r="W34" s="1276">
        <f>SUM(W28:W33)</f>
        <v/>
      </c>
      <c r="X34" s="1276">
        <f>SUM(X28:X33)</f>
        <v/>
      </c>
      <c r="Y34" s="1276">
        <f>SUM(Y28:Y33)</f>
        <v/>
      </c>
      <c r="Z34" s="1276">
        <f>SUM(Z28:Z33)</f>
        <v/>
      </c>
      <c r="AA34" s="1276">
        <f>SUM(AA28:AA33)</f>
        <v/>
      </c>
      <c r="AB34" s="1276">
        <f>SUM(AB28:AB33)</f>
        <v/>
      </c>
      <c r="AC34" s="1276">
        <f>SUM(AC28:AC33)</f>
        <v/>
      </c>
      <c r="AD34" s="1276">
        <f>SUM(AD28:AD33)</f>
        <v/>
      </c>
      <c r="AE34" s="1276">
        <f>SUM(AE28:AE33)</f>
        <v/>
      </c>
      <c r="AF34" s="1276">
        <f>SUM(AF28:AF33)</f>
        <v/>
      </c>
      <c r="AG34" s="1276">
        <f>SUM(AG28:AG33)</f>
        <v/>
      </c>
      <c r="AH34" s="1276">
        <f>SUM(AH28:AH33)</f>
        <v/>
      </c>
      <c r="AI34" s="1276">
        <f>SUM(AI28:AI33)</f>
        <v/>
      </c>
      <c r="AJ34" s="1276">
        <f>SUM(AJ28:AJ33)</f>
        <v/>
      </c>
      <c r="AK34" s="1276">
        <f>SUM(AK28:AK33)</f>
        <v/>
      </c>
      <c r="AL34" s="1276">
        <f>SUM(AL28:AL33)</f>
        <v/>
      </c>
      <c r="AM34" s="1276">
        <f>SUM(AM28:AM33)</f>
        <v/>
      </c>
      <c r="AN34" s="1276">
        <f>SUM(AN28:AN33)</f>
        <v/>
      </c>
      <c r="AO34" s="1276">
        <f>SUM(AO28:AO33)</f>
        <v/>
      </c>
      <c r="AP34" s="1276">
        <f>SUM(AP28:AP33)</f>
        <v/>
      </c>
      <c r="AQ34" s="1276">
        <f>SUM(AQ28:AQ33)</f>
        <v/>
      </c>
      <c r="AR34" s="1276">
        <f>SUM(AR28:AR33)</f>
        <v/>
      </c>
      <c r="AS34" s="1276">
        <f>SUM(AS28:AS33)</f>
        <v/>
      </c>
      <c r="AT34" s="1276">
        <f>SUM(AT28:AT33)</f>
        <v/>
      </c>
      <c r="AU34" s="1276">
        <f>SUM(AU28:AU33)</f>
        <v/>
      </c>
      <c r="AV34" s="1276">
        <f>SUM(AV28:AV33)</f>
        <v/>
      </c>
      <c r="AW34" s="1276">
        <f>SUM(AW28:AW33)</f>
        <v/>
      </c>
      <c r="AX34" s="1276">
        <f>SUM(AX28:AX33)</f>
        <v/>
      </c>
      <c r="AY34" s="1276">
        <f>SUM(AY28:AY33)</f>
        <v/>
      </c>
      <c r="AZ34" s="1276">
        <f>SUM(AZ28:AZ33)</f>
        <v/>
      </c>
      <c r="BA34" s="1276">
        <f>SUM(BA28:BA33)</f>
        <v/>
      </c>
      <c r="BB34" s="1276">
        <f>SUM(BB28:BB33)</f>
        <v/>
      </c>
      <c r="BC34" s="1276">
        <f>SUM(BC28:BC33)</f>
        <v/>
      </c>
      <c r="BD34" s="1276">
        <f>SUM(BD28:BD33)</f>
        <v/>
      </c>
      <c r="BE34" s="1276">
        <f>SUM(BE28:BE33)</f>
        <v/>
      </c>
      <c r="BF34" s="1276">
        <f>SUM(BF28:BF33)</f>
        <v/>
      </c>
      <c r="BG34" s="1276">
        <f>SUM(BG28:BG33)</f>
        <v/>
      </c>
      <c r="BH34" s="1276">
        <f>SUM(BH28:BH33)</f>
        <v/>
      </c>
      <c r="BI34" s="1276">
        <f>SUM(BI28:BI33)</f>
        <v/>
      </c>
      <c r="BJ34" s="1276">
        <f>SUM(BJ28:BJ33)</f>
        <v/>
      </c>
      <c r="BK34" s="1276">
        <f>SUM(BK28:BK33)</f>
        <v/>
      </c>
      <c r="BL34" s="1276">
        <f>SUM(BL28:BL33)</f>
        <v/>
      </c>
      <c r="BM34" s="1276">
        <f>SUM(BM28:BM33)</f>
        <v/>
      </c>
    </row>
    <row r="35" ht="20.1" customFormat="1" customHeight="1" s="698">
      <c r="A35" s="972" t="n"/>
      <c r="B35" s="822" t="inlineStr">
        <is>
          <t>Total</t>
        </is>
      </c>
      <c r="C35" s="823" t="n"/>
      <c r="D35" s="823" t="n"/>
      <c r="E35" s="823" t="n"/>
      <c r="F35" s="824">
        <f>F34+F27+F16</f>
        <v/>
      </c>
      <c r="G35" s="824">
        <f>G34+G27+G16</f>
        <v/>
      </c>
      <c r="H35" s="824">
        <f>H34+H27+H16</f>
        <v/>
      </c>
      <c r="I35" s="826">
        <f>H35/G35%</f>
        <v/>
      </c>
      <c r="J35" s="1277">
        <f>J34+J27+J16</f>
        <v/>
      </c>
      <c r="K35" s="1277">
        <f>K34+K27+K16</f>
        <v/>
      </c>
      <c r="L35" s="1277">
        <f>L34+L27+L16</f>
        <v/>
      </c>
      <c r="M35" s="1277">
        <f>M34+M27+M16</f>
        <v/>
      </c>
      <c r="N35" s="1277">
        <f>N34+N27+N16</f>
        <v/>
      </c>
      <c r="O35" s="1277">
        <f>O34+O27+O16</f>
        <v/>
      </c>
      <c r="P35" s="1277">
        <f>P34+P27+P16</f>
        <v/>
      </c>
      <c r="Q35" s="1277">
        <f>Q34+Q27+Q16</f>
        <v/>
      </c>
      <c r="R35" s="1277">
        <f>R34+R27+R16</f>
        <v/>
      </c>
      <c r="S35" s="1277">
        <f>S34+S27+S16</f>
        <v/>
      </c>
      <c r="T35" s="1277">
        <f>T34+T27+T16</f>
        <v/>
      </c>
      <c r="U35" s="1277">
        <f>U34+U27+U16</f>
        <v/>
      </c>
      <c r="V35" s="1277">
        <f>V34+V27+V16</f>
        <v/>
      </c>
      <c r="W35" s="1277">
        <f>W34+W27+W16</f>
        <v/>
      </c>
      <c r="X35" s="1277">
        <f>X34+X27+X16</f>
        <v/>
      </c>
      <c r="Y35" s="1277">
        <f>Y34+Y27+Y16</f>
        <v/>
      </c>
      <c r="Z35" s="1277">
        <f>Z34+Z27+Z16</f>
        <v/>
      </c>
      <c r="AA35" s="1277">
        <f>AA34+AA27+AA16</f>
        <v/>
      </c>
      <c r="AB35" s="1277">
        <f>AB34+AB27+AB16</f>
        <v/>
      </c>
      <c r="AC35" s="1277">
        <f>AC34+AC27+AC16</f>
        <v/>
      </c>
      <c r="AD35" s="1277">
        <f>AD34+AD27+AD16</f>
        <v/>
      </c>
      <c r="AE35" s="1277">
        <f>AE34+AE27+AE16</f>
        <v/>
      </c>
      <c r="AF35" s="1277">
        <f>AF34+AF27+AF16</f>
        <v/>
      </c>
      <c r="AG35" s="1277">
        <f>AG34+AG27+AG16</f>
        <v/>
      </c>
      <c r="AH35" s="1277">
        <f>AH34+AH27+AH16</f>
        <v/>
      </c>
      <c r="AI35" s="1277">
        <f>AI34+AI27+AI16</f>
        <v/>
      </c>
      <c r="AJ35" s="1277">
        <f>AJ34+AJ27+AJ16</f>
        <v/>
      </c>
      <c r="AK35" s="1277">
        <f>AK34+AK27+AK16</f>
        <v/>
      </c>
      <c r="AL35" s="1277">
        <f>AL34+AL27+AL16</f>
        <v/>
      </c>
      <c r="AM35" s="1277">
        <f>AM34+AM27+AM16</f>
        <v/>
      </c>
      <c r="AN35" s="1277">
        <f>AN34+AN27+AN16</f>
        <v/>
      </c>
      <c r="AO35" s="1277">
        <f>AO34+AO27+AO16</f>
        <v/>
      </c>
      <c r="AP35" s="1277">
        <f>AP34+AP27+AP16</f>
        <v/>
      </c>
      <c r="AQ35" s="1277">
        <f>AQ34+AQ27+AQ16</f>
        <v/>
      </c>
      <c r="AR35" s="1277">
        <f>AR34+AR27+AR16</f>
        <v/>
      </c>
      <c r="AS35" s="1277">
        <f>AS34+AS27+AS16</f>
        <v/>
      </c>
      <c r="AT35" s="1277">
        <f>AT34+AT27+AT16</f>
        <v/>
      </c>
      <c r="AU35" s="1277">
        <f>AU34+AU27+AU16</f>
        <v/>
      </c>
      <c r="AV35" s="1277">
        <f>AV34+AV27+AV16</f>
        <v/>
      </c>
      <c r="AW35" s="1277">
        <f>AW34+AW27+AW16</f>
        <v/>
      </c>
      <c r="AX35" s="1277">
        <f>AX34+AX27+AX16</f>
        <v/>
      </c>
      <c r="AY35" s="1277">
        <f>AY34+AY27+AY16</f>
        <v/>
      </c>
      <c r="AZ35" s="1277">
        <f>AZ34+AZ27+AZ16</f>
        <v/>
      </c>
      <c r="BA35" s="1277">
        <f>BA34+BA27+BA16</f>
        <v/>
      </c>
      <c r="BB35" s="1277">
        <f>BB34+BB27+BB16</f>
        <v/>
      </c>
      <c r="BC35" s="1277">
        <f>BC34+BC27+BC16</f>
        <v/>
      </c>
      <c r="BD35" s="1277">
        <f>BD34+BD27+BD16</f>
        <v/>
      </c>
      <c r="BE35" s="1277">
        <f>BE34+BE27+BE16</f>
        <v/>
      </c>
      <c r="BF35" s="1277">
        <f>BF34+BF27+BF16</f>
        <v/>
      </c>
      <c r="BG35" s="1277">
        <f>BG34+BG27+BG16</f>
        <v/>
      </c>
      <c r="BH35" s="1277">
        <f>BH34+BH27+BH16</f>
        <v/>
      </c>
      <c r="BI35" s="1277">
        <f>BI34+BI27+BI16</f>
        <v/>
      </c>
      <c r="BJ35" s="1277">
        <f>BJ34+BJ27+BJ16</f>
        <v/>
      </c>
      <c r="BK35" s="1277">
        <f>BK34+BK27+BK16</f>
        <v/>
      </c>
      <c r="BL35" s="1277">
        <f>BL34+BL27+BL16</f>
        <v/>
      </c>
      <c r="BM35" s="1277">
        <f>BM34+BM27+BM16</f>
        <v/>
      </c>
    </row>
    <row r="36" hidden="1" ht="20.1" customHeight="1" thickBot="1">
      <c r="A36" s="973" t="n"/>
      <c r="B36" s="812" t="n"/>
      <c r="C36" s="813" t="n"/>
      <c r="D36" s="813" t="n"/>
      <c r="E36" s="813" t="n"/>
      <c r="F36" s="813" t="n"/>
      <c r="G36" s="813" t="n"/>
      <c r="H36" s="813" t="n"/>
      <c r="I36" s="813" t="n"/>
      <c r="J36" s="1278">
        <f>J16+J27</f>
        <v/>
      </c>
      <c r="K36" s="1278">
        <f>K16+K27</f>
        <v/>
      </c>
      <c r="L36" s="1278">
        <f>L16+L27</f>
        <v/>
      </c>
      <c r="M36" s="1278">
        <f>M16+M27</f>
        <v/>
      </c>
      <c r="N36" s="1278">
        <f>N16+N27</f>
        <v/>
      </c>
      <c r="O36" s="1278">
        <f>O16+O27</f>
        <v/>
      </c>
      <c r="P36" s="1278">
        <f>P16+P27</f>
        <v/>
      </c>
      <c r="Q36" s="1278">
        <f>Q16+Q27</f>
        <v/>
      </c>
      <c r="R36" s="1278">
        <f>R16+R27</f>
        <v/>
      </c>
      <c r="S36" s="1278">
        <f>S16+S27</f>
        <v/>
      </c>
      <c r="T36" s="1278">
        <f>T16+T27</f>
        <v/>
      </c>
      <c r="U36" s="1278">
        <f>U16+U27</f>
        <v/>
      </c>
      <c r="V36" s="1278">
        <f>V16+V27</f>
        <v/>
      </c>
      <c r="W36" s="1278">
        <f>W16+W27</f>
        <v/>
      </c>
      <c r="X36" s="1278">
        <f>X16+X27</f>
        <v/>
      </c>
      <c r="Y36" s="1278">
        <f>Y16+Y27</f>
        <v/>
      </c>
      <c r="Z36" s="1278">
        <f>Z16+Z27</f>
        <v/>
      </c>
      <c r="AA36" s="1278">
        <f>AA16+AA27</f>
        <v/>
      </c>
      <c r="AB36" s="1278">
        <f>AB16+AB27</f>
        <v/>
      </c>
      <c r="AC36" s="1278">
        <f>AC16+AC27</f>
        <v/>
      </c>
      <c r="AD36" s="1278">
        <f>AD16+AD27</f>
        <v/>
      </c>
      <c r="AE36" s="1278">
        <f>AE16+AE27</f>
        <v/>
      </c>
      <c r="AF36" s="1278">
        <f>AF16+AF27</f>
        <v/>
      </c>
      <c r="AG36" s="1278">
        <f>AG16+AG27</f>
        <v/>
      </c>
      <c r="AH36" s="1278">
        <f>AH16+AH27</f>
        <v/>
      </c>
      <c r="AI36" s="1278">
        <f>AI16+AI27</f>
        <v/>
      </c>
      <c r="AJ36" s="1278">
        <f>AJ16+AJ27</f>
        <v/>
      </c>
      <c r="AK36" s="1278">
        <f>AK16+AK27</f>
        <v/>
      </c>
      <c r="AL36" s="1278">
        <f>AL16+AL27</f>
        <v/>
      </c>
      <c r="AM36" s="1278">
        <f>AM16+AM27</f>
        <v/>
      </c>
      <c r="AN36" s="1278">
        <f>AN16+AN27</f>
        <v/>
      </c>
      <c r="AO36" s="1278">
        <f>AO16+AO27</f>
        <v/>
      </c>
      <c r="AP36" s="1278">
        <f>AP16+AP27</f>
        <v/>
      </c>
      <c r="AQ36" s="1278">
        <f>AQ16+AQ27</f>
        <v/>
      </c>
      <c r="AR36" s="1278">
        <f>AR16+AR27</f>
        <v/>
      </c>
      <c r="AS36" s="1278">
        <f>AS16+AS27</f>
        <v/>
      </c>
      <c r="AT36" s="1278">
        <f>AT16+AT27</f>
        <v/>
      </c>
      <c r="AU36" s="1278">
        <f>AU16+AU27</f>
        <v/>
      </c>
      <c r="AV36" s="1278">
        <f>AV16+AV27</f>
        <v/>
      </c>
      <c r="AW36" s="1278">
        <f>AW16+AW27</f>
        <v/>
      </c>
      <c r="AX36" s="1278">
        <f>AX16+AX27</f>
        <v/>
      </c>
      <c r="AY36" s="1278">
        <f>AY16+AY27</f>
        <v/>
      </c>
      <c r="AZ36" s="1278">
        <f>AZ16+AZ27</f>
        <v/>
      </c>
      <c r="BA36" s="1278">
        <f>BA16+BA27</f>
        <v/>
      </c>
      <c r="BB36" s="1278">
        <f>BB16+BB27</f>
        <v/>
      </c>
      <c r="BC36" s="1278">
        <f>BC16+BC27</f>
        <v/>
      </c>
      <c r="BD36" s="1278">
        <f>BD16+BD27</f>
        <v/>
      </c>
      <c r="BE36" s="1278">
        <f>BE16+BE27</f>
        <v/>
      </c>
      <c r="BF36" s="1278">
        <f>BF16+BF27</f>
        <v/>
      </c>
      <c r="BG36" s="1278">
        <f>BG16+BG27</f>
        <v/>
      </c>
      <c r="BH36" s="1278">
        <f>BH16+BH27</f>
        <v/>
      </c>
      <c r="BI36" s="1278">
        <f>BI16+BI27</f>
        <v/>
      </c>
      <c r="BJ36" s="1278">
        <f>BJ16+BJ27</f>
        <v/>
      </c>
      <c r="BK36" s="1279">
        <f>BK16+BK27</f>
        <v/>
      </c>
    </row>
    <row r="37" ht="20.1" customHeight="1"/>
    <row r="38" ht="20.1" customHeight="1">
      <c r="BK38" s="1280" t="n"/>
    </row>
    <row r="39">
      <c r="J39" s="767" t="n">
        <v>49</v>
      </c>
    </row>
  </sheetData>
  <mergeCells count="57">
    <mergeCell ref="L2:M2"/>
    <mergeCell ref="P4:Q4"/>
    <mergeCell ref="AX4:AY4"/>
    <mergeCell ref="V2:W2"/>
    <mergeCell ref="BH4:BI4"/>
    <mergeCell ref="X2:Y2"/>
    <mergeCell ref="BJ4:BK4"/>
    <mergeCell ref="N4:O4"/>
    <mergeCell ref="AJ2:AK2"/>
    <mergeCell ref="AL2:AM2"/>
    <mergeCell ref="A1:B1"/>
    <mergeCell ref="R4:S4"/>
    <mergeCell ref="T4:U4"/>
    <mergeCell ref="AF4:AG4"/>
    <mergeCell ref="V4:W4"/>
    <mergeCell ref="AH4:AI4"/>
    <mergeCell ref="AN4:AO4"/>
    <mergeCell ref="BD2:BE2"/>
    <mergeCell ref="A17:A27"/>
    <mergeCell ref="N2:O2"/>
    <mergeCell ref="AV2:AW2"/>
    <mergeCell ref="BH2:BI2"/>
    <mergeCell ref="P2:Q2"/>
    <mergeCell ref="AX2:AY2"/>
    <mergeCell ref="BJ2:BK2"/>
    <mergeCell ref="A5:A15"/>
    <mergeCell ref="AR4:AS4"/>
    <mergeCell ref="AT4:AU4"/>
    <mergeCell ref="AZ4:BA4"/>
    <mergeCell ref="J4:K4"/>
    <mergeCell ref="BB4:BC4"/>
    <mergeCell ref="BD4:BE4"/>
    <mergeCell ref="L4:M4"/>
    <mergeCell ref="T2:U2"/>
    <mergeCell ref="Z2:AA2"/>
    <mergeCell ref="BF4:BG4"/>
    <mergeCell ref="AB2:AC2"/>
    <mergeCell ref="AD2:AE2"/>
    <mergeCell ref="A28:A36"/>
    <mergeCell ref="AF2:AG2"/>
    <mergeCell ref="AN2:AO2"/>
    <mergeCell ref="AP2:AQ2"/>
    <mergeCell ref="X4:Y4"/>
    <mergeCell ref="AJ4:AK4"/>
    <mergeCell ref="Z4:AA4"/>
    <mergeCell ref="AH2:AI2"/>
    <mergeCell ref="AL4:AM4"/>
    <mergeCell ref="J2:K2"/>
    <mergeCell ref="AR2:AS2"/>
    <mergeCell ref="AT2:AU2"/>
    <mergeCell ref="R2:S2"/>
    <mergeCell ref="AZ2:BA2"/>
    <mergeCell ref="BB2:BC2"/>
    <mergeCell ref="BF2:BG2"/>
    <mergeCell ref="AD4:AE4"/>
    <mergeCell ref="AP4:AQ4"/>
    <mergeCell ref="AV4:AW4"/>
  </mergeCells>
  <printOptions horizontalCentered="1"/>
  <pageMargins left="0" right="0" top="0.25" bottom="0" header="0.3" footer="0.3"/>
  <pageSetup orientation="landscape" paperSize="5" scale="8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7"/>
  <sheetViews>
    <sheetView zoomScale="80" zoomScaleNormal="80" workbookViewId="0">
      <selection activeCell="H18" sqref="H18"/>
    </sheetView>
  </sheetViews>
  <sheetFormatPr baseColWidth="8" defaultColWidth="9.109375" defaultRowHeight="19.95" customHeight="1"/>
  <cols>
    <col width="6.6640625" customWidth="1" style="663" min="1" max="1"/>
    <col width="15.109375" bestFit="1" customWidth="1" style="625" min="2" max="2"/>
    <col width="18.109375" customWidth="1" style="625" min="3" max="3"/>
    <col width="19.5546875" bestFit="1" customWidth="1" style="625" min="4" max="4"/>
    <col width="19.6640625" bestFit="1" customWidth="1" style="625" min="5" max="5"/>
    <col width="19.6640625" customWidth="1" style="625" min="6" max="6"/>
    <col width="17.44140625" customWidth="1" style="625" min="7" max="7"/>
    <col width="14.33203125" customWidth="1" style="625" min="8" max="8"/>
    <col width="14.44140625" bestFit="1" customWidth="1" style="625" min="9" max="9"/>
    <col width="15.6640625" bestFit="1" customWidth="1" style="625" min="10" max="10"/>
    <col width="16.5546875" customWidth="1" style="625" min="11" max="11"/>
    <col width="8.33203125" bestFit="1" customWidth="1" style="625" min="12" max="12"/>
    <col width="11.33203125" bestFit="1" customWidth="1" style="625" min="13" max="13"/>
    <col width="9.5546875" bestFit="1" customWidth="1" style="625" min="14" max="14"/>
    <col width="11.5546875" bestFit="1" customWidth="1" style="625" min="15" max="15"/>
    <col width="14.33203125" customWidth="1" style="625" min="16" max="16"/>
    <col width="21.6640625" customWidth="1" style="625" min="17" max="17"/>
    <col width="25.6640625" bestFit="1" customWidth="1" style="625" min="18" max="18"/>
    <col width="11.5546875" bestFit="1" customWidth="1" style="625" min="19" max="19"/>
    <col width="13" bestFit="1" customWidth="1" style="625" min="20" max="20"/>
    <col width="17.6640625" customWidth="1" style="625" min="21" max="21"/>
    <col width="9.109375" customWidth="1" style="625" min="22" max="16384"/>
  </cols>
  <sheetData>
    <row r="1" ht="15.6" customHeight="1">
      <c r="A1" s="1281" t="inlineStr">
        <is>
          <t>Competition Report</t>
        </is>
      </c>
      <c r="B1" s="1161" t="n"/>
      <c r="C1" s="1161" t="n"/>
      <c r="D1" s="1162" t="n"/>
      <c r="E1" s="618" t="n"/>
      <c r="F1" s="618" t="n"/>
      <c r="G1" s="618" t="n"/>
      <c r="H1" s="618" t="n"/>
      <c r="I1" s="619" t="n"/>
      <c r="J1" s="620" t="inlineStr">
        <is>
          <t>DB Margin/Profit</t>
        </is>
      </c>
      <c r="K1" s="621" t="inlineStr">
        <is>
          <t>FOCUS/ Budget</t>
        </is>
      </c>
      <c r="L1" s="622" t="n"/>
      <c r="M1" s="618" t="n"/>
      <c r="N1" s="618" t="inlineStr">
        <is>
          <t>ALCOHOL</t>
        </is>
      </c>
      <c r="O1" s="623" t="inlineStr">
        <is>
          <t>W/S</t>
        </is>
      </c>
      <c r="P1" s="618" t="n"/>
      <c r="Q1" s="619" t="n"/>
      <c r="R1" s="620" t="inlineStr">
        <is>
          <t>FINAL BUYING PRICE</t>
        </is>
      </c>
      <c r="S1" s="622" t="inlineStr">
        <is>
          <t>Customer</t>
        </is>
      </c>
      <c r="T1" s="618" t="inlineStr">
        <is>
          <t>Estimated Sec</t>
        </is>
      </c>
      <c r="U1" s="624" t="n"/>
    </row>
    <row r="2" ht="14.4" customHeight="1" thickBot="1">
      <c r="A2" s="626" t="inlineStr">
        <is>
          <t>Sr.</t>
        </is>
      </c>
      <c r="B2" s="627" t="inlineStr">
        <is>
          <t>Region</t>
        </is>
      </c>
      <c r="C2" s="627" t="inlineStr">
        <is>
          <t>Town</t>
        </is>
      </c>
      <c r="D2" s="627" t="inlineStr">
        <is>
          <t>Company Name</t>
        </is>
      </c>
      <c r="E2" s="627" t="inlineStr">
        <is>
          <t>Distributor</t>
        </is>
      </c>
      <c r="F2" s="627" t="inlineStr">
        <is>
          <t>Township</t>
        </is>
      </c>
      <c r="G2" s="627" t="inlineStr">
        <is>
          <t>Product Name</t>
        </is>
      </c>
      <c r="H2" s="627" t="inlineStr">
        <is>
          <t>DB Landing Price</t>
        </is>
      </c>
      <c r="I2" s="628" t="inlineStr">
        <is>
          <t>DB Selling Price</t>
        </is>
      </c>
      <c r="J2" s="629" t="inlineStr">
        <is>
          <t>Selling- landing</t>
        </is>
      </c>
      <c r="K2" s="630" t="inlineStr">
        <is>
          <t>Product</t>
        </is>
      </c>
      <c r="L2" s="631" t="inlineStr">
        <is>
          <t>Size/ ML</t>
        </is>
      </c>
      <c r="M2" s="627" t="inlineStr">
        <is>
          <t>Packing Size</t>
        </is>
      </c>
      <c r="N2" s="627" t="inlineStr">
        <is>
          <t>ABV %age</t>
        </is>
      </c>
      <c r="O2" s="627" t="inlineStr">
        <is>
          <t>Buying Price</t>
        </is>
      </c>
      <c r="P2" s="627" t="inlineStr">
        <is>
          <t>Freight+Labour</t>
        </is>
      </c>
      <c r="Q2" s="628" t="inlineStr">
        <is>
          <t>Trade promotion( If Any)</t>
        </is>
      </c>
      <c r="R2" s="629" t="inlineStr">
        <is>
          <t>Buying-(Freight+Promotion)</t>
        </is>
      </c>
      <c r="S2" s="631" t="inlineStr">
        <is>
          <t>Selling price</t>
        </is>
      </c>
      <c r="T2" s="627" t="inlineStr">
        <is>
          <t>in cartons</t>
        </is>
      </c>
      <c r="U2" s="632" t="inlineStr">
        <is>
          <t>Remarks</t>
        </is>
      </c>
    </row>
    <row r="3" ht="19.95" customHeight="1">
      <c r="A3" s="633" t="n">
        <v>1</v>
      </c>
      <c r="B3" s="634" t="inlineStr">
        <is>
          <t>MTL</t>
        </is>
      </c>
      <c r="C3" s="634" t="inlineStr">
        <is>
          <t>Meiktila</t>
        </is>
      </c>
      <c r="D3" s="633" t="inlineStr">
        <is>
          <t>Sample Co</t>
        </is>
      </c>
      <c r="E3" s="635" t="inlineStr">
        <is>
          <t>Sample Dist</t>
        </is>
      </c>
      <c r="F3" s="634" t="inlineStr">
        <is>
          <t>Meiktila</t>
        </is>
      </c>
      <c r="G3" s="636" t="inlineStr">
        <is>
          <t>Sample Brand 640ml</t>
        </is>
      </c>
      <c r="H3" s="637" t="n">
        <v>1200</v>
      </c>
      <c r="I3" s="638" t="n">
        <v>1230</v>
      </c>
      <c r="J3" s="639">
        <f>I3-H3</f>
        <v/>
      </c>
      <c r="K3" s="640" t="inlineStr">
        <is>
          <t>FOCUS</t>
        </is>
      </c>
      <c r="L3" s="641" t="n">
        <v>640</v>
      </c>
      <c r="M3" s="642" t="n">
        <v>24</v>
      </c>
      <c r="N3" s="643" t="n">
        <v>0.2</v>
      </c>
      <c r="O3" s="644" t="n">
        <v>1200</v>
      </c>
      <c r="P3" s="642" t="n">
        <v>35</v>
      </c>
      <c r="Q3" s="645" t="n">
        <v>5</v>
      </c>
      <c r="R3" s="639">
        <f>O3+P3-Q3</f>
        <v/>
      </c>
      <c r="S3" s="646" t="n">
        <v>1400</v>
      </c>
      <c r="T3" s="633" t="n">
        <v>300</v>
      </c>
      <c r="U3" s="633" t="inlineStr">
        <is>
          <t>500 By 1Ctn=140Ks</t>
        </is>
      </c>
    </row>
    <row r="4" ht="19.95" customHeight="1">
      <c r="A4" s="647" t="n">
        <v>2</v>
      </c>
      <c r="B4" s="634" t="inlineStr">
        <is>
          <t>မိထ္တီလာ</t>
        </is>
      </c>
      <c r="C4" s="634" t="inlineStr">
        <is>
          <t>ပျော်ဘွယ်</t>
        </is>
      </c>
      <c r="D4" s="633" t="inlineStr">
        <is>
          <t>ဆင်မင်း</t>
        </is>
      </c>
      <c r="E4" s="635" t="inlineStr">
        <is>
          <t>ရွှေဇင်ယော်</t>
        </is>
      </c>
      <c r="F4" s="634" t="inlineStr">
        <is>
          <t>ပျော်ဘွယ်</t>
        </is>
      </c>
      <c r="G4" s="636" t="inlineStr">
        <is>
          <t>ဂျင်သံပုရာ</t>
        </is>
      </c>
      <c r="H4" s="647" t="n">
        <v>1492</v>
      </c>
      <c r="I4" s="637" t="n">
        <v>1512</v>
      </c>
      <c r="J4" s="639">
        <f>I4-H4</f>
        <v/>
      </c>
      <c r="K4" s="640" t="inlineStr">
        <is>
          <t>FOCUS</t>
        </is>
      </c>
      <c r="L4" s="641" t="inlineStr">
        <is>
          <t>640ml</t>
        </is>
      </c>
      <c r="M4" s="647" t="n">
        <v>14</v>
      </c>
      <c r="N4" s="643" t="n">
        <v>0.19</v>
      </c>
      <c r="O4" s="647" t="n">
        <v>1492</v>
      </c>
      <c r="P4" s="635" t="n">
        <v>35</v>
      </c>
      <c r="Q4" s="645" t="n">
        <v>4</v>
      </c>
      <c r="R4" s="639">
        <f>O4+P4-Q4</f>
        <v/>
      </c>
      <c r="S4" s="641" t="n">
        <v>1500</v>
      </c>
      <c r="T4" s="647" t="n">
        <v>3000</v>
      </c>
      <c r="U4" s="633" t="inlineStr">
        <is>
          <t>700 By 1Ctn=140Ks</t>
        </is>
      </c>
    </row>
    <row r="5" ht="19.95" customHeight="1">
      <c r="A5" s="633" t="n">
        <v>3</v>
      </c>
      <c r="B5" s="634" t="inlineStr">
        <is>
          <t>မိထ္တီလာ</t>
        </is>
      </c>
      <c r="C5" s="648" t="inlineStr">
        <is>
          <t>ရမည်းသင်း</t>
        </is>
      </c>
      <c r="D5" s="633" t="inlineStr">
        <is>
          <t>SKK</t>
        </is>
      </c>
      <c r="E5" s="647" t="inlineStr">
        <is>
          <t>စံချိန်(ရွှာတန်း)</t>
        </is>
      </c>
      <c r="F5" s="648" t="inlineStr">
        <is>
          <t>ရမည်းသင်း</t>
        </is>
      </c>
      <c r="G5" s="636" t="inlineStr">
        <is>
          <t>ဆန်းရှိုင်း</t>
        </is>
      </c>
      <c r="H5" s="647" t="n">
        <v>1208</v>
      </c>
      <c r="I5" s="649" t="n">
        <v>1228</v>
      </c>
      <c r="J5" s="639">
        <f>I5-H5</f>
        <v/>
      </c>
      <c r="K5" s="650" t="inlineStr">
        <is>
          <t>Budget</t>
        </is>
      </c>
      <c r="L5" s="651" t="inlineStr">
        <is>
          <t>1000ml</t>
        </is>
      </c>
      <c r="M5" s="647" t="n">
        <v>24</v>
      </c>
      <c r="N5" s="643" t="n">
        <v>0.2</v>
      </c>
      <c r="O5" s="647" t="n">
        <v>1208</v>
      </c>
      <c r="P5" s="647" t="n">
        <v>60</v>
      </c>
      <c r="Q5" s="649" t="n">
        <v>36</v>
      </c>
      <c r="R5" s="639">
        <f>O5+P5-Q5</f>
        <v/>
      </c>
      <c r="S5" s="641" t="n">
        <v>1500</v>
      </c>
      <c r="T5" s="647" t="n">
        <v>1500</v>
      </c>
      <c r="U5" s="648" t="inlineStr">
        <is>
          <t>ကားခ=500ခံ</t>
        </is>
      </c>
    </row>
    <row r="6" ht="19.95" customHeight="1">
      <c r="A6" s="647" t="n">
        <v>4</v>
      </c>
      <c r="B6" s="634" t="inlineStr">
        <is>
          <t>မိထ္တီလာ</t>
        </is>
      </c>
      <c r="C6" s="648" t="inlineStr">
        <is>
          <t>ရမည်းသင်း</t>
        </is>
      </c>
      <c r="D6" s="647" t="inlineStr">
        <is>
          <t>ပန်ဒါ</t>
        </is>
      </c>
      <c r="E6" s="647" t="inlineStr">
        <is>
          <t>ကိုအောင်မိုး</t>
        </is>
      </c>
      <c r="F6" s="648" t="inlineStr">
        <is>
          <t>ရမည်းသင်း</t>
        </is>
      </c>
      <c r="G6" s="636" t="inlineStr">
        <is>
          <t>ပွင့်သစ်ရွှေ</t>
        </is>
      </c>
      <c r="H6" s="647" t="n">
        <v>1000</v>
      </c>
      <c r="I6" s="649" t="n">
        <v>1020</v>
      </c>
      <c r="J6" s="639">
        <f>I6-H6</f>
        <v/>
      </c>
      <c r="K6" s="650" t="inlineStr">
        <is>
          <t xml:space="preserve"> Bu</t>
        </is>
      </c>
      <c r="L6" s="641" t="inlineStr">
        <is>
          <t>600ml</t>
        </is>
      </c>
      <c r="M6" s="647" t="n">
        <v>30</v>
      </c>
      <c r="N6" s="643" t="n">
        <v>0.25</v>
      </c>
      <c r="O6" s="647" t="n">
        <v>1000</v>
      </c>
      <c r="P6" s="647" t="n">
        <v>80</v>
      </c>
      <c r="Q6" s="649" t="n">
        <v>40</v>
      </c>
      <c r="R6" s="639">
        <f>O6+P6-Q6</f>
        <v/>
      </c>
      <c r="S6" s="641" t="n">
        <v>1200</v>
      </c>
      <c r="T6" s="647" t="n">
        <v>500</v>
      </c>
      <c r="U6" s="648" t="n"/>
    </row>
    <row r="7" ht="19.95" customHeight="1">
      <c r="A7" s="633" t="n">
        <v>5</v>
      </c>
      <c r="B7" s="634" t="inlineStr">
        <is>
          <t>မိထ္တီလာ</t>
        </is>
      </c>
      <c r="C7" s="648" t="inlineStr">
        <is>
          <t>ရမည်းသင်း</t>
        </is>
      </c>
      <c r="D7" s="633" t="inlineStr">
        <is>
          <t>Shwe Yi</t>
        </is>
      </c>
      <c r="E7" s="647" t="inlineStr">
        <is>
          <t>ကိုအောင်မိုး</t>
        </is>
      </c>
      <c r="F7" s="648" t="inlineStr">
        <is>
          <t>ရမည်းသင်း</t>
        </is>
      </c>
      <c r="G7" s="636" t="inlineStr">
        <is>
          <t>ကျားခေါင်း</t>
        </is>
      </c>
      <c r="H7" s="647" t="n">
        <v>1300</v>
      </c>
      <c r="I7" s="649" t="n">
        <v>1320</v>
      </c>
      <c r="J7" s="639">
        <f>I7-H7</f>
        <v/>
      </c>
      <c r="K7" s="650" t="inlineStr">
        <is>
          <t>Budget</t>
        </is>
      </c>
      <c r="L7" s="651" t="inlineStr">
        <is>
          <t>1000ml</t>
        </is>
      </c>
      <c r="M7" s="647" t="n">
        <v>12</v>
      </c>
      <c r="N7" s="643" t="n">
        <v>0.2</v>
      </c>
      <c r="O7" s="647" t="n">
        <v>1300</v>
      </c>
      <c r="P7" s="647" t="n">
        <v>75</v>
      </c>
      <c r="Q7" s="649" t="n">
        <v>108</v>
      </c>
      <c r="R7" s="639">
        <f>O7+P7-Q7</f>
        <v/>
      </c>
      <c r="S7" s="641" t="n">
        <v>1500</v>
      </c>
      <c r="T7" s="647" t="n">
        <v>100</v>
      </c>
      <c r="U7" s="648" t="n"/>
    </row>
    <row r="8" ht="19.95" customHeight="1">
      <c r="A8" s="647" t="n">
        <v>6</v>
      </c>
      <c r="B8" s="634" t="inlineStr">
        <is>
          <t>မိထ္တီလာ</t>
        </is>
      </c>
      <c r="C8" s="648" t="inlineStr">
        <is>
          <t>ရမည်းသင်း</t>
        </is>
      </c>
      <c r="D8" s="633" t="inlineStr">
        <is>
          <t>Shwe Yi</t>
        </is>
      </c>
      <c r="E8" s="647" t="inlineStr">
        <is>
          <t>ကိုအောင်မိုး/စံချိန်</t>
        </is>
      </c>
      <c r="F8" s="648" t="inlineStr">
        <is>
          <t>ရမည်းသင်း</t>
        </is>
      </c>
      <c r="G8" s="636" t="inlineStr">
        <is>
          <t>RO</t>
        </is>
      </c>
      <c r="H8" s="647" t="n">
        <v>1371</v>
      </c>
      <c r="I8" s="649" t="n">
        <v>1391</v>
      </c>
      <c r="J8" s="639">
        <f>I8-H8</f>
        <v/>
      </c>
      <c r="K8" s="640" t="inlineStr">
        <is>
          <t>FOCUS</t>
        </is>
      </c>
      <c r="L8" s="641" t="inlineStr">
        <is>
          <t>640ml</t>
        </is>
      </c>
      <c r="M8" s="647" t="n">
        <v>14</v>
      </c>
      <c r="N8" s="652" t="n">
        <v>0.17</v>
      </c>
      <c r="O8" s="647" t="n">
        <v>1371</v>
      </c>
      <c r="P8" s="647" t="n">
        <v>60</v>
      </c>
      <c r="Q8" s="649" t="n">
        <v>6</v>
      </c>
      <c r="R8" s="639">
        <f>O8+P8-Q8</f>
        <v/>
      </c>
      <c r="S8" s="641" t="n">
        <v>1600</v>
      </c>
      <c r="T8" s="647" t="n">
        <v>4200</v>
      </c>
      <c r="U8" s="648" t="n"/>
    </row>
    <row r="9" ht="19.95" customHeight="1">
      <c r="A9" s="633" t="n">
        <v>7</v>
      </c>
      <c r="B9" s="634" t="inlineStr">
        <is>
          <t>မိထ္တီလာ</t>
        </is>
      </c>
      <c r="C9" s="648" t="inlineStr">
        <is>
          <t>ရမည်းသင်း</t>
        </is>
      </c>
      <c r="D9" s="633" t="inlineStr">
        <is>
          <t>MDY</t>
        </is>
      </c>
      <c r="E9" s="647" t="inlineStr">
        <is>
          <t>ကိုအောင်မိုး/စံချိန်</t>
        </is>
      </c>
      <c r="F9" s="648" t="inlineStr">
        <is>
          <t>ရမည်းသင်း</t>
        </is>
      </c>
      <c r="G9" s="648" t="inlineStr">
        <is>
          <t>ဆေးပေါင်းခ</t>
        </is>
      </c>
      <c r="H9" s="647" t="n">
        <v>1414</v>
      </c>
      <c r="I9" s="649" t="n">
        <v>1434</v>
      </c>
      <c r="J9" s="639">
        <f>I9-H9</f>
        <v/>
      </c>
      <c r="K9" s="640" t="inlineStr">
        <is>
          <t>FOCUS</t>
        </is>
      </c>
      <c r="L9" s="641" t="inlineStr">
        <is>
          <t>640ml</t>
        </is>
      </c>
      <c r="M9" s="647" t="n">
        <v>14</v>
      </c>
      <c r="N9" s="643" t="n">
        <v>0.2</v>
      </c>
      <c r="O9" s="647" t="n">
        <v>1414</v>
      </c>
      <c r="P9" s="647" t="n">
        <v>36</v>
      </c>
      <c r="Q9" s="649" t="n">
        <v>71</v>
      </c>
      <c r="R9" s="639">
        <f>O9+P9-Q9</f>
        <v/>
      </c>
      <c r="S9" s="641" t="n">
        <v>1500</v>
      </c>
      <c r="T9" s="647" t="n">
        <v>1000</v>
      </c>
      <c r="U9" s="648" t="n"/>
    </row>
    <row r="10" ht="19.95" customHeight="1">
      <c r="A10" s="647" t="n">
        <v>8</v>
      </c>
      <c r="B10" s="634" t="inlineStr">
        <is>
          <t>မိထ္တီလာ</t>
        </is>
      </c>
      <c r="C10" s="648" t="inlineStr">
        <is>
          <t>ရမည်းသင်း</t>
        </is>
      </c>
      <c r="D10" s="647" t="inlineStr">
        <is>
          <t>MDY</t>
        </is>
      </c>
      <c r="E10" s="647" t="inlineStr">
        <is>
          <t>ကိုအောင်မိုး/စံချိန်</t>
        </is>
      </c>
      <c r="F10" s="648" t="inlineStr">
        <is>
          <t>ရမည်းသင်း</t>
        </is>
      </c>
      <c r="G10" s="648" t="inlineStr">
        <is>
          <t>ဇိမ်</t>
        </is>
      </c>
      <c r="H10" s="647" t="n">
        <v>1300</v>
      </c>
      <c r="I10" s="649" t="n">
        <v>1320</v>
      </c>
      <c r="J10" s="639">
        <f>I10-H10</f>
        <v/>
      </c>
      <c r="K10" s="650" t="inlineStr">
        <is>
          <t>Budget</t>
        </is>
      </c>
      <c r="L10" s="651" t="inlineStr">
        <is>
          <t>1000ml</t>
        </is>
      </c>
      <c r="M10" s="647" t="n">
        <v>12</v>
      </c>
      <c r="N10" s="643" t="n">
        <v>0.25</v>
      </c>
      <c r="O10" s="647" t="n">
        <v>1300</v>
      </c>
      <c r="P10" s="647" t="n">
        <v>25</v>
      </c>
      <c r="Q10" s="649" t="n">
        <v>16</v>
      </c>
      <c r="R10" s="639">
        <f>O10+P10-Q10</f>
        <v/>
      </c>
      <c r="S10" s="641" t="n">
        <v>1400</v>
      </c>
      <c r="T10" s="647" t="n">
        <v>500</v>
      </c>
      <c r="U10" s="648" t="inlineStr">
        <is>
          <t>ရွှေတော</t>
        </is>
      </c>
    </row>
    <row r="11" ht="19.95" customHeight="1">
      <c r="A11" s="633" t="n">
        <v>9</v>
      </c>
      <c r="B11" s="634" t="inlineStr">
        <is>
          <t>မိထ္တီလာ</t>
        </is>
      </c>
      <c r="C11" s="648" t="inlineStr">
        <is>
          <t>ရမည်းသင်း</t>
        </is>
      </c>
      <c r="D11" s="647" t="inlineStr">
        <is>
          <t>မြဟင်္သာ</t>
        </is>
      </c>
      <c r="E11" s="647" t="inlineStr">
        <is>
          <t>ကိုအောင်မိုး/စံချိန်</t>
        </is>
      </c>
      <c r="F11" s="648" t="inlineStr">
        <is>
          <t>ရမည်းသင်း</t>
        </is>
      </c>
      <c r="G11" s="648" t="inlineStr">
        <is>
          <t>မေမြို့ ဝိုင်</t>
        </is>
      </c>
      <c r="H11" s="647" t="n">
        <v>1358</v>
      </c>
      <c r="I11" s="649" t="n">
        <v>1378</v>
      </c>
      <c r="J11" s="639">
        <f>I11-H11</f>
        <v/>
      </c>
      <c r="K11" s="640" t="inlineStr">
        <is>
          <t>FOCUS</t>
        </is>
      </c>
      <c r="L11" s="641" t="inlineStr">
        <is>
          <t>640ml</t>
        </is>
      </c>
      <c r="M11" s="647" t="n">
        <v>24</v>
      </c>
      <c r="N11" s="643" t="n">
        <v>0.2</v>
      </c>
      <c r="O11" s="647" t="n">
        <v>1358</v>
      </c>
      <c r="P11" s="647" t="n">
        <v>15</v>
      </c>
      <c r="Q11" s="649" t="n">
        <v>7</v>
      </c>
      <c r="R11" s="639">
        <f>O11+P11-Q11</f>
        <v/>
      </c>
      <c r="S11" s="641" t="n">
        <v>1500</v>
      </c>
      <c r="T11" s="647" t="n">
        <v>1000</v>
      </c>
      <c r="U11" s="648" t="n"/>
    </row>
    <row r="12" ht="19.95" customHeight="1">
      <c r="A12" s="647" t="n">
        <v>10</v>
      </c>
      <c r="B12" s="634" t="inlineStr">
        <is>
          <t>မိထ္တီလာ</t>
        </is>
      </c>
      <c r="C12" s="648" t="inlineStr">
        <is>
          <t>သာစည်</t>
        </is>
      </c>
      <c r="D12" s="633" t="inlineStr">
        <is>
          <t>Shwe Yi</t>
        </is>
      </c>
      <c r="E12" s="647" t="inlineStr">
        <is>
          <t>ဖိုးသာထူး</t>
        </is>
      </c>
      <c r="F12" s="648" t="inlineStr">
        <is>
          <t>သာစည်</t>
        </is>
      </c>
      <c r="G12" s="636" t="inlineStr">
        <is>
          <t>RO</t>
        </is>
      </c>
      <c r="H12" s="647" t="n">
        <v>1371</v>
      </c>
      <c r="I12" s="649" t="n">
        <v>1391</v>
      </c>
      <c r="J12" s="639">
        <f>I12-H12</f>
        <v/>
      </c>
      <c r="K12" s="640" t="inlineStr">
        <is>
          <t>FOCUS</t>
        </is>
      </c>
      <c r="L12" s="641" t="inlineStr">
        <is>
          <t>640ml</t>
        </is>
      </c>
      <c r="M12" s="647" t="n">
        <v>14</v>
      </c>
      <c r="N12" s="652" t="n">
        <v>0.17</v>
      </c>
      <c r="O12" s="647" t="n">
        <v>1371</v>
      </c>
      <c r="P12" s="647" t="n">
        <v>35.7</v>
      </c>
      <c r="Q12" s="649" t="n">
        <v>21</v>
      </c>
      <c r="R12" s="639">
        <f>O12+P12-Q12</f>
        <v/>
      </c>
      <c r="S12" s="641" t="n">
        <v>1600</v>
      </c>
      <c r="T12" s="647" t="n">
        <v>4200</v>
      </c>
      <c r="U12" s="648" t="n"/>
    </row>
    <row r="13" ht="19.95" customHeight="1">
      <c r="A13" s="633" t="n">
        <v>11</v>
      </c>
      <c r="B13" s="634" t="inlineStr">
        <is>
          <t>မိထ္တီလာ</t>
        </is>
      </c>
      <c r="C13" s="648" t="inlineStr">
        <is>
          <t>သာစည်</t>
        </is>
      </c>
      <c r="D13" s="647" t="inlineStr">
        <is>
          <t>ရွှေကမ္ဘာ</t>
        </is>
      </c>
      <c r="E13" s="647" t="inlineStr">
        <is>
          <t>ပီတိလျှံ</t>
        </is>
      </c>
      <c r="F13" s="648" t="inlineStr">
        <is>
          <t>သာစည်</t>
        </is>
      </c>
      <c r="G13" s="648" t="inlineStr">
        <is>
          <t>Leader</t>
        </is>
      </c>
      <c r="H13" s="647" t="n">
        <v>1300</v>
      </c>
      <c r="I13" s="649" t="n">
        <v>1320</v>
      </c>
      <c r="J13" s="639">
        <f>I13-H13</f>
        <v/>
      </c>
      <c r="K13" s="650" t="inlineStr">
        <is>
          <t>Budget</t>
        </is>
      </c>
      <c r="L13" s="651" t="inlineStr">
        <is>
          <t>1000ml</t>
        </is>
      </c>
      <c r="M13" s="647" t="n">
        <v>12</v>
      </c>
      <c r="N13" s="652" t="n"/>
      <c r="O13" s="647" t="n">
        <v>1300</v>
      </c>
      <c r="P13" s="647" t="n">
        <v>75</v>
      </c>
      <c r="Q13" s="649" t="n">
        <v>108</v>
      </c>
      <c r="R13" s="639">
        <f>O13+P13-Q13</f>
        <v/>
      </c>
      <c r="S13" s="641" t="n">
        <v>1500</v>
      </c>
      <c r="T13" s="647" t="n">
        <v>200</v>
      </c>
      <c r="U13" s="648" t="n"/>
    </row>
    <row r="14" ht="19.95" customHeight="1">
      <c r="A14" s="647" t="n">
        <v>12</v>
      </c>
      <c r="B14" s="634" t="inlineStr">
        <is>
          <t>မိထ္တီလာ</t>
        </is>
      </c>
      <c r="C14" s="648" t="inlineStr">
        <is>
          <t>ဝမ်းတွင်း</t>
        </is>
      </c>
      <c r="D14" s="647" t="inlineStr">
        <is>
          <t>ပန်ဒါ</t>
        </is>
      </c>
      <c r="E14" s="647" t="inlineStr">
        <is>
          <t>ဝေလုအောင်</t>
        </is>
      </c>
      <c r="F14" s="648" t="inlineStr">
        <is>
          <t>ဝမ်းတွင်း</t>
        </is>
      </c>
      <c r="G14" s="636" t="inlineStr">
        <is>
          <t>ပွင့်သစ်ရွှေ</t>
        </is>
      </c>
      <c r="H14" s="647" t="n">
        <v>1000</v>
      </c>
      <c r="I14" s="649" t="n">
        <v>1020</v>
      </c>
      <c r="J14" s="639">
        <f>I14-H14</f>
        <v/>
      </c>
      <c r="K14" s="640" t="inlineStr">
        <is>
          <t>FOCUS</t>
        </is>
      </c>
      <c r="L14" s="641" t="inlineStr">
        <is>
          <t>600ml</t>
        </is>
      </c>
      <c r="M14" s="647" t="n">
        <v>30</v>
      </c>
      <c r="N14" s="643" t="n">
        <v>0.25</v>
      </c>
      <c r="O14" s="647" t="n">
        <v>1000</v>
      </c>
      <c r="P14" s="647" t="n">
        <v>75</v>
      </c>
      <c r="Q14" s="649" t="n">
        <v>35</v>
      </c>
      <c r="R14" s="639">
        <f>O14+P14-Q14</f>
        <v/>
      </c>
      <c r="S14" s="641" t="n">
        <v>1200</v>
      </c>
      <c r="T14" s="647" t="n">
        <v>150</v>
      </c>
      <c r="U14" s="648" t="n"/>
    </row>
    <row r="15" ht="19.95" customHeight="1">
      <c r="A15" s="633" t="n">
        <v>13</v>
      </c>
      <c r="B15" s="634" t="inlineStr">
        <is>
          <t>မိထ္တီလာ</t>
        </is>
      </c>
      <c r="C15" s="648" t="inlineStr">
        <is>
          <t>ဝမ်းတွင်း</t>
        </is>
      </c>
      <c r="D15" s="647" t="inlineStr">
        <is>
          <t>ဂျော်ကီ</t>
        </is>
      </c>
      <c r="E15" s="647" t="inlineStr">
        <is>
          <t>ဝေလုအောင်</t>
        </is>
      </c>
      <c r="F15" s="648" t="inlineStr">
        <is>
          <t>ဝမ်းတွင်း</t>
        </is>
      </c>
      <c r="G15" s="648" t="inlineStr">
        <is>
          <t>Gold အရက်သန့်</t>
        </is>
      </c>
      <c r="H15" s="647" t="n">
        <v>900</v>
      </c>
      <c r="I15" s="649" t="n">
        <v>920</v>
      </c>
      <c r="J15" s="639">
        <f>I15-H15</f>
        <v/>
      </c>
      <c r="K15" s="650" t="inlineStr">
        <is>
          <t>Budget</t>
        </is>
      </c>
      <c r="L15" s="641" t="inlineStr">
        <is>
          <t>600ml</t>
        </is>
      </c>
      <c r="M15" s="647" t="n">
        <v>24</v>
      </c>
      <c r="N15" s="652" t="n">
        <v>0.17</v>
      </c>
      <c r="O15" s="647" t="n">
        <v>900</v>
      </c>
      <c r="P15" s="647" t="n">
        <v>18.7</v>
      </c>
      <c r="Q15" s="649" t="n">
        <v>10</v>
      </c>
      <c r="R15" s="639">
        <f>O15+P15-Q15</f>
        <v/>
      </c>
      <c r="S15" s="641" t="n">
        <v>1000</v>
      </c>
      <c r="T15" s="647" t="n">
        <v>300</v>
      </c>
      <c r="U15" s="648" t="n"/>
    </row>
    <row r="16" ht="19.95" customHeight="1">
      <c r="A16" s="647" t="n">
        <v>14</v>
      </c>
      <c r="B16" s="634" t="inlineStr">
        <is>
          <t>မိထ္တီလာ</t>
        </is>
      </c>
      <c r="C16" s="648" t="inlineStr">
        <is>
          <t>လျှော်ပင်</t>
        </is>
      </c>
      <c r="D16" s="647" t="inlineStr">
        <is>
          <t>ဖြိုး မိသာစု</t>
        </is>
      </c>
      <c r="E16" s="647" t="inlineStr">
        <is>
          <t>ဦးဝင်းနိုင်</t>
        </is>
      </c>
      <c r="F16" s="648" t="inlineStr">
        <is>
          <t>လျှော်ပင်</t>
        </is>
      </c>
      <c r="G16" s="648" t="inlineStr">
        <is>
          <t>အားတစ်ရာ</t>
        </is>
      </c>
      <c r="H16" s="647" t="n">
        <v>1350</v>
      </c>
      <c r="I16" s="649" t="n">
        <v>1370</v>
      </c>
      <c r="J16" s="639">
        <f>I16-H16</f>
        <v/>
      </c>
      <c r="K16" s="650" t="inlineStr">
        <is>
          <t>Budget</t>
        </is>
      </c>
      <c r="L16" s="641" t="inlineStr">
        <is>
          <t>640ml</t>
        </is>
      </c>
      <c r="M16" s="647" t="n">
        <v>14</v>
      </c>
      <c r="N16" s="652" t="n">
        <v>0.3</v>
      </c>
      <c r="O16" s="647" t="n">
        <v>1350</v>
      </c>
      <c r="P16" s="647" t="n">
        <v>28.5</v>
      </c>
      <c r="Q16" s="649" t="n">
        <v>14.2</v>
      </c>
      <c r="R16" s="639">
        <f>O16+P16-Q16</f>
        <v/>
      </c>
      <c r="S16" s="641" t="n">
        <v>1500</v>
      </c>
      <c r="T16" s="647" t="n">
        <v>300</v>
      </c>
      <c r="U16" s="648" t="n"/>
    </row>
    <row r="17" ht="19.95" customHeight="1">
      <c r="A17" s="633" t="n">
        <v>15</v>
      </c>
      <c r="B17" s="634" t="inlineStr">
        <is>
          <t>မိထ္တီလာ</t>
        </is>
      </c>
      <c r="C17" s="634" t="inlineStr">
        <is>
          <t>မိထ္တီလာ</t>
        </is>
      </c>
      <c r="D17" s="647" t="inlineStr">
        <is>
          <t>ICICLE</t>
        </is>
      </c>
      <c r="E17" s="647" t="inlineStr">
        <is>
          <t>ကောင်သန့်</t>
        </is>
      </c>
      <c r="F17" s="634" t="inlineStr">
        <is>
          <t>မိထ္တီလာ</t>
        </is>
      </c>
      <c r="G17" s="648" t="inlineStr">
        <is>
          <t>စစ်မြင်း</t>
        </is>
      </c>
      <c r="H17" s="647" t="n">
        <v>1770</v>
      </c>
      <c r="I17" s="649" t="n">
        <v>1790</v>
      </c>
      <c r="J17" s="639">
        <f>I17-H17</f>
        <v/>
      </c>
      <c r="K17" s="640" t="inlineStr">
        <is>
          <t>FOCUS</t>
        </is>
      </c>
      <c r="L17" s="641" t="inlineStr">
        <is>
          <t>600ml</t>
        </is>
      </c>
      <c r="M17" s="647" t="n">
        <v>24</v>
      </c>
      <c r="N17" s="652" t="n">
        <v>0.17</v>
      </c>
      <c r="O17" s="647" t="n">
        <v>1770</v>
      </c>
      <c r="P17" s="647" t="n">
        <v>20</v>
      </c>
      <c r="Q17" s="649" t="n">
        <v>12</v>
      </c>
      <c r="R17" s="639">
        <f>O17+P17-Q17</f>
        <v/>
      </c>
      <c r="S17" s="641" t="n">
        <v>2000</v>
      </c>
      <c r="T17" s="647" t="n">
        <v>3000</v>
      </c>
      <c r="U17" s="1282" t="inlineStr">
        <is>
          <t>100pk By 1pk=500</t>
        </is>
      </c>
    </row>
    <row r="18" ht="19.95" customHeight="1">
      <c r="A18" s="647" t="n">
        <v>16</v>
      </c>
      <c r="B18" s="634" t="inlineStr">
        <is>
          <t>မိထ္တီလာ</t>
        </is>
      </c>
      <c r="C18" s="648" t="inlineStr">
        <is>
          <t>ကျောက်ပန်းတောင်း</t>
        </is>
      </c>
      <c r="D18" s="647" t="inlineStr">
        <is>
          <t>ICICLE</t>
        </is>
      </c>
      <c r="E18" s="647" t="inlineStr">
        <is>
          <t>လွင်</t>
        </is>
      </c>
      <c r="F18" s="648" t="inlineStr">
        <is>
          <t>ကျောက်ပန်းတောင်း</t>
        </is>
      </c>
      <c r="G18" s="648" t="inlineStr">
        <is>
          <t>နဂါး</t>
        </is>
      </c>
      <c r="H18" s="647" t="n">
        <v>1354</v>
      </c>
      <c r="I18" s="649" t="n">
        <v>1374</v>
      </c>
      <c r="J18" s="639">
        <f>I18-H18</f>
        <v/>
      </c>
      <c r="K18" s="640" t="inlineStr">
        <is>
          <t>FOCUS</t>
        </is>
      </c>
      <c r="L18" s="641" t="inlineStr">
        <is>
          <t>640ml</t>
        </is>
      </c>
      <c r="M18" s="647" t="n">
        <v>24</v>
      </c>
      <c r="N18" s="652" t="n">
        <v>0.17</v>
      </c>
      <c r="O18" s="647" t="n">
        <v>1395</v>
      </c>
      <c r="P18" s="647" t="n">
        <v>12</v>
      </c>
      <c r="Q18" s="649" t="n">
        <v>20</v>
      </c>
      <c r="R18" s="639">
        <f>O18+P18-Q18</f>
        <v/>
      </c>
      <c r="S18" s="641" t="n">
        <v>1500</v>
      </c>
      <c r="T18" s="647" t="n">
        <v>2000</v>
      </c>
      <c r="U18" s="648" t="n"/>
    </row>
    <row r="19" ht="19.95" customHeight="1">
      <c r="A19" s="633" t="n">
        <v>17</v>
      </c>
      <c r="B19" s="634" t="inlineStr">
        <is>
          <t>မိထ္တီလာ</t>
        </is>
      </c>
      <c r="C19" s="648" t="inlineStr">
        <is>
          <t>ကျောက်ပန်းတောင်း</t>
        </is>
      </c>
      <c r="D19" s="654" t="n"/>
      <c r="E19" s="647" t="inlineStr">
        <is>
          <t>ဦးစိုးဝင်း</t>
        </is>
      </c>
      <c r="F19" s="648" t="inlineStr">
        <is>
          <t>ကျောက်ပန်းတောင်း</t>
        </is>
      </c>
      <c r="G19" s="648" t="inlineStr">
        <is>
          <t>စံအရက်</t>
        </is>
      </c>
      <c r="H19" s="647" t="n">
        <v>875</v>
      </c>
      <c r="I19" s="649" t="n">
        <v>895</v>
      </c>
      <c r="J19" s="639">
        <f>I19-H19</f>
        <v/>
      </c>
      <c r="K19" s="650" t="inlineStr">
        <is>
          <t>Budget</t>
        </is>
      </c>
      <c r="L19" s="641" t="inlineStr">
        <is>
          <t>600ml</t>
        </is>
      </c>
      <c r="M19" s="647" t="n">
        <v>24</v>
      </c>
      <c r="N19" s="652" t="n">
        <v>0.15</v>
      </c>
      <c r="O19" s="647" t="n">
        <v>875</v>
      </c>
      <c r="P19" s="647" t="n">
        <v>20</v>
      </c>
      <c r="Q19" s="649" t="n">
        <v>12</v>
      </c>
      <c r="R19" s="639">
        <f>O19+P19-Q19</f>
        <v/>
      </c>
      <c r="S19" s="641" t="n">
        <v>1000</v>
      </c>
      <c r="T19" s="647" t="n">
        <v>700</v>
      </c>
      <c r="U19" s="654" t="n"/>
    </row>
    <row r="20" ht="19.95" customHeight="1">
      <c r="A20" s="647" t="n">
        <v>18</v>
      </c>
      <c r="B20" s="634" t="inlineStr">
        <is>
          <t>မိထ္တီလာ</t>
        </is>
      </c>
      <c r="C20" s="648" t="inlineStr">
        <is>
          <t>ကျောက်ပန်းတောင်း</t>
        </is>
      </c>
      <c r="D20" s="654" t="n"/>
      <c r="E20" s="647" t="inlineStr">
        <is>
          <t>ဦးစိုးဝင်း</t>
        </is>
      </c>
      <c r="F20" s="648" t="inlineStr">
        <is>
          <t>ကျောက်ပန်းတောင်း</t>
        </is>
      </c>
      <c r="G20" s="648" t="inlineStr">
        <is>
          <t>ကမ္ဘောဇ</t>
        </is>
      </c>
      <c r="H20" s="647" t="n">
        <v>850</v>
      </c>
      <c r="I20" s="649" t="n">
        <v>870</v>
      </c>
      <c r="J20" s="639">
        <f>I20-H20</f>
        <v/>
      </c>
      <c r="K20" s="650" t="inlineStr">
        <is>
          <t>Budget</t>
        </is>
      </c>
      <c r="L20" s="641" t="inlineStr">
        <is>
          <t>600ml</t>
        </is>
      </c>
      <c r="M20" s="647" t="n">
        <v>24</v>
      </c>
      <c r="N20" s="643" t="n">
        <v>0.25</v>
      </c>
      <c r="O20" s="647" t="n">
        <v>850</v>
      </c>
      <c r="P20" s="647" t="n">
        <v>20</v>
      </c>
      <c r="Q20" s="649" t="n">
        <v>12</v>
      </c>
      <c r="R20" s="639">
        <f>O20+P20-Q20</f>
        <v/>
      </c>
      <c r="S20" s="641" t="n">
        <v>1000</v>
      </c>
      <c r="T20" s="647" t="n">
        <v>300</v>
      </c>
      <c r="U20" s="654" t="n"/>
    </row>
    <row r="21" ht="19.95" customHeight="1">
      <c r="A21" s="633" t="n">
        <v>19</v>
      </c>
      <c r="B21" s="634" t="inlineStr">
        <is>
          <t>မိထ္တီလာ</t>
        </is>
      </c>
      <c r="C21" s="655" t="inlineStr">
        <is>
          <t>ညောင်ဦး</t>
        </is>
      </c>
      <c r="D21" s="647" t="inlineStr">
        <is>
          <t>အားတရာ</t>
        </is>
      </c>
      <c r="E21" s="647" t="inlineStr">
        <is>
          <t>ဟိန်ုးသူ</t>
        </is>
      </c>
      <c r="F21" s="655" t="inlineStr">
        <is>
          <t>ညောင်ဦး</t>
        </is>
      </c>
      <c r="G21" s="648" t="inlineStr">
        <is>
          <t>မန်း အာမီ</t>
        </is>
      </c>
      <c r="H21" s="647" t="n">
        <v>1600</v>
      </c>
      <c r="I21" s="649" t="n">
        <v>1620</v>
      </c>
      <c r="J21" s="639">
        <f>I21-H21</f>
        <v/>
      </c>
      <c r="K21" s="650" t="inlineStr">
        <is>
          <t>Budget</t>
        </is>
      </c>
      <c r="L21" s="641" t="inlineStr">
        <is>
          <t>700ml</t>
        </is>
      </c>
      <c r="M21" s="647" t="n">
        <v>12</v>
      </c>
      <c r="N21" s="652" t="n">
        <v>0.32</v>
      </c>
      <c r="O21" s="647" t="n">
        <v>1600</v>
      </c>
      <c r="P21" s="647" t="n">
        <v>41</v>
      </c>
      <c r="Q21" s="649" t="n">
        <v>25</v>
      </c>
      <c r="R21" s="639">
        <f>O21+P21-Q21</f>
        <v/>
      </c>
      <c r="S21" s="641" t="n">
        <v>2000</v>
      </c>
      <c r="T21" s="647" t="n">
        <v>150</v>
      </c>
      <c r="U21" s="654" t="n"/>
    </row>
    <row r="22" ht="19.95" customHeight="1">
      <c r="A22" s="647" t="n">
        <v>20</v>
      </c>
      <c r="B22" s="634" t="inlineStr">
        <is>
          <t>မိထ္တီလာ</t>
        </is>
      </c>
      <c r="C22" s="655" t="inlineStr">
        <is>
          <t>ညောင်ဦး</t>
        </is>
      </c>
      <c r="D22" s="647" t="inlineStr">
        <is>
          <t>ICICLE</t>
        </is>
      </c>
      <c r="E22" s="647" t="inlineStr">
        <is>
          <t>ဟိန်ုးသူ</t>
        </is>
      </c>
      <c r="F22" s="655" t="inlineStr">
        <is>
          <t>ညောင်ဦး</t>
        </is>
      </c>
      <c r="G22" s="648" t="inlineStr">
        <is>
          <t>ထွေးညို</t>
        </is>
      </c>
      <c r="H22" s="647" t="n">
        <v>1371</v>
      </c>
      <c r="I22" s="649" t="n">
        <v>1391</v>
      </c>
      <c r="J22" s="639">
        <f>I22-H22</f>
        <v/>
      </c>
      <c r="K22" s="650" t="inlineStr">
        <is>
          <t>Budget</t>
        </is>
      </c>
      <c r="L22" s="641" t="inlineStr">
        <is>
          <t>640ml</t>
        </is>
      </c>
      <c r="M22" s="647" t="n">
        <v>14</v>
      </c>
      <c r="N22" s="643" t="n">
        <v>0.19</v>
      </c>
      <c r="O22" s="647" t="n">
        <v>1371</v>
      </c>
      <c r="P22" s="647" t="n">
        <v>35</v>
      </c>
      <c r="Q22" s="649" t="n">
        <v>14.2</v>
      </c>
      <c r="R22" s="639">
        <f>O22+P22-Q22</f>
        <v/>
      </c>
      <c r="S22" s="641" t="n">
        <v>1500</v>
      </c>
      <c r="T22" s="647" t="n">
        <v>100</v>
      </c>
      <c r="U22" s="648" t="n"/>
    </row>
    <row r="23" ht="19.95" customHeight="1">
      <c r="A23" s="633" t="n">
        <v>21</v>
      </c>
      <c r="B23" s="634" t="inlineStr">
        <is>
          <t>မိထ္တီလာ</t>
        </is>
      </c>
      <c r="C23" s="655" t="inlineStr">
        <is>
          <t>ပခုက္ကူ</t>
        </is>
      </c>
      <c r="D23" s="647" t="inlineStr">
        <is>
          <t>ပျားနက်</t>
        </is>
      </c>
      <c r="E23" s="647" t="inlineStr">
        <is>
          <t>ပျားနက်</t>
        </is>
      </c>
      <c r="F23" s="655" t="inlineStr">
        <is>
          <t>ပခုက္ကူ</t>
        </is>
      </c>
      <c r="G23" s="648" t="inlineStr">
        <is>
          <t>စတားသံပုရာ</t>
        </is>
      </c>
      <c r="H23" s="647" t="n">
        <v>1087</v>
      </c>
      <c r="I23" s="649" t="n">
        <v>1107</v>
      </c>
      <c r="J23" s="639">
        <f>I23-H23</f>
        <v/>
      </c>
      <c r="K23" s="650" t="inlineStr">
        <is>
          <t>Budget</t>
        </is>
      </c>
      <c r="L23" s="641" t="inlineStr">
        <is>
          <t>640ml</t>
        </is>
      </c>
      <c r="M23" s="647" t="n">
        <v>24</v>
      </c>
      <c r="N23" s="652" t="n">
        <v>0.17</v>
      </c>
      <c r="O23" s="647" t="n">
        <v>1087</v>
      </c>
      <c r="P23" s="647" t="n">
        <v>16</v>
      </c>
      <c r="Q23" s="649" t="n">
        <v>20.8</v>
      </c>
      <c r="R23" s="639">
        <f>O23+P23-Q23</f>
        <v/>
      </c>
      <c r="S23" s="641" t="n">
        <v>1200</v>
      </c>
      <c r="T23" s="647" t="n">
        <v>1500</v>
      </c>
      <c r="U23" s="648" t="n"/>
    </row>
    <row r="24" ht="19.95" customHeight="1">
      <c r="A24" s="647" t="n">
        <v>22</v>
      </c>
      <c r="B24" s="634" t="inlineStr">
        <is>
          <t>မိထ္တီလာ</t>
        </is>
      </c>
      <c r="C24" s="655" t="inlineStr">
        <is>
          <t>ပခုက္ကူ</t>
        </is>
      </c>
      <c r="D24" s="647" t="inlineStr">
        <is>
          <t>ဦးမြင့်ဆွေ</t>
        </is>
      </c>
      <c r="E24" s="647" t="inlineStr">
        <is>
          <t>ဦးမြင့်ဆွေ</t>
        </is>
      </c>
      <c r="F24" s="655" t="inlineStr">
        <is>
          <t>ပခုက္ကူ</t>
        </is>
      </c>
      <c r="G24" s="648" t="inlineStr">
        <is>
          <t>ပျွိင့်</t>
        </is>
      </c>
      <c r="H24" s="647" t="n">
        <v>979</v>
      </c>
      <c r="I24" s="649" t="n">
        <v>999</v>
      </c>
      <c r="J24" s="639">
        <f>I24-H24</f>
        <v/>
      </c>
      <c r="K24" s="650" t="inlineStr">
        <is>
          <t>Budget</t>
        </is>
      </c>
      <c r="L24" s="641" t="inlineStr">
        <is>
          <t>640ml</t>
        </is>
      </c>
      <c r="M24" s="647" t="n">
        <v>24</v>
      </c>
      <c r="N24" s="643" t="n">
        <v>0.19</v>
      </c>
      <c r="O24" s="647" t="n">
        <v>979</v>
      </c>
      <c r="P24" s="647" t="n"/>
      <c r="Q24" s="649" t="n">
        <v>28</v>
      </c>
      <c r="R24" s="639">
        <f>O24+P24-Q24</f>
        <v/>
      </c>
      <c r="S24" s="641" t="n">
        <v>1100</v>
      </c>
      <c r="T24" s="647" t="n">
        <v>700</v>
      </c>
      <c r="U24" s="648" t="inlineStr">
        <is>
          <t>100By=4Pk</t>
        </is>
      </c>
    </row>
    <row r="25" ht="19.95" customHeight="1">
      <c r="A25" s="633" t="n">
        <v>23</v>
      </c>
      <c r="B25" s="634" t="inlineStr">
        <is>
          <t>မိထ္တီလာ</t>
        </is>
      </c>
      <c r="C25" s="655" t="inlineStr">
        <is>
          <t>ပခုက္ကူ</t>
        </is>
      </c>
      <c r="D25" s="647" t="inlineStr">
        <is>
          <t>ဦးသန်းဝင်း</t>
        </is>
      </c>
      <c r="E25" s="647" t="inlineStr">
        <is>
          <t>ဦးသန်းဝင်း</t>
        </is>
      </c>
      <c r="F25" s="655" t="inlineStr">
        <is>
          <t>ပခုက္ကူ</t>
        </is>
      </c>
      <c r="G25" s="648" t="inlineStr">
        <is>
          <t>အားမာန် သံပုရာ</t>
        </is>
      </c>
      <c r="H25" s="647" t="n">
        <v>979</v>
      </c>
      <c r="I25" s="649" t="n">
        <v>999</v>
      </c>
      <c r="J25" s="639">
        <f>I25-H25</f>
        <v/>
      </c>
      <c r="K25" s="650" t="inlineStr">
        <is>
          <t>Budget</t>
        </is>
      </c>
      <c r="L25" s="641" t="inlineStr">
        <is>
          <t>640ml</t>
        </is>
      </c>
      <c r="M25" s="647" t="n">
        <v>24</v>
      </c>
      <c r="N25" s="652" t="n">
        <v>0.17</v>
      </c>
      <c r="O25" s="647" t="n">
        <v>979</v>
      </c>
      <c r="P25" s="647" t="n"/>
      <c r="Q25" s="649" t="n">
        <v>37</v>
      </c>
      <c r="R25" s="639">
        <f>O25+P25-Q25</f>
        <v/>
      </c>
      <c r="S25" s="641" t="n">
        <v>1100</v>
      </c>
      <c r="T25" s="647" t="n">
        <v>800</v>
      </c>
      <c r="U25" s="648" t="inlineStr">
        <is>
          <t>100By=3Pk</t>
        </is>
      </c>
    </row>
    <row r="26" ht="19.95" customHeight="1">
      <c r="A26" s="647" t="n">
        <v>24</v>
      </c>
      <c r="B26" s="634" t="inlineStr">
        <is>
          <t>မိထ္တီလာ</t>
        </is>
      </c>
      <c r="C26" s="655" t="inlineStr">
        <is>
          <t>တောင်သာ</t>
        </is>
      </c>
      <c r="D26" s="647" t="inlineStr">
        <is>
          <t>ဖြိုး မိသာစု</t>
        </is>
      </c>
      <c r="E26" s="647" t="inlineStr">
        <is>
          <t>မြို့မ</t>
        </is>
      </c>
      <c r="F26" s="655" t="inlineStr">
        <is>
          <t>တောင်သာ</t>
        </is>
      </c>
      <c r="G26" s="656" t="inlineStr">
        <is>
          <t>ဖြိုး  အရက်သန့်</t>
        </is>
      </c>
      <c r="H26" s="647" t="n">
        <v>1378</v>
      </c>
      <c r="I26" s="649" t="n">
        <v>1398</v>
      </c>
      <c r="J26" s="657">
        <f>I26-H26</f>
        <v/>
      </c>
      <c r="K26" s="650" t="inlineStr">
        <is>
          <t>Budget</t>
        </is>
      </c>
      <c r="L26" s="641" t="inlineStr">
        <is>
          <t>640ml</t>
        </is>
      </c>
      <c r="M26" s="647" t="n">
        <v>24</v>
      </c>
      <c r="N26" s="652" t="n">
        <v>0.25</v>
      </c>
      <c r="O26" s="647" t="n">
        <v>1185</v>
      </c>
      <c r="P26" s="647" t="n">
        <v>30</v>
      </c>
      <c r="Q26" s="649" t="n">
        <v>12</v>
      </c>
      <c r="R26" s="639">
        <f>O26+P26-Q26</f>
        <v/>
      </c>
      <c r="S26" s="641" t="n">
        <v>1500</v>
      </c>
      <c r="T26" s="647" t="n">
        <v>200</v>
      </c>
      <c r="U26" s="654" t="n"/>
    </row>
    <row r="27" ht="21" customHeight="1" thickBot="1">
      <c r="A27" s="633" t="n">
        <v>25</v>
      </c>
      <c r="B27" s="658" t="n"/>
      <c r="C27" s="659" t="n"/>
      <c r="D27" s="654" t="n"/>
      <c r="E27" s="654" t="n"/>
      <c r="F27" s="654" t="n"/>
      <c r="G27" s="648" t="n"/>
      <c r="H27" s="654" t="n"/>
      <c r="I27" s="660" t="n"/>
      <c r="J27" s="661" t="n"/>
      <c r="K27" s="661" t="n"/>
      <c r="L27" s="662" t="n"/>
      <c r="M27" s="654" t="n"/>
      <c r="N27" s="654" t="n"/>
      <c r="O27" s="654" t="n"/>
      <c r="P27" s="654" t="n"/>
      <c r="Q27" s="660" t="n"/>
      <c r="R27" s="639">
        <f>O27+P27-Q27</f>
        <v/>
      </c>
      <c r="S27" s="662" t="n"/>
      <c r="T27" s="654" t="n"/>
      <c r="U27" s="654" t="n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AC55"/>
  <sheetViews>
    <sheetView zoomScale="50" zoomScaleNormal="50" workbookViewId="0">
      <pane xSplit="4" ySplit="1" topLeftCell="E20" activePane="bottomRight" state="frozen"/>
      <selection pane="topRight" activeCell="E1" sqref="E1"/>
      <selection pane="bottomLeft" activeCell="A3" sqref="A3"/>
      <selection pane="bottomRight" activeCell="N40" sqref="N40"/>
    </sheetView>
  </sheetViews>
  <sheetFormatPr baseColWidth="8" defaultColWidth="9.109375" defaultRowHeight="20.4"/>
  <cols>
    <col width="3" bestFit="1" customWidth="1" style="229" min="1" max="1"/>
    <col width="26.109375" customWidth="1" style="229" min="2" max="2"/>
    <col width="5" customWidth="1" style="229" min="3" max="3"/>
    <col width="7.88671875" bestFit="1" customWidth="1" style="229" min="4" max="4"/>
    <col width="9" customWidth="1" style="229" min="5" max="26"/>
    <col width="9.6640625" customWidth="1" style="229" min="27" max="27"/>
    <col width="9.88671875" customWidth="1" style="229" min="28" max="28"/>
    <col width="12.109375" bestFit="1" customWidth="1" style="229" min="29" max="29"/>
    <col width="9.109375" customWidth="1" style="229" min="30" max="16384"/>
  </cols>
  <sheetData>
    <row r="1" ht="40.5" customHeight="1" thickBot="1">
      <c r="A1" s="908" t="inlineStr">
        <is>
          <t>Sr</t>
        </is>
      </c>
      <c r="B1" s="910" t="inlineStr">
        <is>
          <t>Product Name</t>
        </is>
      </c>
      <c r="C1" s="910" t="inlineStr">
        <is>
          <t>Ml</t>
        </is>
      </c>
      <c r="D1" s="1283" t="inlineStr">
        <is>
          <t>Packing</t>
        </is>
      </c>
      <c r="E1" s="1284" t="inlineStr">
        <is>
          <t>Meiktila</t>
        </is>
      </c>
      <c r="F1" s="1217" t="n"/>
      <c r="G1" s="1219" t="inlineStr">
        <is>
          <t>tarzi</t>
        </is>
      </c>
      <c r="H1" s="1217" t="n"/>
      <c r="I1" s="1219" t="inlineStr">
        <is>
          <t>Pyawbwe</t>
        </is>
      </c>
      <c r="J1" s="1217" t="n"/>
      <c r="K1" s="1219" t="inlineStr">
        <is>
          <t>Wantwin</t>
        </is>
      </c>
      <c r="L1" s="1217" t="n"/>
      <c r="M1" s="1219" t="inlineStr">
        <is>
          <t>Mahlaing</t>
        </is>
      </c>
      <c r="N1" s="1217" t="n"/>
      <c r="O1" s="1219" t="inlineStr">
        <is>
          <t>Yamethin</t>
        </is>
      </c>
      <c r="P1" s="1217" t="n"/>
      <c r="Q1" s="1219" t="inlineStr">
        <is>
          <t>kyaukpandaung</t>
        </is>
      </c>
      <c r="R1" s="1217" t="n"/>
      <c r="S1" s="1219" t="inlineStr">
        <is>
          <t>Taugthar</t>
        </is>
      </c>
      <c r="T1" s="1217" t="n"/>
      <c r="U1" s="1219" t="inlineStr">
        <is>
          <t>Myingan</t>
        </is>
      </c>
      <c r="V1" s="1217" t="n"/>
      <c r="W1" s="1219" t="inlineStr">
        <is>
          <t>Bagan</t>
        </is>
      </c>
      <c r="X1" s="1217" t="n"/>
      <c r="Y1" s="1219" t="inlineStr">
        <is>
          <t>Pakoku</t>
        </is>
      </c>
      <c r="Z1" s="1217" t="n"/>
      <c r="AA1" s="1219" t="inlineStr">
        <is>
          <t>Regional Total</t>
        </is>
      </c>
      <c r="AB1" s="1217" t="n"/>
      <c r="AC1" s="230" t="inlineStr">
        <is>
          <t>Brand Wise</t>
        </is>
      </c>
    </row>
    <row r="2" ht="19.95" customHeight="1" thickBot="1">
      <c r="A2" s="1164" t="n"/>
      <c r="B2" s="973" t="n"/>
      <c r="C2" s="973" t="n"/>
      <c r="D2" s="1285" t="n"/>
      <c r="E2" s="284" t="n">
        <v>2024</v>
      </c>
      <c r="F2" s="285" t="n">
        <v>2025</v>
      </c>
      <c r="G2" s="284" t="n">
        <v>2024</v>
      </c>
      <c r="H2" s="285" t="n">
        <v>2025</v>
      </c>
      <c r="I2" s="284" t="n">
        <v>2024</v>
      </c>
      <c r="J2" s="285" t="n">
        <v>2025</v>
      </c>
      <c r="K2" s="284" t="n">
        <v>2024</v>
      </c>
      <c r="L2" s="285" t="n">
        <v>2025</v>
      </c>
      <c r="M2" s="284" t="n">
        <v>2024</v>
      </c>
      <c r="N2" s="285" t="n">
        <v>2025</v>
      </c>
      <c r="O2" s="284" t="n">
        <v>2024</v>
      </c>
      <c r="P2" s="285" t="n">
        <v>2025</v>
      </c>
      <c r="Q2" s="284" t="n">
        <v>2024</v>
      </c>
      <c r="R2" s="285" t="n">
        <v>2025</v>
      </c>
      <c r="S2" s="284" t="n">
        <v>2024</v>
      </c>
      <c r="T2" s="285" t="n">
        <v>2025</v>
      </c>
      <c r="U2" s="284" t="n">
        <v>2024</v>
      </c>
      <c r="V2" s="285" t="n">
        <v>2025</v>
      </c>
      <c r="W2" s="284" t="n">
        <v>2024</v>
      </c>
      <c r="X2" s="285" t="n">
        <v>2025</v>
      </c>
      <c r="Y2" s="284" t="n">
        <v>2024</v>
      </c>
      <c r="Z2" s="285" t="n">
        <v>2025</v>
      </c>
      <c r="AA2" s="284" t="n">
        <v>2024</v>
      </c>
      <c r="AB2" s="285" t="n">
        <v>2025</v>
      </c>
      <c r="AC2" s="286" t="inlineStr">
        <is>
          <t>Contribution</t>
        </is>
      </c>
    </row>
    <row r="3" ht="19.95" customHeight="1">
      <c r="A3" s="219" t="n">
        <v>1</v>
      </c>
      <c r="B3" s="231" t="inlineStr">
        <is>
          <t>"Zay" Vodka 700-ml</t>
        </is>
      </c>
      <c r="C3" s="219" t="n">
        <v>0.7</v>
      </c>
      <c r="D3" s="219" t="inlineStr">
        <is>
          <t>1 * 12</t>
        </is>
      </c>
      <c r="E3" s="1058" t="n">
        <v>105</v>
      </c>
      <c r="F3" s="1169" t="n"/>
      <c r="G3" s="1169" t="n">
        <v>34.8</v>
      </c>
      <c r="H3" s="1169" t="n"/>
      <c r="I3" s="1169" t="n">
        <v>60</v>
      </c>
      <c r="J3" s="1169" t="n">
        <v>12</v>
      </c>
      <c r="K3" s="1230" t="n">
        <v>72.59999999999999</v>
      </c>
      <c r="L3" s="1230" t="n">
        <v>25.2</v>
      </c>
      <c r="M3" s="1230" t="n">
        <v>280.2</v>
      </c>
      <c r="N3" s="1230" t="n">
        <v>165.4</v>
      </c>
      <c r="O3" s="1169" t="n">
        <v>14.4</v>
      </c>
      <c r="P3" s="1169" t="n">
        <v>30</v>
      </c>
      <c r="Q3" s="1169" t="n">
        <v>157.2</v>
      </c>
      <c r="R3" s="1169" t="n">
        <v>96</v>
      </c>
      <c r="S3" s="1169" t="n"/>
      <c r="T3" s="1169" t="n"/>
      <c r="U3" s="1169" t="n">
        <v>769.1999999999999</v>
      </c>
      <c r="V3" s="1169" t="n">
        <v>498</v>
      </c>
      <c r="W3" s="1169" t="n">
        <v>9.6</v>
      </c>
      <c r="X3" s="1169" t="n">
        <v>1.2</v>
      </c>
      <c r="Y3" s="1230" t="n">
        <v>31.3</v>
      </c>
      <c r="Z3" s="1230" t="n"/>
      <c r="AA3" s="1169" t="n">
        <v>1534.3</v>
      </c>
      <c r="AB3" s="1169" t="n">
        <v>827.8000000000001</v>
      </c>
      <c r="AC3" s="1058" t="n">
        <v>0.1413429233951528</v>
      </c>
    </row>
    <row r="4" ht="19.95" customFormat="1" customHeight="1" s="299">
      <c r="A4" s="296" t="n"/>
      <c r="B4" s="297" t="inlineStr">
        <is>
          <t>Zay Vodka</t>
        </is>
      </c>
      <c r="C4" s="296" t="n"/>
      <c r="D4" s="296" t="n"/>
      <c r="E4" s="1286">
        <f>SUM(E3)</f>
        <v/>
      </c>
      <c r="F4" s="1286">
        <f>SUM(F3)</f>
        <v/>
      </c>
      <c r="G4" s="1286">
        <f>SUM(G3)</f>
        <v/>
      </c>
      <c r="H4" s="1286">
        <f>SUM(H3)</f>
        <v/>
      </c>
      <c r="I4" s="1286">
        <f>SUM(I3)</f>
        <v/>
      </c>
      <c r="J4" s="1286">
        <f>SUM(J3)</f>
        <v/>
      </c>
      <c r="K4" s="1286">
        <f>SUM(K3)</f>
        <v/>
      </c>
      <c r="L4" s="1286">
        <f>SUM(L3)</f>
        <v/>
      </c>
      <c r="M4" s="1286">
        <f>SUM(M3)</f>
        <v/>
      </c>
      <c r="N4" s="1286">
        <f>SUM(N3)</f>
        <v/>
      </c>
      <c r="O4" s="1286">
        <f>SUM(O3)</f>
        <v/>
      </c>
      <c r="P4" s="1286">
        <f>SUM(P3)</f>
        <v/>
      </c>
      <c r="Q4" s="1286">
        <f>SUM(Q3)</f>
        <v/>
      </c>
      <c r="R4" s="1286">
        <f>SUM(R3)</f>
        <v/>
      </c>
      <c r="S4" s="1286">
        <f>SUM(S3)</f>
        <v/>
      </c>
      <c r="T4" s="1286">
        <f>SUM(T3)</f>
        <v/>
      </c>
      <c r="U4" s="1286">
        <f>SUM(U3)</f>
        <v/>
      </c>
      <c r="V4" s="1286">
        <f>SUM(V3)</f>
        <v/>
      </c>
      <c r="W4" s="1286">
        <f>SUM(W3)</f>
        <v/>
      </c>
      <c r="X4" s="1286">
        <f>SUM(X3)</f>
        <v/>
      </c>
      <c r="Y4" s="1286">
        <f>SUM(Y3)</f>
        <v/>
      </c>
      <c r="Z4" s="1286">
        <f>SUM(Z3)</f>
        <v/>
      </c>
      <c r="AA4" s="1286">
        <f>SUM(AA3)</f>
        <v/>
      </c>
      <c r="AB4" s="1286">
        <f>SUM(AB3)</f>
        <v/>
      </c>
      <c r="AC4" s="1286">
        <f>SUM(AC3)</f>
        <v/>
      </c>
    </row>
    <row r="5" ht="19.95" customHeight="1">
      <c r="A5" s="219" t="n">
        <v>2</v>
      </c>
      <c r="B5" s="231" t="inlineStr">
        <is>
          <t>"Zay" (1 Liter)</t>
        </is>
      </c>
      <c r="C5" s="219" t="n">
        <v>1</v>
      </c>
      <c r="D5" s="219" t="inlineStr">
        <is>
          <t>1 * 12</t>
        </is>
      </c>
      <c r="E5" s="1058" t="n"/>
      <c r="F5" s="1230" t="n">
        <v>3.428571428571428</v>
      </c>
      <c r="G5" s="1230" t="n"/>
      <c r="H5" s="1230" t="n"/>
      <c r="I5" s="1230" t="n"/>
      <c r="J5" s="1230" t="n"/>
      <c r="K5" s="1230" t="n">
        <v>8.571428571428571</v>
      </c>
      <c r="L5" s="1230" t="n">
        <v>0</v>
      </c>
      <c r="M5" s="1230" t="n"/>
      <c r="N5" s="1230" t="n"/>
      <c r="O5" s="1230" t="n"/>
      <c r="P5" s="1230" t="n"/>
      <c r="Q5" s="1230" t="n">
        <v>120</v>
      </c>
      <c r="R5" s="1230" t="n">
        <v>0</v>
      </c>
      <c r="S5" s="1230" t="n"/>
      <c r="T5" s="1230" t="n"/>
      <c r="U5" s="1169" t="n"/>
      <c r="V5" s="1169" t="n"/>
      <c r="W5" s="1169" t="n"/>
      <c r="X5" s="1169" t="n"/>
      <c r="Y5" s="1230" t="n"/>
      <c r="Z5" s="1230" t="n"/>
      <c r="AA5" s="1169" t="n">
        <v>128.5714285714286</v>
      </c>
      <c r="AB5" s="1169" t="n">
        <v>3.428571428571428</v>
      </c>
      <c r="AC5" s="1058" t="n">
        <v>0.0005854123082669498</v>
      </c>
    </row>
    <row r="6" ht="19.95" customHeight="1">
      <c r="A6" s="219" t="n">
        <v>3</v>
      </c>
      <c r="B6" s="164" t="inlineStr">
        <is>
          <t>"Zay" - 640ml</t>
        </is>
      </c>
      <c r="C6" s="152" t="n">
        <v>0.64</v>
      </c>
      <c r="D6" s="152" t="inlineStr">
        <is>
          <t>1 * 14</t>
        </is>
      </c>
      <c r="E6" s="1058" t="n">
        <v>21289.69142857143</v>
      </c>
      <c r="F6" s="1230" t="n">
        <v>21275.61142857143</v>
      </c>
      <c r="G6" s="1230" t="n">
        <v>1116.16</v>
      </c>
      <c r="H6" s="1230" t="n">
        <v>490.24</v>
      </c>
      <c r="I6" s="1230" t="n">
        <v>149.76</v>
      </c>
      <c r="J6" s="1230" t="n">
        <v>14.08</v>
      </c>
      <c r="K6" s="1230" t="n">
        <v>5012.48</v>
      </c>
      <c r="L6" s="1230" t="n">
        <v>6690.102857142857</v>
      </c>
      <c r="M6" s="1230" t="n">
        <v>6900.480000000001</v>
      </c>
      <c r="N6" s="1230" t="n">
        <v>10144</v>
      </c>
      <c r="O6" s="1230" t="n">
        <v>4503.04</v>
      </c>
      <c r="P6" s="1230" t="n">
        <v>2979.84</v>
      </c>
      <c r="Q6" s="1230" t="n">
        <v>37575.49714285714</v>
      </c>
      <c r="R6" s="1230" t="n">
        <v>42938.88</v>
      </c>
      <c r="S6" s="1230" t="n">
        <v>2368</v>
      </c>
      <c r="T6" s="1230" t="n">
        <v>3091.2</v>
      </c>
      <c r="U6" s="1169" t="n">
        <v>4750.994285714286</v>
      </c>
      <c r="V6" s="1169" t="n">
        <v>5218.559999999999</v>
      </c>
      <c r="W6" s="1230" t="n">
        <v>6131.2</v>
      </c>
      <c r="X6" s="1230" t="n">
        <v>6602.165714285715</v>
      </c>
      <c r="Y6" s="1230" t="n">
        <v>11612.16</v>
      </c>
      <c r="Z6" s="1230" t="n">
        <v>10357.73142857143</v>
      </c>
      <c r="AA6" s="1169" t="n">
        <v>101409.4628571429</v>
      </c>
      <c r="AB6" s="1169" t="n">
        <v>109802.4114285714</v>
      </c>
      <c r="AC6" s="1058" t="n">
        <v>18.74824091223922</v>
      </c>
    </row>
    <row r="7" ht="19.95" customFormat="1" customHeight="1" s="299">
      <c r="A7" s="296" t="n"/>
      <c r="B7" s="300" t="inlineStr">
        <is>
          <t>Zay</t>
        </is>
      </c>
      <c r="C7" s="301" t="n"/>
      <c r="D7" s="301" t="n"/>
      <c r="E7" s="1286">
        <f>SUM(E5:E6)</f>
        <v/>
      </c>
      <c r="F7" s="1286">
        <f>SUM(F5:F6)</f>
        <v/>
      </c>
      <c r="G7" s="1286">
        <f>SUM(G5:G6)</f>
        <v/>
      </c>
      <c r="H7" s="1286">
        <f>SUM(H5:H6)</f>
        <v/>
      </c>
      <c r="I7" s="1286">
        <f>SUM(I5:I6)</f>
        <v/>
      </c>
      <c r="J7" s="1286">
        <f>SUM(J5:J6)</f>
        <v/>
      </c>
      <c r="K7" s="1286">
        <f>SUM(K5:K6)</f>
        <v/>
      </c>
      <c r="L7" s="1286">
        <f>SUM(L5:L6)</f>
        <v/>
      </c>
      <c r="M7" s="1286">
        <f>SUM(M5:M6)</f>
        <v/>
      </c>
      <c r="N7" s="1286">
        <f>SUM(N5:N6)</f>
        <v/>
      </c>
      <c r="O7" s="1286">
        <f>SUM(O5:O6)</f>
        <v/>
      </c>
      <c r="P7" s="1286">
        <f>SUM(P5:P6)</f>
        <v/>
      </c>
      <c r="Q7" s="1286">
        <f>SUM(Q5:Q6)</f>
        <v/>
      </c>
      <c r="R7" s="1286">
        <f>SUM(R5:R6)</f>
        <v/>
      </c>
      <c r="S7" s="1286">
        <f>SUM(S5:S6)</f>
        <v/>
      </c>
      <c r="T7" s="1286">
        <f>SUM(T5:T6)</f>
        <v/>
      </c>
      <c r="U7" s="1286">
        <f>SUM(U5:U6)</f>
        <v/>
      </c>
      <c r="V7" s="1286">
        <f>SUM(V5:V6)</f>
        <v/>
      </c>
      <c r="W7" s="1286">
        <f>SUM(W5:W6)</f>
        <v/>
      </c>
      <c r="X7" s="1286">
        <f>SUM(X5:X6)</f>
        <v/>
      </c>
      <c r="Y7" s="1286">
        <f>SUM(Y5:Y6)</f>
        <v/>
      </c>
      <c r="Z7" s="1286">
        <f>SUM(Z5:Z6)</f>
        <v/>
      </c>
      <c r="AA7" s="1286">
        <f>SUM(AA5:AA6)</f>
        <v/>
      </c>
      <c r="AB7" s="1286">
        <f>SUM(AB5:AB6)</f>
        <v/>
      </c>
      <c r="AC7" s="1286">
        <f>SUM(AC5:AC6)</f>
        <v/>
      </c>
    </row>
    <row r="8" ht="19.95" customHeight="1">
      <c r="A8" s="219" t="n">
        <v>4</v>
      </c>
      <c r="B8" s="164" t="inlineStr">
        <is>
          <t>Kaung Kyi (1 Liter)_25%</t>
        </is>
      </c>
      <c r="C8" s="152" t="n">
        <v>1</v>
      </c>
      <c r="D8" s="152" t="inlineStr">
        <is>
          <t>1 * 12</t>
        </is>
      </c>
      <c r="E8" s="1058" t="n">
        <v>6001.714285714285</v>
      </c>
      <c r="F8" s="1230" t="n">
        <v>11782.28571428571</v>
      </c>
      <c r="G8" s="1230" t="n">
        <v>265.7142857142857</v>
      </c>
      <c r="H8" s="1230" t="n">
        <v>865.7142857142857</v>
      </c>
      <c r="I8" s="1230" t="n">
        <v>303.4285714285714</v>
      </c>
      <c r="J8" s="1230" t="n">
        <v>1990.285714285714</v>
      </c>
      <c r="K8" s="1230" t="n">
        <v>2470.285714285714</v>
      </c>
      <c r="L8" s="1230" t="n">
        <v>3752.571428571428</v>
      </c>
      <c r="M8" s="1230" t="n">
        <v>1294.285714285714</v>
      </c>
      <c r="N8" s="1230" t="n">
        <v>2700</v>
      </c>
      <c r="O8" s="1230" t="n">
        <v>120</v>
      </c>
      <c r="P8" s="1230" t="n">
        <v>222.8571428571429</v>
      </c>
      <c r="Q8" s="1230" t="n">
        <v>1621.714285714286</v>
      </c>
      <c r="R8" s="1230" t="n">
        <v>6288.857142857143</v>
      </c>
      <c r="S8" s="1230" t="n"/>
      <c r="T8" s="1230" t="n">
        <v>360</v>
      </c>
      <c r="U8" s="1169" t="n">
        <v>171.4285714285714</v>
      </c>
      <c r="V8" s="1169" t="n">
        <v>51.42857142857143</v>
      </c>
      <c r="W8" s="1230" t="n">
        <v>2093.142857142857</v>
      </c>
      <c r="X8" s="1230" t="n">
        <v>3404.571428571428</v>
      </c>
      <c r="Y8" s="1230" t="n"/>
      <c r="Z8" s="1230" t="n">
        <v>977.1428571428571</v>
      </c>
      <c r="AA8" s="1169" t="n">
        <v>14341.71428571428</v>
      </c>
      <c r="AB8" s="1169" t="n">
        <v>32395.71428571429</v>
      </c>
      <c r="AC8" s="1058" t="n">
        <v>5.531414547737343</v>
      </c>
    </row>
    <row r="9" ht="19.95" customHeight="1">
      <c r="A9" s="219" t="n">
        <v>5</v>
      </c>
      <c r="B9" s="164" t="inlineStr">
        <is>
          <t>Kaung Kyi (0.6 Liter)_25%</t>
        </is>
      </c>
      <c r="C9" s="152" t="n">
        <v>0.6</v>
      </c>
      <c r="D9" s="152" t="inlineStr">
        <is>
          <t>1 * 12</t>
        </is>
      </c>
      <c r="E9" s="1058" t="n">
        <v>145.0285714285714</v>
      </c>
      <c r="F9" s="1230" t="n">
        <v>175.8857142857143</v>
      </c>
      <c r="G9" s="1230" t="n"/>
      <c r="H9" s="1230" t="n"/>
      <c r="I9" s="1230" t="n"/>
      <c r="J9" s="1230" t="n"/>
      <c r="K9" s="1230" t="n">
        <v>161.4857142857143</v>
      </c>
      <c r="L9" s="1230" t="n">
        <v>213.9428571428571</v>
      </c>
      <c r="M9" s="1230" t="n"/>
      <c r="N9" s="1230" t="n"/>
      <c r="O9" s="1230" t="n"/>
      <c r="P9" s="1230" t="n"/>
      <c r="Q9" s="1230" t="n"/>
      <c r="R9" s="1230" t="n"/>
      <c r="S9" s="1230" t="n"/>
      <c r="T9" s="1230" t="n"/>
      <c r="U9" s="1169" t="n"/>
      <c r="V9" s="1169" t="n"/>
      <c r="W9" s="1230" t="n"/>
      <c r="X9" s="1230" t="n"/>
      <c r="Y9" s="1230" t="n"/>
      <c r="Z9" s="1230" t="n"/>
      <c r="AA9" s="1169" t="n">
        <v>306.5142857142857</v>
      </c>
      <c r="AB9" s="1169" t="n">
        <v>389.8285714285714</v>
      </c>
      <c r="AC9" s="1058" t="n">
        <v>0.0665613794499522</v>
      </c>
    </row>
    <row r="10" ht="19.95" customHeight="1">
      <c r="A10" s="219" t="n">
        <v>6</v>
      </c>
      <c r="B10" s="164" t="inlineStr">
        <is>
          <t xml:space="preserve">Kaung Kyi </t>
        </is>
      </c>
      <c r="C10" s="152" t="n">
        <v>0.64</v>
      </c>
      <c r="D10" s="152" t="inlineStr">
        <is>
          <t>1 * 14</t>
        </is>
      </c>
      <c r="E10" s="1058" t="n">
        <v>19673.78285714286</v>
      </c>
      <c r="F10" s="1230" t="n">
        <v>21909.12</v>
      </c>
      <c r="G10" s="1230" t="n">
        <v>723.1999999999999</v>
      </c>
      <c r="H10" s="1230" t="n">
        <v>393.9657142857143</v>
      </c>
      <c r="I10" s="1230" t="n">
        <v>282.88</v>
      </c>
      <c r="J10" s="1230" t="n">
        <v>710.3999999999999</v>
      </c>
      <c r="K10" s="1230" t="n">
        <v>6604.708571428572</v>
      </c>
      <c r="L10" s="1230" t="n">
        <v>8870.4</v>
      </c>
      <c r="M10" s="1230" t="n">
        <v>3654.400000000001</v>
      </c>
      <c r="N10" s="1230" t="n">
        <v>2592</v>
      </c>
      <c r="O10" s="1230" t="n">
        <v>4851.2</v>
      </c>
      <c r="P10" s="1230" t="n">
        <v>134.4</v>
      </c>
      <c r="Q10" s="1230" t="n">
        <v>4298.24</v>
      </c>
      <c r="R10" s="1230" t="n">
        <v>5390.080000000001</v>
      </c>
      <c r="S10" s="1230" t="n">
        <v>345.6</v>
      </c>
      <c r="T10" s="1230" t="n">
        <v>160</v>
      </c>
      <c r="U10" s="1169" t="n">
        <v>2332.16</v>
      </c>
      <c r="V10" s="1169" t="n">
        <v>806.3999999999999</v>
      </c>
      <c r="W10" s="1230" t="n">
        <v>128</v>
      </c>
      <c r="X10" s="1230" t="n">
        <v>143.36</v>
      </c>
      <c r="Y10" s="1230" t="n">
        <v>350.72</v>
      </c>
      <c r="Z10" s="1230" t="n"/>
      <c r="AA10" s="1169" t="n">
        <v>43244.89142857143</v>
      </c>
      <c r="AB10" s="1169" t="n">
        <v>41110.12571428571</v>
      </c>
      <c r="AC10" s="1058" t="n">
        <v>7.01935896303381</v>
      </c>
    </row>
    <row r="11" ht="19.95" customFormat="1" customHeight="1" s="299">
      <c r="A11" s="296" t="n"/>
      <c r="B11" s="300" t="inlineStr">
        <is>
          <t>Kaung Kyi</t>
        </is>
      </c>
      <c r="C11" s="301" t="n"/>
      <c r="D11" s="301" t="n"/>
      <c r="E11" s="1286">
        <f>SUM(E8:E10)</f>
        <v/>
      </c>
      <c r="F11" s="1286">
        <f>SUM(F8:F10)</f>
        <v/>
      </c>
      <c r="G11" s="1286">
        <f>SUM(G8:G10)</f>
        <v/>
      </c>
      <c r="H11" s="1286">
        <f>SUM(H8:H10)</f>
        <v/>
      </c>
      <c r="I11" s="1286">
        <f>SUM(I8:I10)</f>
        <v/>
      </c>
      <c r="J11" s="1286">
        <f>SUM(J8:J10)</f>
        <v/>
      </c>
      <c r="K11" s="1286">
        <f>SUM(K8:K10)</f>
        <v/>
      </c>
      <c r="L11" s="1286">
        <f>SUM(L8:L10)</f>
        <v/>
      </c>
      <c r="M11" s="1286">
        <f>SUM(M8:M10)</f>
        <v/>
      </c>
      <c r="N11" s="1286">
        <f>SUM(N8:N10)</f>
        <v/>
      </c>
      <c r="O11" s="1286">
        <f>SUM(O8:O10)</f>
        <v/>
      </c>
      <c r="P11" s="1286">
        <f>SUM(P8:P10)</f>
        <v/>
      </c>
      <c r="Q11" s="1286">
        <f>SUM(Q8:Q10)</f>
        <v/>
      </c>
      <c r="R11" s="1286">
        <f>SUM(R8:R10)</f>
        <v/>
      </c>
      <c r="S11" s="1286">
        <f>SUM(S8:S10)</f>
        <v/>
      </c>
      <c r="T11" s="1286">
        <f>SUM(T8:T10)</f>
        <v/>
      </c>
      <c r="U11" s="1286">
        <f>SUM(U8:U10)</f>
        <v/>
      </c>
      <c r="V11" s="1286">
        <f>SUM(V8:V10)</f>
        <v/>
      </c>
      <c r="W11" s="1286">
        <f>SUM(W8:W10)</f>
        <v/>
      </c>
      <c r="X11" s="1286">
        <f>SUM(X8:X10)</f>
        <v/>
      </c>
      <c r="Y11" s="1286">
        <f>SUM(Y8:Y10)</f>
        <v/>
      </c>
      <c r="Z11" s="1286">
        <f>SUM(Z8:Z10)</f>
        <v/>
      </c>
      <c r="AA11" s="1286">
        <f>SUM(AA8:AA10)</f>
        <v/>
      </c>
      <c r="AB11" s="1286">
        <f>SUM(AB8:AB10)</f>
        <v/>
      </c>
      <c r="AC11" s="1286">
        <f>SUM(AC8:AC10)</f>
        <v/>
      </c>
    </row>
    <row r="12" ht="19.95" customHeight="1">
      <c r="A12" s="219" t="n">
        <v>7</v>
      </c>
      <c r="B12" s="164" t="inlineStr">
        <is>
          <t>မိုးနဲကွန်ကီကော်ဘူး(1 Liter)</t>
        </is>
      </c>
      <c r="C12" s="152" t="n">
        <v>1</v>
      </c>
      <c r="D12" s="152" t="inlineStr">
        <is>
          <t>1 * 12</t>
        </is>
      </c>
      <c r="E12" s="1058" t="n"/>
      <c r="F12" s="1230" t="n">
        <v>406.2857142857143</v>
      </c>
      <c r="G12" s="1230" t="n"/>
      <c r="H12" s="1230" t="n">
        <v>42.85714285714285</v>
      </c>
      <c r="I12" s="1230" t="n"/>
      <c r="J12" s="1230" t="n">
        <v>1599.428571428571</v>
      </c>
      <c r="K12" s="1230" t="n"/>
      <c r="L12" s="1230" t="n">
        <v>18.85714285714286</v>
      </c>
      <c r="M12" s="1230" t="n"/>
      <c r="N12" s="1230" t="n"/>
      <c r="O12" s="1230" t="n"/>
      <c r="P12" s="1230" t="n">
        <v>980.5714285714286</v>
      </c>
      <c r="Q12" s="1230" t="n"/>
      <c r="R12" s="1230" t="n">
        <v>1700.571428571429</v>
      </c>
      <c r="S12" s="1230" t="n"/>
      <c r="T12" s="1230" t="n">
        <v>94.28571428571429</v>
      </c>
      <c r="U12" s="1169" t="n"/>
      <c r="V12" s="1169" t="n"/>
      <c r="W12" s="1230" t="n"/>
      <c r="X12" s="1230" t="n">
        <v>20.57142857142857</v>
      </c>
      <c r="Y12" s="1230" t="n"/>
      <c r="Z12" s="1230" t="n"/>
      <c r="AA12" s="1169" t="n">
        <v>0</v>
      </c>
      <c r="AB12" s="1169" t="n">
        <v>4863.428571428572</v>
      </c>
      <c r="AC12" s="1058" t="n">
        <v>0.8304073592766684</v>
      </c>
    </row>
    <row r="13" ht="19.95" customHeight="1">
      <c r="A13" s="219" t="n">
        <v>8</v>
      </c>
      <c r="B13" s="164" t="inlineStr">
        <is>
          <t xml:space="preserve">Moe Nae Kon Ki </t>
        </is>
      </c>
      <c r="C13" s="152" t="n">
        <v>0.64</v>
      </c>
      <c r="D13" s="152" t="inlineStr">
        <is>
          <t>1 * 14</t>
        </is>
      </c>
      <c r="E13" s="1058" t="n">
        <v>10353.09714285714</v>
      </c>
      <c r="F13" s="1230" t="n">
        <v>9274.605714285715</v>
      </c>
      <c r="G13" s="1230" t="n">
        <v>1635.84</v>
      </c>
      <c r="H13" s="1230" t="n">
        <v>711.6799999999999</v>
      </c>
      <c r="I13" s="1230" t="n">
        <v>12112.64</v>
      </c>
      <c r="J13" s="1230" t="n">
        <v>8012.8</v>
      </c>
      <c r="K13" s="1230" t="n">
        <v>485.3942857142858</v>
      </c>
      <c r="L13" s="1230" t="n">
        <v>305.92</v>
      </c>
      <c r="M13" s="1230" t="n">
        <v>1662.72</v>
      </c>
      <c r="N13" s="1230" t="n">
        <v>844.8000000000001</v>
      </c>
      <c r="O13" s="1230" t="n">
        <v>5281.371428571429</v>
      </c>
      <c r="P13" s="1230" t="n">
        <v>1063.68</v>
      </c>
      <c r="Q13" s="1230" t="n">
        <v>15559.68</v>
      </c>
      <c r="R13" s="1230" t="n">
        <v>12646.4</v>
      </c>
      <c r="S13" s="1230" t="n">
        <v>1209.6</v>
      </c>
      <c r="T13" s="1230" t="n">
        <v>544</v>
      </c>
      <c r="U13" s="1169" t="n">
        <v>38.4</v>
      </c>
      <c r="V13" s="1169" t="n"/>
      <c r="W13" s="1230" t="n">
        <v>234.0571428571429</v>
      </c>
      <c r="X13" s="1230" t="n">
        <v>129.8971428571429</v>
      </c>
      <c r="Y13" s="1230" t="n">
        <v>1.28</v>
      </c>
      <c r="Z13" s="1230" t="n"/>
      <c r="AA13" s="1169" t="n">
        <v>48574.07999999999</v>
      </c>
      <c r="AB13" s="1169" t="n">
        <v>33533.78285714286</v>
      </c>
      <c r="AC13" s="1058" t="n">
        <v>5.725734357969114</v>
      </c>
    </row>
    <row r="14" ht="19.95" customFormat="1" customHeight="1" s="299">
      <c r="A14" s="296" t="n"/>
      <c r="B14" s="300" t="inlineStr">
        <is>
          <t xml:space="preserve">Moe Nae Kon Ki </t>
        </is>
      </c>
      <c r="C14" s="301" t="n"/>
      <c r="D14" s="301" t="n"/>
      <c r="E14" s="1286">
        <f>SUM(E12:E13)</f>
        <v/>
      </c>
      <c r="F14" s="1286">
        <f>SUM(F12:F13)</f>
        <v/>
      </c>
      <c r="G14" s="1286">
        <f>SUM(G12:G13)</f>
        <v/>
      </c>
      <c r="H14" s="1286">
        <f>SUM(H12:H13)</f>
        <v/>
      </c>
      <c r="I14" s="1286">
        <f>SUM(I12:I13)</f>
        <v/>
      </c>
      <c r="J14" s="1286">
        <f>SUM(J12:J13)</f>
        <v/>
      </c>
      <c r="K14" s="1286">
        <f>SUM(K12:K13)</f>
        <v/>
      </c>
      <c r="L14" s="1286">
        <f>SUM(L12:L13)</f>
        <v/>
      </c>
      <c r="M14" s="1286">
        <f>SUM(M12:M13)</f>
        <v/>
      </c>
      <c r="N14" s="1286">
        <f>SUM(N12:N13)</f>
        <v/>
      </c>
      <c r="O14" s="1286">
        <f>SUM(O12:O13)</f>
        <v/>
      </c>
      <c r="P14" s="1286">
        <f>SUM(P12:P13)</f>
        <v/>
      </c>
      <c r="Q14" s="1286">
        <f>SUM(Q12:Q13)</f>
        <v/>
      </c>
      <c r="R14" s="1286">
        <f>SUM(R12:R13)</f>
        <v/>
      </c>
      <c r="S14" s="1286">
        <f>SUM(S12:S13)</f>
        <v/>
      </c>
      <c r="T14" s="1286">
        <f>SUM(T12:T13)</f>
        <v/>
      </c>
      <c r="U14" s="1286">
        <f>SUM(U12:U13)</f>
        <v/>
      </c>
      <c r="V14" s="1286">
        <f>SUM(V12:V13)</f>
        <v/>
      </c>
      <c r="W14" s="1286">
        <f>SUM(W12:W13)</f>
        <v/>
      </c>
      <c r="X14" s="1286">
        <f>SUM(X12:X13)</f>
        <v/>
      </c>
      <c r="Y14" s="1286">
        <f>SUM(Y12:Y13)</f>
        <v/>
      </c>
      <c r="Z14" s="1286">
        <f>SUM(Z12:Z13)</f>
        <v/>
      </c>
      <c r="AA14" s="1286">
        <f>SUM(AA12:AA13)</f>
        <v/>
      </c>
      <c r="AB14" s="1286">
        <f>SUM(AB12:AB13)</f>
        <v/>
      </c>
      <c r="AC14" s="1286">
        <f>SUM(AC12:AC13)</f>
        <v/>
      </c>
    </row>
    <row r="15" ht="19.95" customHeight="1">
      <c r="A15" s="219" t="n">
        <v>9</v>
      </c>
      <c r="B15" s="164" t="inlineStr">
        <is>
          <t>Zayawaddy Red(1 Liter)30%</t>
        </is>
      </c>
      <c r="C15" s="152" t="n">
        <v>1</v>
      </c>
      <c r="D15" s="152" t="inlineStr">
        <is>
          <t>1 * 12</t>
        </is>
      </c>
      <c r="E15" s="1058" t="n"/>
      <c r="F15" s="1230" t="n">
        <v>282.8571428571428</v>
      </c>
      <c r="G15" s="1230" t="n"/>
      <c r="H15" s="1230" t="n"/>
      <c r="I15" s="1230" t="n"/>
      <c r="J15" s="1230" t="n"/>
      <c r="K15" s="1230" t="n"/>
      <c r="L15" s="1230" t="n"/>
      <c r="M15" s="1230" t="n"/>
      <c r="N15" s="1230" t="n"/>
      <c r="O15" s="1230" t="n"/>
      <c r="P15" s="1230" t="n"/>
      <c r="Q15" s="1230" t="n"/>
      <c r="R15" s="1230" t="n"/>
      <c r="S15" s="1230" t="n"/>
      <c r="T15" s="1230" t="n"/>
      <c r="U15" s="1169" t="n"/>
      <c r="V15" s="1169" t="n"/>
      <c r="W15" s="1230" t="n"/>
      <c r="X15" s="1230" t="n"/>
      <c r="Y15" s="1230" t="n"/>
      <c r="Z15" s="1230" t="n"/>
      <c r="AA15" s="1169" t="n">
        <v>0</v>
      </c>
      <c r="AB15" s="1169" t="n">
        <v>282.8571428571428</v>
      </c>
      <c r="AC15" s="1058" t="n">
        <v>0.04829651543202337</v>
      </c>
    </row>
    <row r="16" ht="19.95" customHeight="1">
      <c r="A16" s="219" t="n">
        <v>10</v>
      </c>
      <c r="B16" s="164" t="inlineStr">
        <is>
          <t xml:space="preserve">Zayawaddy Red </t>
        </is>
      </c>
      <c r="C16" s="152" t="n">
        <v>0.7</v>
      </c>
      <c r="D16" s="152" t="inlineStr">
        <is>
          <t>1 * 12</t>
        </is>
      </c>
      <c r="E16" s="1058" t="n">
        <v>826.8</v>
      </c>
      <c r="F16" s="1230" t="n">
        <v>660</v>
      </c>
      <c r="G16" s="1230" t="n">
        <v>186</v>
      </c>
      <c r="H16" s="1230" t="n">
        <v>132</v>
      </c>
      <c r="I16" s="1230" t="n">
        <v>1219.2</v>
      </c>
      <c r="J16" s="1230" t="n">
        <v>1680</v>
      </c>
      <c r="K16" s="1230" t="n">
        <v>152.4</v>
      </c>
      <c r="L16" s="1230" t="n">
        <v>0</v>
      </c>
      <c r="M16" s="1230" t="n">
        <v>244.6</v>
      </c>
      <c r="N16" s="1230" t="n">
        <v>42</v>
      </c>
      <c r="O16" s="1230" t="n">
        <v>150</v>
      </c>
      <c r="P16" s="1230" t="n">
        <v>1.2</v>
      </c>
      <c r="Q16" s="1230" t="n">
        <v>234</v>
      </c>
      <c r="R16" s="1230" t="n">
        <v>270</v>
      </c>
      <c r="S16" s="1230" t="n"/>
      <c r="T16" s="1230" t="n"/>
      <c r="U16" s="1169" t="n"/>
      <c r="V16" s="1169" t="n"/>
      <c r="W16" s="1230" t="n">
        <v>24</v>
      </c>
      <c r="X16" s="1230" t="n">
        <v>0</v>
      </c>
      <c r="Y16" s="1230" t="n"/>
      <c r="Z16" s="1230" t="n"/>
      <c r="AA16" s="1169" t="n">
        <v>3037</v>
      </c>
      <c r="AB16" s="1169" t="n">
        <v>2785.2</v>
      </c>
      <c r="AC16" s="1058" t="n">
        <v>0.4755596886206567</v>
      </c>
    </row>
    <row r="17" ht="19.95" customHeight="1">
      <c r="A17" s="219" t="n">
        <v>11</v>
      </c>
      <c r="B17" s="164" t="inlineStr">
        <is>
          <t>Zeyawaddy Rum (43%)</t>
        </is>
      </c>
      <c r="C17" s="152" t="n">
        <v>0.68</v>
      </c>
      <c r="D17" s="152" t="inlineStr">
        <is>
          <t>1 * 12</t>
        </is>
      </c>
      <c r="E17" s="1058" t="n">
        <v>302.1142857142858</v>
      </c>
      <c r="F17" s="1230" t="n">
        <v>1.165714285714286</v>
      </c>
      <c r="G17" s="1230" t="n">
        <v>9.325714285714286</v>
      </c>
      <c r="H17" s="1230" t="n">
        <v>0</v>
      </c>
      <c r="I17" s="1230" t="n"/>
      <c r="J17" s="1230" t="n"/>
      <c r="K17" s="1230" t="n">
        <v>36.13714285714286</v>
      </c>
      <c r="L17" s="1230" t="n">
        <v>139.8857142857143</v>
      </c>
      <c r="M17" s="1230" t="n">
        <v>30.30857142857143</v>
      </c>
      <c r="N17" s="1230" t="n">
        <v>17.48571428571429</v>
      </c>
      <c r="O17" s="1230" t="n">
        <v>116.5714285714286</v>
      </c>
      <c r="P17" s="1230" t="n">
        <v>23.31428571428572</v>
      </c>
      <c r="Q17" s="1230" t="n">
        <v>86.84571428571429</v>
      </c>
      <c r="R17" s="1230" t="n">
        <v>129.3942857142857</v>
      </c>
      <c r="S17" s="1230" t="n"/>
      <c r="T17" s="1230" t="n"/>
      <c r="U17" s="1169" t="n"/>
      <c r="V17" s="1169" t="n"/>
      <c r="W17" s="1230" t="n">
        <v>13.50285714285714</v>
      </c>
      <c r="X17" s="1230" t="n">
        <v>6.971428571428572</v>
      </c>
      <c r="Y17" s="1230" t="n"/>
      <c r="Z17" s="1230" t="n"/>
      <c r="AA17" s="1169" t="n">
        <v>594.8057142857143</v>
      </c>
      <c r="AB17" s="1169" t="n">
        <v>318.2171428571429</v>
      </c>
      <c r="AC17" s="1058" t="n">
        <v>0.05433406770461652</v>
      </c>
    </row>
    <row r="18" ht="19.95" customHeight="1">
      <c r="A18" s="219" t="n">
        <v>12</v>
      </c>
      <c r="B18" s="164" t="inlineStr">
        <is>
          <t xml:space="preserve">Zayawaddy Red </t>
        </is>
      </c>
      <c r="C18" s="152" t="n">
        <v>0.64</v>
      </c>
      <c r="D18" s="152" t="inlineStr">
        <is>
          <t>1 * 14</t>
        </is>
      </c>
      <c r="E18" s="1058" t="n">
        <v>10621.25714285714</v>
      </c>
      <c r="F18" s="1230" t="n">
        <v>10298.14857142857</v>
      </c>
      <c r="G18" s="1230" t="n">
        <v>3106.56</v>
      </c>
      <c r="H18" s="1230" t="n">
        <v>2316.8</v>
      </c>
      <c r="I18" s="1230" t="n">
        <v>8741.120000000001</v>
      </c>
      <c r="J18" s="1230" t="n">
        <v>10780.16</v>
      </c>
      <c r="K18" s="1230" t="n">
        <v>160</v>
      </c>
      <c r="L18" s="1230" t="n">
        <v>64</v>
      </c>
      <c r="M18" s="1230" t="n">
        <v>2860.8</v>
      </c>
      <c r="N18" s="1230" t="n">
        <v>2643.2</v>
      </c>
      <c r="O18" s="1230" t="n">
        <v>1036.8</v>
      </c>
      <c r="P18" s="1230" t="n">
        <v>67.84</v>
      </c>
      <c r="Q18" s="1230" t="n">
        <v>89.60000000000001</v>
      </c>
      <c r="R18" s="1230" t="n">
        <v>0</v>
      </c>
      <c r="S18" s="1230" t="n">
        <v>4358.4</v>
      </c>
      <c r="T18" s="1230" t="n">
        <v>4940.8</v>
      </c>
      <c r="U18" s="1169" t="n">
        <v>309.76</v>
      </c>
      <c r="V18" s="1169" t="n"/>
      <c r="W18" s="1230" t="n">
        <v>34.56</v>
      </c>
      <c r="X18" s="1230" t="n">
        <v>2.56</v>
      </c>
      <c r="Y18" s="1230" t="n">
        <v>1868.8</v>
      </c>
      <c r="Z18" s="1230" t="n">
        <v>1999.36</v>
      </c>
      <c r="AA18" s="1169" t="n">
        <v>33187.65714285714</v>
      </c>
      <c r="AB18" s="1169" t="n">
        <v>33112.86857142857</v>
      </c>
      <c r="AC18" s="1058" t="n">
        <v>5.653865240257542</v>
      </c>
    </row>
    <row r="19" ht="19.95" customHeight="1">
      <c r="A19" s="219" t="n">
        <v>13</v>
      </c>
      <c r="B19" s="164" t="inlineStr">
        <is>
          <t>ဇေယျဝတီ Red (ပု)</t>
        </is>
      </c>
      <c r="C19" s="152" t="n">
        <v>0.64</v>
      </c>
      <c r="D19" s="152" t="inlineStr">
        <is>
          <t>1 * 14</t>
        </is>
      </c>
      <c r="E19" s="1058" t="n">
        <v>51.29142857142858</v>
      </c>
      <c r="F19" s="1230" t="n">
        <v>0</v>
      </c>
      <c r="G19" s="1230" t="n">
        <v>14.35428571428571</v>
      </c>
      <c r="H19" s="1230" t="n"/>
      <c r="I19" s="1230" t="n">
        <v>55.31428571428571</v>
      </c>
      <c r="J19" s="1230" t="n"/>
      <c r="K19" s="1230" t="n">
        <v>389.12</v>
      </c>
      <c r="L19" s="1230" t="n">
        <v>686.08</v>
      </c>
      <c r="M19" s="1230" t="n">
        <v>124.16</v>
      </c>
      <c r="N19" s="1230" t="n">
        <v>0</v>
      </c>
      <c r="O19" s="1230" t="n">
        <v>30.72</v>
      </c>
      <c r="P19" s="1230" t="n">
        <v>0</v>
      </c>
      <c r="Q19" s="1230" t="n">
        <v>501.7599999999999</v>
      </c>
      <c r="R19" s="1230" t="n">
        <v>392.96</v>
      </c>
      <c r="S19" s="1230" t="n">
        <v>256</v>
      </c>
      <c r="T19" s="1230" t="n">
        <v>192</v>
      </c>
      <c r="U19" s="1169" t="n">
        <v>0.64</v>
      </c>
      <c r="V19" s="1169" t="n"/>
      <c r="W19" s="1230" t="n">
        <v>53.76</v>
      </c>
      <c r="X19" s="1230" t="n">
        <v>19.2</v>
      </c>
      <c r="Y19" s="1230" t="n">
        <v>32</v>
      </c>
      <c r="Z19" s="1230" t="n">
        <v>64.02857142857144</v>
      </c>
      <c r="AA19" s="1169" t="n">
        <v>1509.12</v>
      </c>
      <c r="AB19" s="1169" t="n">
        <v>1354.268571428571</v>
      </c>
      <c r="AC19" s="1058" t="n">
        <v>0.2312349347039039</v>
      </c>
    </row>
    <row r="20" ht="19.95" customFormat="1" customHeight="1" s="299">
      <c r="A20" s="296" t="n"/>
      <c r="B20" s="300" t="inlineStr">
        <is>
          <t>Zayawaddy</t>
        </is>
      </c>
      <c r="C20" s="301" t="n"/>
      <c r="D20" s="301" t="n"/>
      <c r="E20" s="1286">
        <f>SUM(E15:E19)</f>
        <v/>
      </c>
      <c r="F20" s="1286">
        <f>SUM(F15:F19)</f>
        <v/>
      </c>
      <c r="G20" s="1286">
        <f>SUM(G15:G19)</f>
        <v/>
      </c>
      <c r="H20" s="1286">
        <f>SUM(H15:H19)</f>
        <v/>
      </c>
      <c r="I20" s="1286">
        <f>SUM(I15:I19)</f>
        <v/>
      </c>
      <c r="J20" s="1286">
        <f>SUM(J15:J19)</f>
        <v/>
      </c>
      <c r="K20" s="1286">
        <f>SUM(K15:K19)</f>
        <v/>
      </c>
      <c r="L20" s="1286">
        <f>SUM(L15:L19)</f>
        <v/>
      </c>
      <c r="M20" s="1286">
        <f>SUM(M15:M19)</f>
        <v/>
      </c>
      <c r="N20" s="1286">
        <f>SUM(N15:N19)</f>
        <v/>
      </c>
      <c r="O20" s="1286">
        <f>SUM(O15:O19)</f>
        <v/>
      </c>
      <c r="P20" s="1286">
        <f>SUM(P15:P19)</f>
        <v/>
      </c>
      <c r="Q20" s="1286">
        <f>SUM(Q15:Q19)</f>
        <v/>
      </c>
      <c r="R20" s="1286">
        <f>SUM(R15:R19)</f>
        <v/>
      </c>
      <c r="S20" s="1286">
        <f>SUM(S15:S19)</f>
        <v/>
      </c>
      <c r="T20" s="1286">
        <f>SUM(T15:T19)</f>
        <v/>
      </c>
      <c r="U20" s="1286">
        <f>SUM(U15:U19)</f>
        <v/>
      </c>
      <c r="V20" s="1286">
        <f>SUM(V15:V19)</f>
        <v/>
      </c>
      <c r="W20" s="1286">
        <f>SUM(W15:W19)</f>
        <v/>
      </c>
      <c r="X20" s="1286">
        <f>SUM(X15:X19)</f>
        <v/>
      </c>
      <c r="Y20" s="1286">
        <f>SUM(Y15:Y19)</f>
        <v/>
      </c>
      <c r="Z20" s="1286">
        <f>SUM(Z15:Z19)</f>
        <v/>
      </c>
      <c r="AA20" s="1286">
        <f>SUM(AA15:AA19)</f>
        <v/>
      </c>
      <c r="AB20" s="1286">
        <f>SUM(AB15:AB19)</f>
        <v/>
      </c>
      <c r="AC20" s="1286">
        <f>SUM(AC15:AC19)</f>
        <v/>
      </c>
    </row>
    <row r="21" ht="19.95" customHeight="1">
      <c r="A21" s="219" t="n">
        <v>14</v>
      </c>
      <c r="B21" s="164" t="inlineStr">
        <is>
          <t>မြန်မာရှောက်ပျား</t>
        </is>
      </c>
      <c r="C21" s="152" t="n">
        <v>0.64</v>
      </c>
      <c r="D21" s="152" t="inlineStr">
        <is>
          <t>1 * 14</t>
        </is>
      </c>
      <c r="E21" s="1058" t="n">
        <v>35634.56</v>
      </c>
      <c r="F21" s="1230" t="n">
        <v>32759.31428571429</v>
      </c>
      <c r="G21" s="1230" t="n">
        <v>552.96</v>
      </c>
      <c r="H21" s="1230" t="n">
        <v>424.96</v>
      </c>
      <c r="I21" s="1230" t="n">
        <v>26596.75428571429</v>
      </c>
      <c r="J21" s="1230" t="n">
        <v>32572.8</v>
      </c>
      <c r="K21" s="1230" t="n">
        <v>17941.76</v>
      </c>
      <c r="L21" s="1230" t="n">
        <v>18040.32</v>
      </c>
      <c r="M21" s="1230" t="n">
        <v>496.3657142857143</v>
      </c>
      <c r="N21" s="1230" t="n">
        <v>902.4000000000002</v>
      </c>
      <c r="O21" s="1230" t="n">
        <v>9306.880000000001</v>
      </c>
      <c r="P21" s="1230" t="n">
        <v>2003.2</v>
      </c>
      <c r="Q21" s="1230" t="n">
        <v>15.36</v>
      </c>
      <c r="R21" s="1230" t="n">
        <v>12.8</v>
      </c>
      <c r="S21" s="1230" t="n">
        <v>6.4</v>
      </c>
      <c r="T21" s="1230" t="n"/>
      <c r="U21" s="1169" t="n"/>
      <c r="V21" s="1169" t="n"/>
      <c r="W21" s="1230" t="n"/>
      <c r="X21" s="1230" t="n"/>
      <c r="Y21" s="1230" t="n">
        <v>1.28</v>
      </c>
      <c r="Z21" s="1230" t="n">
        <v>0</v>
      </c>
      <c r="AA21" s="1169" t="n">
        <v>90552.32000000001</v>
      </c>
      <c r="AB21" s="1169" t="n">
        <v>86715.79428571428</v>
      </c>
      <c r="AC21" s="1058" t="n">
        <v>14.80631054466724</v>
      </c>
    </row>
    <row r="22" ht="19.95" customFormat="1" customHeight="1" s="299">
      <c r="A22" s="296" t="n"/>
      <c r="B22" s="300" t="inlineStr">
        <is>
          <t>Myanmarshoukpyar</t>
        </is>
      </c>
      <c r="C22" s="301" t="n"/>
      <c r="D22" s="301" t="n"/>
      <c r="E22" s="1286">
        <f>SUM(E21)</f>
        <v/>
      </c>
      <c r="F22" s="1286">
        <f>SUM(F21)</f>
        <v/>
      </c>
      <c r="G22" s="1286">
        <f>SUM(G21)</f>
        <v/>
      </c>
      <c r="H22" s="1286">
        <f>SUM(H21)</f>
        <v/>
      </c>
      <c r="I22" s="1286">
        <f>SUM(I21)</f>
        <v/>
      </c>
      <c r="J22" s="1286">
        <f>SUM(J21)</f>
        <v/>
      </c>
      <c r="K22" s="1286">
        <f>SUM(K21)</f>
        <v/>
      </c>
      <c r="L22" s="1286">
        <f>SUM(L21)</f>
        <v/>
      </c>
      <c r="M22" s="1286">
        <f>SUM(M21)</f>
        <v/>
      </c>
      <c r="N22" s="1286">
        <f>SUM(N21)</f>
        <v/>
      </c>
      <c r="O22" s="1286">
        <f>SUM(O21)</f>
        <v/>
      </c>
      <c r="P22" s="1286">
        <f>SUM(P21)</f>
        <v/>
      </c>
      <c r="Q22" s="1286">
        <f>SUM(Q21)</f>
        <v/>
      </c>
      <c r="R22" s="1286">
        <f>SUM(R21)</f>
        <v/>
      </c>
      <c r="S22" s="1286">
        <f>SUM(S21)</f>
        <v/>
      </c>
      <c r="T22" s="1286">
        <f>SUM(T21)</f>
        <v/>
      </c>
      <c r="U22" s="1286">
        <f>SUM(U21)</f>
        <v/>
      </c>
      <c r="V22" s="1286">
        <f>SUM(V21)</f>
        <v/>
      </c>
      <c r="W22" s="1286">
        <f>SUM(W21)</f>
        <v/>
      </c>
      <c r="X22" s="1286">
        <f>SUM(X21)</f>
        <v/>
      </c>
      <c r="Y22" s="1286">
        <f>SUM(Y21)</f>
        <v/>
      </c>
      <c r="Z22" s="1286">
        <f>SUM(Z21)</f>
        <v/>
      </c>
      <c r="AA22" s="1286">
        <f>SUM(AA21)</f>
        <v/>
      </c>
      <c r="AB22" s="1286">
        <f>SUM(AB21)</f>
        <v/>
      </c>
      <c r="AC22" s="1286">
        <f>SUM(AC21)</f>
        <v/>
      </c>
    </row>
    <row r="23" ht="19.95" customHeight="1">
      <c r="A23" s="219" t="n">
        <v>15</v>
      </c>
      <c r="B23" s="164" t="inlineStr">
        <is>
          <t>သံပုရာအရက်</t>
        </is>
      </c>
      <c r="C23" s="152" t="n">
        <v>0.64</v>
      </c>
      <c r="D23" s="152" t="inlineStr">
        <is>
          <t>1 * 14</t>
        </is>
      </c>
      <c r="E23" s="1058" t="n">
        <v>13524.93714285714</v>
      </c>
      <c r="F23" s="1230" t="n">
        <v>10659.10857142857</v>
      </c>
      <c r="G23" s="1230" t="n">
        <v>599.04</v>
      </c>
      <c r="H23" s="1230" t="n">
        <v>401.92</v>
      </c>
      <c r="I23" s="1230" t="n">
        <v>2889.142857142857</v>
      </c>
      <c r="J23" s="1230" t="n">
        <v>4083.2</v>
      </c>
      <c r="K23" s="1230" t="n">
        <v>9274.880000000001</v>
      </c>
      <c r="L23" s="1230" t="n">
        <v>10304.54857142857</v>
      </c>
      <c r="M23" s="1230" t="n">
        <v>4334.08</v>
      </c>
      <c r="N23" s="1230" t="n">
        <v>8101.120000000001</v>
      </c>
      <c r="O23" s="1230" t="n">
        <v>7430.400000000001</v>
      </c>
      <c r="P23" s="1230" t="n">
        <v>4627.2</v>
      </c>
      <c r="Q23" s="1230" t="n">
        <v>14.08</v>
      </c>
      <c r="R23" s="1230" t="n">
        <v>0</v>
      </c>
      <c r="S23" s="1230" t="n"/>
      <c r="T23" s="1230" t="n"/>
      <c r="U23" s="1169" t="n">
        <v>30.72</v>
      </c>
      <c r="V23" s="1169" t="n">
        <v>0</v>
      </c>
      <c r="W23" s="1230" t="n">
        <v>57.60000000000001</v>
      </c>
      <c r="X23" s="1230" t="n">
        <v>0</v>
      </c>
      <c r="Y23" s="1230" t="n">
        <v>17.92</v>
      </c>
      <c r="Z23" s="1230" t="n">
        <v>0</v>
      </c>
      <c r="AA23" s="1169" t="n">
        <v>38172.8</v>
      </c>
      <c r="AB23" s="1169" t="n">
        <v>38177.09714285714</v>
      </c>
      <c r="AC23" s="1058" t="n">
        <v>6.518558247055044</v>
      </c>
    </row>
    <row r="24" ht="19.95" customFormat="1" customHeight="1" s="299">
      <c r="A24" s="296" t="n"/>
      <c r="B24" s="300" t="inlineStr">
        <is>
          <t>Lime</t>
        </is>
      </c>
      <c r="C24" s="301" t="n"/>
      <c r="D24" s="301" t="n"/>
      <c r="E24" s="1286">
        <f>SUM(E23)</f>
        <v/>
      </c>
      <c r="F24" s="1286">
        <f>SUM(F23)</f>
        <v/>
      </c>
      <c r="G24" s="1286">
        <f>SUM(G23)</f>
        <v/>
      </c>
      <c r="H24" s="1286">
        <f>SUM(H23)</f>
        <v/>
      </c>
      <c r="I24" s="1286">
        <f>SUM(I23)</f>
        <v/>
      </c>
      <c r="J24" s="1286">
        <f>SUM(J23)</f>
        <v/>
      </c>
      <c r="K24" s="1286">
        <f>SUM(K23)</f>
        <v/>
      </c>
      <c r="L24" s="1286">
        <f>SUM(L23)</f>
        <v/>
      </c>
      <c r="M24" s="1286">
        <f>SUM(M23)</f>
        <v/>
      </c>
      <c r="N24" s="1286">
        <f>SUM(N23)</f>
        <v/>
      </c>
      <c r="O24" s="1286">
        <f>SUM(O23)</f>
        <v/>
      </c>
      <c r="P24" s="1286">
        <f>SUM(P23)</f>
        <v/>
      </c>
      <c r="Q24" s="1286">
        <f>SUM(Q23)</f>
        <v/>
      </c>
      <c r="R24" s="1286">
        <f>SUM(R23)</f>
        <v/>
      </c>
      <c r="S24" s="1286">
        <f>SUM(S23)</f>
        <v/>
      </c>
      <c r="T24" s="1286">
        <f>SUM(T23)</f>
        <v/>
      </c>
      <c r="U24" s="1286">
        <f>SUM(U23)</f>
        <v/>
      </c>
      <c r="V24" s="1286">
        <f>SUM(V23)</f>
        <v/>
      </c>
      <c r="W24" s="1286">
        <f>SUM(W23)</f>
        <v/>
      </c>
      <c r="X24" s="1286">
        <f>SUM(X23)</f>
        <v/>
      </c>
      <c r="Y24" s="1286">
        <f>SUM(Y23)</f>
        <v/>
      </c>
      <c r="Z24" s="1286">
        <f>SUM(Z23)</f>
        <v/>
      </c>
      <c r="AA24" s="1286">
        <f>SUM(AA23)</f>
        <v/>
      </c>
      <c r="AB24" s="1286">
        <f>SUM(AB23)</f>
        <v/>
      </c>
      <c r="AC24" s="1286">
        <f>SUM(AC23)</f>
        <v/>
      </c>
    </row>
    <row r="25" ht="19.95" customHeight="1">
      <c r="A25" s="219" t="n">
        <v>16</v>
      </c>
      <c r="B25" s="233" t="inlineStr">
        <is>
          <t>2 in 1 မန်ကျည်း</t>
        </is>
      </c>
      <c r="C25" s="152" t="n">
        <v>0.64</v>
      </c>
      <c r="D25" s="152" t="inlineStr">
        <is>
          <t>1 * 14</t>
        </is>
      </c>
      <c r="E25" s="1058" t="n">
        <v>9.41714285714286</v>
      </c>
      <c r="F25" s="1230" t="n">
        <v>0</v>
      </c>
      <c r="G25" s="1230" t="n"/>
      <c r="H25" s="1230" t="n"/>
      <c r="I25" s="1230" t="n"/>
      <c r="J25" s="1230" t="n"/>
      <c r="K25" s="1230" t="n">
        <v>2233.691428571428</v>
      </c>
      <c r="L25" s="1230" t="n">
        <v>1880.32</v>
      </c>
      <c r="M25" s="1230" t="n"/>
      <c r="N25" s="1230" t="n"/>
      <c r="O25" s="1230" t="n"/>
      <c r="P25" s="1230" t="n"/>
      <c r="Q25" s="1230" t="n">
        <v>58.88</v>
      </c>
      <c r="R25" s="1230" t="n">
        <v>0</v>
      </c>
      <c r="S25" s="1230" t="n"/>
      <c r="T25" s="1230" t="n"/>
      <c r="U25" s="1169" t="n">
        <v>89.60000000000001</v>
      </c>
      <c r="V25" s="1169" t="n">
        <v>0</v>
      </c>
      <c r="W25" s="1230" t="n">
        <v>709.12</v>
      </c>
      <c r="X25" s="1230" t="n">
        <v>734.6914285714286</v>
      </c>
      <c r="Y25" s="1230" t="n">
        <v>460.8</v>
      </c>
      <c r="Z25" s="1230" t="n">
        <v>720.6400000000001</v>
      </c>
      <c r="AA25" s="1169" t="n">
        <v>3561.508571428571</v>
      </c>
      <c r="AB25" s="1169" t="n">
        <v>3335.651428571428</v>
      </c>
      <c r="AC25" s="1058" t="n">
        <v>0.5695466590257351</v>
      </c>
    </row>
    <row r="26" ht="19.95" customFormat="1" customHeight="1" s="299">
      <c r="A26" s="296" t="n"/>
      <c r="B26" s="302" t="inlineStr">
        <is>
          <t>2 in 1 maji</t>
        </is>
      </c>
      <c r="C26" s="301" t="n"/>
      <c r="D26" s="301" t="n"/>
      <c r="E26" s="1286">
        <f>SUM(E25)</f>
        <v/>
      </c>
      <c r="F26" s="1286">
        <f>SUM(F25)</f>
        <v/>
      </c>
      <c r="G26" s="1286">
        <f>SUM(G25)</f>
        <v/>
      </c>
      <c r="H26" s="1286">
        <f>SUM(H25)</f>
        <v/>
      </c>
      <c r="I26" s="1286">
        <f>SUM(I25)</f>
        <v/>
      </c>
      <c r="J26" s="1286">
        <f>SUM(J25)</f>
        <v/>
      </c>
      <c r="K26" s="1286">
        <f>SUM(K25)</f>
        <v/>
      </c>
      <c r="L26" s="1286">
        <f>SUM(L25)</f>
        <v/>
      </c>
      <c r="M26" s="1286">
        <f>SUM(M25)</f>
        <v/>
      </c>
      <c r="N26" s="1286">
        <f>SUM(N25)</f>
        <v/>
      </c>
      <c r="O26" s="1286">
        <f>SUM(O25)</f>
        <v/>
      </c>
      <c r="P26" s="1286">
        <f>SUM(P25)</f>
        <v/>
      </c>
      <c r="Q26" s="1286">
        <f>SUM(Q25)</f>
        <v/>
      </c>
      <c r="R26" s="1286">
        <f>SUM(R25)</f>
        <v/>
      </c>
      <c r="S26" s="1286">
        <f>SUM(S25)</f>
        <v/>
      </c>
      <c r="T26" s="1286">
        <f>SUM(T25)</f>
        <v/>
      </c>
      <c r="U26" s="1286">
        <f>SUM(U25)</f>
        <v/>
      </c>
      <c r="V26" s="1286">
        <f>SUM(V25)</f>
        <v/>
      </c>
      <c r="W26" s="1286">
        <f>SUM(W25)</f>
        <v/>
      </c>
      <c r="X26" s="1286">
        <f>SUM(X25)</f>
        <v/>
      </c>
      <c r="Y26" s="1286">
        <f>SUM(Y25)</f>
        <v/>
      </c>
      <c r="Z26" s="1286">
        <f>SUM(Z25)</f>
        <v/>
      </c>
      <c r="AA26" s="1286">
        <f>SUM(AA25)</f>
        <v/>
      </c>
      <c r="AB26" s="1286">
        <f>SUM(AB25)</f>
        <v/>
      </c>
      <c r="AC26" s="1286">
        <f>SUM(AC25)</f>
        <v/>
      </c>
    </row>
    <row r="27" ht="19.95" customHeight="1">
      <c r="A27" s="219" t="n">
        <v>17</v>
      </c>
      <c r="B27" s="164" t="inlineStr">
        <is>
          <t>Dagon tamarind</t>
        </is>
      </c>
      <c r="C27" s="152" t="n">
        <v>0.64</v>
      </c>
      <c r="D27" s="152" t="inlineStr">
        <is>
          <t>1 * 14</t>
        </is>
      </c>
      <c r="E27" s="1058" t="n">
        <v>205.5314285714286</v>
      </c>
      <c r="F27" s="1230" t="n"/>
      <c r="G27" s="1230" t="n">
        <v>20.48</v>
      </c>
      <c r="H27" s="1230" t="n"/>
      <c r="I27" s="1230" t="n">
        <v>149.8514285714286</v>
      </c>
      <c r="J27" s="1230" t="n">
        <v>28.16</v>
      </c>
      <c r="K27" s="1230" t="n">
        <v>156.16</v>
      </c>
      <c r="L27" s="1230" t="n">
        <v>101.12</v>
      </c>
      <c r="M27" s="1230" t="n">
        <v>12.8</v>
      </c>
      <c r="N27" s="1230" t="n"/>
      <c r="O27" s="1230" t="n">
        <v>27.52</v>
      </c>
      <c r="P27" s="1230" t="n">
        <v>26.88</v>
      </c>
      <c r="Q27" s="1230" t="n">
        <v>25.78285714285714</v>
      </c>
      <c r="R27" s="1230" t="n">
        <v>6.4</v>
      </c>
      <c r="S27" s="1230" t="n"/>
      <c r="T27" s="1230" t="n"/>
      <c r="U27" s="1169" t="n">
        <v>8.411428571428571</v>
      </c>
      <c r="V27" s="1169" t="n">
        <v>0</v>
      </c>
      <c r="W27" s="1230" t="n">
        <v>5.12</v>
      </c>
      <c r="X27" s="1230" t="n">
        <v>0</v>
      </c>
      <c r="Y27" s="1230" t="n">
        <v>62.53714285714285</v>
      </c>
      <c r="Z27" s="1230" t="n">
        <v>0</v>
      </c>
      <c r="AA27" s="1169" t="n">
        <v>674.1942857142857</v>
      </c>
      <c r="AB27" s="1169" t="n">
        <v>162.56</v>
      </c>
      <c r="AC27" s="1058" t="n">
        <v>0.02775634890929699</v>
      </c>
    </row>
    <row r="28" ht="19.95" customHeight="1">
      <c r="A28" s="219" t="n">
        <v>18</v>
      </c>
      <c r="B28" s="164" t="inlineStr">
        <is>
          <t xml:space="preserve">Dagon Pineapple </t>
        </is>
      </c>
      <c r="C28" s="152" t="n">
        <v>0.64</v>
      </c>
      <c r="D28" s="152" t="inlineStr">
        <is>
          <t>1 * 24</t>
        </is>
      </c>
      <c r="E28" s="1058" t="n">
        <v>123.9771428571429</v>
      </c>
      <c r="F28" s="1230" t="n">
        <v>511.2685714285714</v>
      </c>
      <c r="G28" s="1230" t="n"/>
      <c r="H28" s="1230" t="n"/>
      <c r="I28" s="1230" t="n"/>
      <c r="J28" s="1230" t="n"/>
      <c r="K28" s="1230" t="n">
        <v>3629.348571428572</v>
      </c>
      <c r="L28" s="1230" t="n">
        <v>4662.674285714286</v>
      </c>
      <c r="M28" s="1230" t="n"/>
      <c r="N28" s="1230" t="n"/>
      <c r="O28" s="1230" t="n">
        <v>394.9714285714286</v>
      </c>
      <c r="P28" s="1230" t="n">
        <v>197.4857142857143</v>
      </c>
      <c r="Q28" s="1230" t="n"/>
      <c r="R28" s="1230" t="n"/>
      <c r="S28" s="1230" t="n"/>
      <c r="T28" s="1230" t="n"/>
      <c r="U28" s="1169" t="n">
        <v>1426.285714285714</v>
      </c>
      <c r="V28" s="1169" t="n">
        <v>2238.171428571428</v>
      </c>
      <c r="W28" s="1230" t="n"/>
      <c r="X28" s="1230" t="n"/>
      <c r="Y28" s="1230" t="n"/>
      <c r="Z28" s="1230" t="n"/>
      <c r="AA28" s="1169" t="n">
        <v>5574.582857142857</v>
      </c>
      <c r="AB28" s="1169" t="n">
        <v>7609.6</v>
      </c>
      <c r="AC28" s="1058" t="n">
        <v>1.299303104454886</v>
      </c>
    </row>
    <row r="29" ht="19.95" customHeight="1">
      <c r="A29" s="219" t="n">
        <v>19</v>
      </c>
      <c r="B29" s="164" t="inlineStr">
        <is>
          <t xml:space="preserve">Dagon </t>
        </is>
      </c>
      <c r="C29" s="152" t="n">
        <v>0.64</v>
      </c>
      <c r="D29" s="152" t="inlineStr">
        <is>
          <t>1 * 14</t>
        </is>
      </c>
      <c r="E29" s="1058" t="n">
        <v>4501.028571428571</v>
      </c>
      <c r="F29" s="1230" t="n">
        <v>4583.68</v>
      </c>
      <c r="G29" s="1230" t="n">
        <v>2009.6</v>
      </c>
      <c r="H29" s="1230" t="n">
        <v>1406.72</v>
      </c>
      <c r="I29" s="1230" t="n"/>
      <c r="J29" s="1230" t="n"/>
      <c r="K29" s="1230" t="n">
        <v>1832.96</v>
      </c>
      <c r="L29" s="1230" t="n">
        <v>2708.48</v>
      </c>
      <c r="M29" s="1230" t="n">
        <v>1002.24</v>
      </c>
      <c r="N29" s="1230" t="n">
        <v>1990.4</v>
      </c>
      <c r="O29" s="1230" t="n">
        <v>829.4399999999999</v>
      </c>
      <c r="P29" s="1230" t="n"/>
      <c r="Q29" s="1230" t="n"/>
      <c r="R29" s="1230" t="n"/>
      <c r="S29" s="1230" t="n">
        <v>49.92</v>
      </c>
      <c r="T29" s="1230" t="n"/>
      <c r="U29" s="1169" t="n"/>
      <c r="V29" s="1169" t="n"/>
      <c r="W29" s="1230" t="n"/>
      <c r="X29" s="1230" t="n"/>
      <c r="Y29" s="1230" t="n"/>
      <c r="Z29" s="1230" t="n"/>
      <c r="AA29" s="1169" t="n">
        <v>10225.18857142857</v>
      </c>
      <c r="AB29" s="1169" t="n">
        <v>10689.28</v>
      </c>
      <c r="AC29" s="1058" t="n">
        <v>1.825143856232592</v>
      </c>
    </row>
    <row r="30" ht="19.95" customFormat="1" customHeight="1" s="299">
      <c r="A30" s="296" t="n"/>
      <c r="B30" s="300" t="inlineStr">
        <is>
          <t>Dagon</t>
        </is>
      </c>
      <c r="C30" s="301" t="n"/>
      <c r="D30" s="301" t="n"/>
      <c r="E30" s="1286">
        <f>SUM(E27:E29)</f>
        <v/>
      </c>
      <c r="F30" s="1286">
        <f>SUM(F27:F29)</f>
        <v/>
      </c>
      <c r="G30" s="1286">
        <f>SUM(G27:G29)</f>
        <v/>
      </c>
      <c r="H30" s="1286">
        <f>SUM(H27:H29)</f>
        <v/>
      </c>
      <c r="I30" s="1286">
        <f>SUM(I27:I29)</f>
        <v/>
      </c>
      <c r="J30" s="1286">
        <f>SUM(J27:J29)</f>
        <v/>
      </c>
      <c r="K30" s="1286">
        <f>SUM(K27:K29)</f>
        <v/>
      </c>
      <c r="L30" s="1286">
        <f>SUM(L27:L29)</f>
        <v/>
      </c>
      <c r="M30" s="1286">
        <f>SUM(M27:M29)</f>
        <v/>
      </c>
      <c r="N30" s="1286">
        <f>SUM(N27:N29)</f>
        <v/>
      </c>
      <c r="O30" s="1286">
        <f>SUM(O27:O29)</f>
        <v/>
      </c>
      <c r="P30" s="1286">
        <f>SUM(P27:P29)</f>
        <v/>
      </c>
      <c r="Q30" s="1286">
        <f>SUM(Q27:Q29)</f>
        <v/>
      </c>
      <c r="R30" s="1286">
        <f>SUM(R27:R29)</f>
        <v/>
      </c>
      <c r="S30" s="1286">
        <f>SUM(S27:S29)</f>
        <v/>
      </c>
      <c r="T30" s="1286">
        <f>SUM(T27:T29)</f>
        <v/>
      </c>
      <c r="U30" s="1286">
        <f>SUM(U27:U29)</f>
        <v/>
      </c>
      <c r="V30" s="1286">
        <f>SUM(V27:V29)</f>
        <v/>
      </c>
      <c r="W30" s="1286">
        <f>SUM(W27:W29)</f>
        <v/>
      </c>
      <c r="X30" s="1286">
        <f>SUM(X27:X29)</f>
        <v/>
      </c>
      <c r="Y30" s="1286">
        <f>SUM(Y27:Y29)</f>
        <v/>
      </c>
      <c r="Z30" s="1286">
        <f>SUM(Z27:Z29)</f>
        <v/>
      </c>
      <c r="AA30" s="1286">
        <f>SUM(AA27:AA29)</f>
        <v/>
      </c>
      <c r="AB30" s="1286">
        <f>SUM(AB27:AB29)</f>
        <v/>
      </c>
      <c r="AC30" s="1286">
        <f>SUM(AC27:AC29)</f>
        <v/>
      </c>
    </row>
    <row r="31" ht="19.95" customHeight="1">
      <c r="A31" s="219" t="n">
        <v>20</v>
      </c>
      <c r="B31" s="164" t="inlineStr">
        <is>
          <t>ချယ်ရီကော်ဘူး(0.6 Liter)</t>
        </is>
      </c>
      <c r="C31" s="152" t="n">
        <v>0.6</v>
      </c>
      <c r="D31" s="152" t="inlineStr">
        <is>
          <t>1 * 24</t>
        </is>
      </c>
      <c r="E31" s="1058" t="n">
        <v>82.28571428571429</v>
      </c>
      <c r="F31" s="1230" t="n">
        <v>483.4285714285714</v>
      </c>
      <c r="G31" s="1230" t="n">
        <v>6.171428571428571</v>
      </c>
      <c r="H31" s="1230" t="n">
        <v>232.4571428571429</v>
      </c>
      <c r="I31" s="1230" t="n">
        <v>150.1714285714286</v>
      </c>
      <c r="J31" s="1230" t="n">
        <v>1391.142857142857</v>
      </c>
      <c r="K31" s="1230" t="n">
        <v>253.0285714285714</v>
      </c>
      <c r="L31" s="1230" t="n">
        <v>6255.771428571427</v>
      </c>
      <c r="M31" s="1230" t="n"/>
      <c r="N31" s="1230" t="n"/>
      <c r="O31" s="1230" t="n">
        <v>102.5142857142857</v>
      </c>
      <c r="P31" s="1230" t="n">
        <v>2170.542857142857</v>
      </c>
      <c r="Q31" s="1230" t="n">
        <v>2476.457142857143</v>
      </c>
      <c r="R31" s="1230" t="n">
        <v>10682.74285714286</v>
      </c>
      <c r="S31" s="1230" t="n">
        <v>17.48571428571428</v>
      </c>
      <c r="T31" s="1230" t="n"/>
      <c r="U31" s="1169" t="n"/>
      <c r="V31" s="1169" t="n"/>
      <c r="W31" s="1230" t="n">
        <v>164.5714285714286</v>
      </c>
      <c r="X31" s="1230" t="n">
        <v>311.6571428571428</v>
      </c>
      <c r="Y31" s="1230" t="n"/>
      <c r="Z31" s="1230" t="n"/>
      <c r="AA31" s="1169" t="n">
        <v>3252.685714285714</v>
      </c>
      <c r="AB31" s="1169" t="n">
        <v>21527.74285714286</v>
      </c>
      <c r="AC31" s="1058" t="n">
        <v>3.675759977685058</v>
      </c>
    </row>
    <row r="32" ht="19.95" customHeight="1">
      <c r="A32" s="219" t="n">
        <v>21</v>
      </c>
      <c r="B32" s="164" t="inlineStr">
        <is>
          <t>ချယ်ရီအရက်သန့်</t>
        </is>
      </c>
      <c r="C32" s="152" t="n">
        <v>0.64</v>
      </c>
      <c r="D32" s="152" t="inlineStr">
        <is>
          <t>1 * 14</t>
        </is>
      </c>
      <c r="E32" s="1058" t="n">
        <v>448.5485714285714</v>
      </c>
      <c r="F32" s="1169" t="n">
        <v>0</v>
      </c>
      <c r="G32" s="1230" t="n">
        <v>66.92571428571429</v>
      </c>
      <c r="H32" s="1230" t="n">
        <v>0</v>
      </c>
      <c r="I32" s="1230" t="n">
        <v>153.3257142857143</v>
      </c>
      <c r="J32" s="1230" t="n">
        <v>2.56</v>
      </c>
      <c r="K32" s="1230" t="n">
        <v>247.7714285714286</v>
      </c>
      <c r="L32" s="1230" t="n">
        <v>0</v>
      </c>
      <c r="M32" s="1230" t="n">
        <v>19.2</v>
      </c>
      <c r="N32" s="1230" t="n"/>
      <c r="O32" s="1230" t="n">
        <v>21.76</v>
      </c>
      <c r="P32" s="1230" t="n">
        <v>0</v>
      </c>
      <c r="Q32" s="1230" t="n">
        <v>70.58285714285714</v>
      </c>
      <c r="R32" s="1230" t="n">
        <v>0</v>
      </c>
      <c r="S32" s="1230" t="n"/>
      <c r="T32" s="1230" t="n"/>
      <c r="U32" s="1169" t="n">
        <v>7.131428571428572</v>
      </c>
      <c r="V32" s="1169" t="n"/>
      <c r="W32" s="1230" t="n">
        <v>9.6</v>
      </c>
      <c r="X32" s="1230" t="n">
        <v>6.428571428571429</v>
      </c>
      <c r="Y32" s="1230" t="n">
        <v>34.83428571428572</v>
      </c>
      <c r="Z32" s="1230" t="n">
        <v>281.6</v>
      </c>
      <c r="AA32" s="1169" t="n">
        <v>1079.68</v>
      </c>
      <c r="AB32" s="1169" t="n">
        <v>290.5885714285715</v>
      </c>
      <c r="AC32" s="1058" t="n">
        <v>0.04961662018716535</v>
      </c>
    </row>
    <row r="33" ht="19.95" customHeight="1">
      <c r="A33" s="219" t="n">
        <v>22</v>
      </c>
      <c r="B33" s="164" t="inlineStr">
        <is>
          <t>ချယ်ရီသံပုရာ (1 Liter )</t>
        </is>
      </c>
      <c r="C33" s="152" t="n">
        <v>1</v>
      </c>
      <c r="D33" s="152" t="inlineStr">
        <is>
          <t>1 * 24</t>
        </is>
      </c>
      <c r="E33" s="1058" t="n"/>
      <c r="F33" s="1169" t="n">
        <v>6.857142857142857</v>
      </c>
      <c r="G33" s="1230" t="n"/>
      <c r="H33" s="1230" t="n"/>
      <c r="I33" s="1230" t="n"/>
      <c r="J33" s="1230" t="n"/>
      <c r="K33" s="1230" t="n"/>
      <c r="L33" s="1230" t="n"/>
      <c r="M33" s="1230" t="n"/>
      <c r="N33" s="1230" t="n"/>
      <c r="O33" s="1230" t="n"/>
      <c r="P33" s="1230" t="n"/>
      <c r="Q33" s="1230" t="n"/>
      <c r="R33" s="1230" t="n"/>
      <c r="S33" s="1230" t="n"/>
      <c r="T33" s="1230" t="n"/>
      <c r="U33" s="1169" t="n"/>
      <c r="V33" s="1169" t="n"/>
      <c r="W33" s="1230" t="n"/>
      <c r="X33" s="1230" t="n"/>
      <c r="Y33" s="1230" t="n"/>
      <c r="Z33" s="1230" t="n"/>
      <c r="AA33" s="1169" t="n">
        <v>0</v>
      </c>
      <c r="AB33" s="1169" t="n">
        <v>6.857142857142857</v>
      </c>
      <c r="AC33" s="1058" t="n">
        <v>0.0011708246165339</v>
      </c>
    </row>
    <row r="34" ht="19.95" customHeight="1">
      <c r="A34" s="219" t="n">
        <v>23</v>
      </c>
      <c r="B34" s="164" t="inlineStr">
        <is>
          <t>ချယ်ရီသံပုရာ (1 Liter )</t>
        </is>
      </c>
      <c r="C34" s="152" t="n">
        <v>1</v>
      </c>
      <c r="D34" s="152" t="inlineStr">
        <is>
          <t>1 * 12</t>
        </is>
      </c>
      <c r="E34" s="1058" t="n"/>
      <c r="F34" s="1169" t="n">
        <v>53.14285714285715</v>
      </c>
      <c r="G34" s="1230" t="n"/>
      <c r="H34" s="1230" t="n">
        <v>764.4285714285714</v>
      </c>
      <c r="I34" s="1230" t="n"/>
      <c r="J34" s="1230" t="n">
        <v>1078</v>
      </c>
      <c r="K34" s="1230" t="n"/>
      <c r="L34" s="1230" t="n">
        <v>2026.142857142857</v>
      </c>
      <c r="M34" s="1230" t="n"/>
      <c r="N34" s="1230" t="n">
        <v>102.8571428571429</v>
      </c>
      <c r="O34" s="1230" t="n"/>
      <c r="P34" s="1230" t="n">
        <v>623.2857142857143</v>
      </c>
      <c r="Q34" s="1230" t="n"/>
      <c r="R34" s="1230" t="n">
        <v>841.7142857142857</v>
      </c>
      <c r="S34" s="1230" t="n"/>
      <c r="T34" s="1230" t="n">
        <v>68.57142857142857</v>
      </c>
      <c r="U34" s="1169" t="n"/>
      <c r="V34" s="1169" t="n"/>
      <c r="W34" s="1230" t="n"/>
      <c r="X34" s="1287" t="n">
        <v>168</v>
      </c>
      <c r="Y34" s="1230" t="n"/>
      <c r="Z34" s="1230" t="n">
        <v>1539.428571428571</v>
      </c>
      <c r="AA34" s="1169" t="n">
        <v>0</v>
      </c>
      <c r="AB34" s="1169" t="n">
        <v>7265.571428571428</v>
      </c>
      <c r="AC34" s="1058" t="n">
        <v>1.2405618577562</v>
      </c>
    </row>
    <row r="35" ht="19.95" customHeight="1">
      <c r="A35" s="219" t="n">
        <v>24</v>
      </c>
      <c r="B35" s="164" t="inlineStr">
        <is>
          <t>ချယ်ရီသံပုရာ (0.6 Liter )</t>
        </is>
      </c>
      <c r="C35" s="152" t="n">
        <v>0.6</v>
      </c>
      <c r="D35" s="152" t="inlineStr">
        <is>
          <t>1 * 24</t>
        </is>
      </c>
      <c r="E35" s="1058" t="n"/>
      <c r="F35" s="1169" t="n">
        <v>4.114285714285714</v>
      </c>
      <c r="G35" s="1230" t="n"/>
      <c r="H35" s="1230" t="n">
        <v>20.57142857142857</v>
      </c>
      <c r="I35" s="1230" t="n"/>
      <c r="J35" s="1230" t="n">
        <v>158.3999999999999</v>
      </c>
      <c r="K35" s="1230" t="n"/>
      <c r="L35" s="1230" t="n">
        <v>176.9142857142857</v>
      </c>
      <c r="M35" s="1230" t="n"/>
      <c r="N35" s="1230" t="n">
        <v>20.57142857142857</v>
      </c>
      <c r="O35" s="1230" t="n"/>
      <c r="P35" s="1230" t="n">
        <v>378.2571428571429</v>
      </c>
      <c r="Q35" s="1230" t="n"/>
      <c r="R35" s="1230" t="n">
        <v>302.4</v>
      </c>
      <c r="S35" s="1230" t="n"/>
      <c r="T35" s="1230" t="n">
        <v>102.8571428571429</v>
      </c>
      <c r="U35" s="1169" t="n"/>
      <c r="V35" s="1169" t="n"/>
      <c r="W35" s="1230" t="n"/>
      <c r="X35" s="1287" t="n">
        <v>57.57142857142857</v>
      </c>
      <c r="Y35" s="1230" t="n"/>
      <c r="Z35" s="1230" t="n"/>
      <c r="AA35" s="1169" t="n">
        <v>0</v>
      </c>
      <c r="AB35" s="1169" t="n">
        <v>1221.657142857143</v>
      </c>
      <c r="AC35" s="1058" t="n">
        <v>0.2085921623073187</v>
      </c>
    </row>
    <row r="36" ht="19.95" customFormat="1" customHeight="1" s="299">
      <c r="A36" s="296" t="n"/>
      <c r="B36" s="300" t="inlineStr">
        <is>
          <t>Cherry</t>
        </is>
      </c>
      <c r="C36" s="301" t="n"/>
      <c r="D36" s="301" t="n"/>
      <c r="E36" s="1286">
        <f>SUM(E31:E35)</f>
        <v/>
      </c>
      <c r="F36" s="1286">
        <f>SUM(F31:F35)</f>
        <v/>
      </c>
      <c r="G36" s="1286">
        <f>SUM(G31:G35)</f>
        <v/>
      </c>
      <c r="H36" s="1286">
        <f>SUM(H31:H35)</f>
        <v/>
      </c>
      <c r="I36" s="1286">
        <f>SUM(I31:I35)</f>
        <v/>
      </c>
      <c r="J36" s="1286">
        <f>SUM(J31:J35)</f>
        <v/>
      </c>
      <c r="K36" s="1286">
        <f>SUM(K31:K35)</f>
        <v/>
      </c>
      <c r="L36" s="1286">
        <f>SUM(L31:L35)</f>
        <v/>
      </c>
      <c r="M36" s="1286">
        <f>SUM(M31:M35)</f>
        <v/>
      </c>
      <c r="N36" s="1286">
        <f>SUM(N31:N35)</f>
        <v/>
      </c>
      <c r="O36" s="1286">
        <f>SUM(O31:O35)</f>
        <v/>
      </c>
      <c r="P36" s="1286">
        <f>SUM(P31:P35)</f>
        <v/>
      </c>
      <c r="Q36" s="1286">
        <f>SUM(Q31:Q35)</f>
        <v/>
      </c>
      <c r="R36" s="1286">
        <f>SUM(R31:R35)</f>
        <v/>
      </c>
      <c r="S36" s="1286">
        <f>SUM(S31:S35)</f>
        <v/>
      </c>
      <c r="T36" s="1286">
        <f>SUM(T31:T35)</f>
        <v/>
      </c>
      <c r="U36" s="1286">
        <f>SUM(U31:U35)</f>
        <v/>
      </c>
      <c r="V36" s="1286">
        <f>SUM(V31:V35)</f>
        <v/>
      </c>
      <c r="W36" s="1286">
        <f>SUM(W31:W35)</f>
        <v/>
      </c>
      <c r="X36" s="1286">
        <f>SUM(X31:X35)</f>
        <v/>
      </c>
      <c r="Y36" s="1286">
        <f>SUM(Y31:Y35)</f>
        <v/>
      </c>
      <c r="Z36" s="1286">
        <f>SUM(Z31:Z35)</f>
        <v/>
      </c>
      <c r="AA36" s="1286">
        <f>SUM(AA31:AA35)</f>
        <v/>
      </c>
      <c r="AB36" s="1286">
        <f>SUM(AB31:AB35)</f>
        <v/>
      </c>
      <c r="AC36" s="1286">
        <f>SUM(AC31:AC35)</f>
        <v/>
      </c>
    </row>
    <row r="37" ht="19.95" customHeight="1">
      <c r="A37" s="219" t="n">
        <v>25</v>
      </c>
      <c r="B37" s="164" t="inlineStr">
        <is>
          <t>ရွှေမင်းသားခေါင်ရည်</t>
        </is>
      </c>
      <c r="C37" s="152" t="n">
        <v>0.75</v>
      </c>
      <c r="D37" s="152" t="n"/>
      <c r="E37" s="1058" t="n"/>
      <c r="F37" s="1169" t="n"/>
      <c r="G37" s="1230" t="n"/>
      <c r="H37" s="1230" t="n"/>
      <c r="I37" s="1230" t="n"/>
      <c r="J37" s="1230" t="n"/>
      <c r="K37" s="1230" t="n"/>
      <c r="L37" s="1230" t="n"/>
      <c r="M37" s="1230" t="n"/>
      <c r="N37" s="1230" t="n"/>
      <c r="O37" s="1230" t="n"/>
      <c r="P37" s="1230" t="n"/>
      <c r="Q37" s="1230" t="n"/>
      <c r="R37" s="1230" t="n"/>
      <c r="S37" s="1230" t="n"/>
      <c r="T37" s="1230" t="n"/>
      <c r="U37" s="1169" t="n"/>
      <c r="V37" s="1169" t="n"/>
      <c r="W37" s="1230" t="n"/>
      <c r="X37" s="1230" t="n"/>
      <c r="Y37" s="1230" t="n"/>
      <c r="Z37" s="1230" t="n"/>
      <c r="AA37" s="1169" t="n">
        <v>0</v>
      </c>
      <c r="AB37" s="1169" t="n">
        <v>0</v>
      </c>
      <c r="AC37" s="1058" t="n">
        <v>0</v>
      </c>
    </row>
    <row r="38" ht="19.95" customHeight="1">
      <c r="A38" s="219" t="n">
        <v>26</v>
      </c>
      <c r="B38" s="164" t="inlineStr">
        <is>
          <t>ရွှေမင်းသားခေါင်ရည် (0.6 Liter)</t>
        </is>
      </c>
      <c r="C38" s="152" t="n">
        <v>0.6</v>
      </c>
      <c r="D38" s="152" t="inlineStr">
        <is>
          <t>1 * 12</t>
        </is>
      </c>
      <c r="E38" s="1058" t="n"/>
      <c r="F38" s="1169" t="n">
        <v>321.9428571428571</v>
      </c>
      <c r="G38" s="1230" t="n"/>
      <c r="H38" s="1230" t="n">
        <v>55.54285714285714</v>
      </c>
      <c r="I38" s="1230" t="n"/>
      <c r="J38" s="1230" t="n">
        <v>31.88571428571428</v>
      </c>
      <c r="K38" s="1230" t="n"/>
      <c r="L38" s="1230" t="n">
        <v>12.34285714285714</v>
      </c>
      <c r="M38" s="1230" t="n"/>
      <c r="N38" s="1230" t="n"/>
      <c r="O38" s="1230" t="n"/>
      <c r="P38" s="1230" t="n">
        <v>24.68571428571429</v>
      </c>
      <c r="Q38" s="1230" t="n"/>
      <c r="R38" s="1230" t="n">
        <v>168.1714285714286</v>
      </c>
      <c r="S38" s="1230" t="n"/>
      <c r="T38" s="1230" t="n"/>
      <c r="U38" s="1169" t="n"/>
      <c r="V38" s="1169" t="n"/>
      <c r="W38" s="1230" t="n"/>
      <c r="X38" s="1230" t="n">
        <v>71.48571428571428</v>
      </c>
      <c r="Y38" s="1230" t="n"/>
      <c r="Z38" s="1230" t="n">
        <v>102.8571428571429</v>
      </c>
      <c r="AA38" s="1169" t="n">
        <v>0</v>
      </c>
      <c r="AB38" s="1169" t="n">
        <v>788.9142857142858</v>
      </c>
      <c r="AC38" s="1058" t="n">
        <v>0.1347033721322252</v>
      </c>
    </row>
    <row r="39" ht="19.95" customHeight="1">
      <c r="A39" s="219" t="n">
        <v>27</v>
      </c>
      <c r="B39" s="164" t="inlineStr">
        <is>
          <t>ရွှေမင်းသားခေါင်ရည်</t>
        </is>
      </c>
      <c r="C39" s="152" t="n">
        <v>0.64</v>
      </c>
      <c r="D39" s="152" t="inlineStr">
        <is>
          <t>1 * 24</t>
        </is>
      </c>
      <c r="E39" s="1058" t="n">
        <v>532.6628571428572</v>
      </c>
      <c r="F39" s="1169" t="n">
        <v>1016.777142857143</v>
      </c>
      <c r="G39" s="1230" t="n">
        <v>686.72</v>
      </c>
      <c r="H39" s="1230" t="n">
        <v>4526.811428571428</v>
      </c>
      <c r="I39" s="1230" t="n">
        <v>507.6114285714286</v>
      </c>
      <c r="J39" s="1230" t="n">
        <v>729.4171428571428</v>
      </c>
      <c r="K39" s="1230" t="n">
        <v>552.0457142857143</v>
      </c>
      <c r="L39" s="1230" t="n">
        <v>603.4285714285714</v>
      </c>
      <c r="M39" s="1230" t="n">
        <v>114.1028571428571</v>
      </c>
      <c r="N39" s="1230" t="n"/>
      <c r="O39" s="1230" t="n">
        <v>39.49714285714286</v>
      </c>
      <c r="P39" s="1230" t="n">
        <v>160.1828571428571</v>
      </c>
      <c r="Q39" s="1230" t="n">
        <v>1579.885714285714</v>
      </c>
      <c r="R39" s="1230" t="n">
        <v>675.84</v>
      </c>
      <c r="S39" s="1230" t="n">
        <v>296.2285714285714</v>
      </c>
      <c r="T39" s="1230" t="n">
        <v>482.7428571428571</v>
      </c>
      <c r="U39" s="1169" t="n">
        <v>1037.897142857143</v>
      </c>
      <c r="V39" s="1169" t="n">
        <v>109.7142857142857</v>
      </c>
      <c r="W39" s="1230" t="n">
        <v>1536.914285714286</v>
      </c>
      <c r="X39" s="1230" t="n">
        <v>2265.48</v>
      </c>
      <c r="Y39" s="1230" t="n">
        <v>618.6057142857143</v>
      </c>
      <c r="Z39" s="1230" t="n">
        <v>1283.657142857143</v>
      </c>
      <c r="AA39" s="1169" t="n">
        <v>7502.17142857143</v>
      </c>
      <c r="AB39" s="1169" t="n">
        <v>11854.05142857143</v>
      </c>
      <c r="AC39" s="1058" t="n">
        <v>2.024023052658581</v>
      </c>
    </row>
    <row r="40" ht="19.95" customHeight="1">
      <c r="A40" s="219" t="n">
        <v>28</v>
      </c>
      <c r="B40" s="164" t="inlineStr">
        <is>
          <t>ရွှေမင်းသားမန်ကျည်းခေါင်ရည်( 0.6 Liter)</t>
        </is>
      </c>
      <c r="C40" s="152" t="n">
        <v>0.6</v>
      </c>
      <c r="D40" s="152" t="inlineStr">
        <is>
          <t>1 * 12</t>
        </is>
      </c>
      <c r="E40" s="1058" t="n"/>
      <c r="F40" s="1169" t="n">
        <v>195.4285714285714</v>
      </c>
      <c r="G40" s="1230" t="n"/>
      <c r="H40" s="1230" t="n">
        <v>103.8857142857143</v>
      </c>
      <c r="I40" s="1230" t="n"/>
      <c r="J40" s="1230" t="n">
        <v>25.71428571428572</v>
      </c>
      <c r="K40" s="1230" t="n"/>
      <c r="L40" s="1230" t="n">
        <v>76.11428571428571</v>
      </c>
      <c r="M40" s="1230" t="n"/>
      <c r="N40" s="1230" t="n"/>
      <c r="O40" s="1230" t="n"/>
      <c r="P40" s="1230" t="n">
        <v>22.62857142857143</v>
      </c>
      <c r="Q40" s="1230" t="n"/>
      <c r="R40" s="1230" t="n">
        <v>338.9142857142857</v>
      </c>
      <c r="S40" s="1230" t="n"/>
      <c r="T40" s="1230" t="n"/>
      <c r="U40" s="1169" t="n"/>
      <c r="V40" s="1169" t="n"/>
      <c r="W40" s="1230" t="n"/>
      <c r="X40" s="1230" t="n">
        <v>31.37142857142857</v>
      </c>
      <c r="Y40" s="1230" t="n"/>
      <c r="Z40" s="1230" t="n">
        <v>103.8857142857143</v>
      </c>
      <c r="AA40" s="1169" t="n">
        <v>0</v>
      </c>
      <c r="AB40" s="1169" t="n">
        <v>897.9428571428572</v>
      </c>
      <c r="AC40" s="1058" t="n">
        <v>0.1533194835351142</v>
      </c>
    </row>
    <row r="41" ht="19.95" customHeight="1">
      <c r="A41" s="219" t="n">
        <v>29</v>
      </c>
      <c r="B41" s="164" t="inlineStr">
        <is>
          <t>ရွှေမင်းသားမန်ကျည်းခေါင်ရည်</t>
        </is>
      </c>
      <c r="C41" s="152" t="n">
        <v>0.64</v>
      </c>
      <c r="D41" s="152" t="inlineStr">
        <is>
          <t>1 * 14</t>
        </is>
      </c>
      <c r="E41" s="1058" t="n"/>
      <c r="F41" s="1169" t="n">
        <v>341.76</v>
      </c>
      <c r="G41" s="1230" t="n"/>
      <c r="H41" s="1230" t="n">
        <v>2417.92</v>
      </c>
      <c r="I41" s="1230" t="n"/>
      <c r="J41" s="1230" t="n">
        <v>431.36</v>
      </c>
      <c r="K41" s="1230" t="n"/>
      <c r="L41" s="1230" t="n">
        <v>181.5771428571429</v>
      </c>
      <c r="M41" s="1230" t="n"/>
      <c r="N41" s="1230" t="n">
        <v>1.28</v>
      </c>
      <c r="O41" s="1230" t="n"/>
      <c r="P41" s="1230" t="n">
        <v>70.40000000000001</v>
      </c>
      <c r="Q41" s="1230" t="n"/>
      <c r="R41" s="1230" t="n">
        <v>78.08000000000001</v>
      </c>
      <c r="S41" s="1230" t="n"/>
      <c r="T41" s="1230" t="n"/>
      <c r="U41" s="1169" t="n"/>
      <c r="V41" s="1169" t="n"/>
      <c r="W41" s="1230" t="n"/>
      <c r="X41" s="1230" t="n">
        <v>25.6</v>
      </c>
      <c r="Y41" s="1230" t="n"/>
      <c r="Z41" s="1230" t="n"/>
      <c r="AA41" s="1169" t="n">
        <v>0</v>
      </c>
      <c r="AB41" s="1169" t="n">
        <v>3547.977142857143</v>
      </c>
      <c r="AC41" s="1058" t="n">
        <v>0.6058002675895269</v>
      </c>
    </row>
    <row r="42" ht="19.95" customFormat="1" customHeight="1" s="299">
      <c r="A42" s="296" t="n"/>
      <c r="B42" s="300" t="inlineStr">
        <is>
          <t>Shwe Minthar</t>
        </is>
      </c>
      <c r="C42" s="301" t="n"/>
      <c r="D42" s="301" t="n"/>
      <c r="E42" s="1286">
        <f>SUM(E37:E41)</f>
        <v/>
      </c>
      <c r="F42" s="1286">
        <f>SUM(F37:F41)</f>
        <v/>
      </c>
      <c r="G42" s="1286">
        <f>SUM(G37:G41)</f>
        <v/>
      </c>
      <c r="H42" s="1286">
        <f>SUM(H37:H41)</f>
        <v/>
      </c>
      <c r="I42" s="1286">
        <f>SUM(I37:I41)</f>
        <v/>
      </c>
      <c r="J42" s="1286">
        <f>SUM(J37:J41)</f>
        <v/>
      </c>
      <c r="K42" s="1286">
        <f>SUM(K37:K41)</f>
        <v/>
      </c>
      <c r="L42" s="1286">
        <f>SUM(L37:L41)</f>
        <v/>
      </c>
      <c r="M42" s="1286">
        <f>SUM(M37:M41)</f>
        <v/>
      </c>
      <c r="N42" s="1286">
        <f>SUM(N37:N41)</f>
        <v/>
      </c>
      <c r="O42" s="1286">
        <f>SUM(O37:O41)</f>
        <v/>
      </c>
      <c r="P42" s="1286">
        <f>SUM(P37:P41)</f>
        <v/>
      </c>
      <c r="Q42" s="1286">
        <f>SUM(Q37:Q41)</f>
        <v/>
      </c>
      <c r="R42" s="1286">
        <f>SUM(R37:R41)</f>
        <v/>
      </c>
      <c r="S42" s="1286">
        <f>SUM(S37:S41)</f>
        <v/>
      </c>
      <c r="T42" s="1286">
        <f>SUM(T37:T41)</f>
        <v/>
      </c>
      <c r="U42" s="1286">
        <f>SUM(U37:U41)</f>
        <v/>
      </c>
      <c r="V42" s="1286">
        <f>SUM(V37:V41)</f>
        <v/>
      </c>
      <c r="W42" s="1286">
        <f>SUM(W37:W41)</f>
        <v/>
      </c>
      <c r="X42" s="1286">
        <f>SUM(X37:X41)</f>
        <v/>
      </c>
      <c r="Y42" s="1286">
        <f>SUM(Y37:Y41)</f>
        <v/>
      </c>
      <c r="Z42" s="1286">
        <f>SUM(Z37:Z41)</f>
        <v/>
      </c>
      <c r="AA42" s="1286">
        <f>SUM(AA37:AA41)</f>
        <v/>
      </c>
      <c r="AB42" s="1286">
        <f>SUM(AB37:AB41)</f>
        <v/>
      </c>
      <c r="AC42" s="1286">
        <f>SUM(AC37:AC41)</f>
        <v/>
      </c>
    </row>
    <row r="43" ht="19.95" customHeight="1">
      <c r="A43" s="219" t="n">
        <v>30</v>
      </c>
      <c r="B43" s="164" t="inlineStr">
        <is>
          <t>Formula Rum 700ml</t>
        </is>
      </c>
      <c r="C43" s="152" t="n">
        <v>0.7</v>
      </c>
      <c r="D43" s="152" t="inlineStr">
        <is>
          <t>1 * 12</t>
        </is>
      </c>
      <c r="E43" s="1058" t="n">
        <v>160.7</v>
      </c>
      <c r="F43" s="1169" t="n">
        <v>37.2</v>
      </c>
      <c r="G43" s="1230" t="n">
        <v>6.599999999999999</v>
      </c>
      <c r="H43" s="1230" t="n"/>
      <c r="I43" s="1230" t="n">
        <v>72.59999999999999</v>
      </c>
      <c r="J43" s="1230" t="n"/>
      <c r="K43" s="1230" t="n">
        <v>42.49999999999999</v>
      </c>
      <c r="L43" s="1230" t="n">
        <v>3.299999999999999</v>
      </c>
      <c r="M43" s="1230" t="n">
        <v>17.4</v>
      </c>
      <c r="N43" s="1230" t="n">
        <v>0</v>
      </c>
      <c r="O43" s="1230" t="n">
        <v>13.8</v>
      </c>
      <c r="P43" s="1230" t="n">
        <v>0</v>
      </c>
      <c r="Q43" s="1230" t="n">
        <v>209.8</v>
      </c>
      <c r="R43" s="1230" t="n">
        <v>84.59999999999999</v>
      </c>
      <c r="S43" s="1230" t="n"/>
      <c r="T43" s="1230" t="n"/>
      <c r="U43" s="1169" t="n">
        <v>67.19999999999999</v>
      </c>
      <c r="V43" s="1169" t="n">
        <v>24</v>
      </c>
      <c r="W43" s="1230" t="n">
        <v>63.6</v>
      </c>
      <c r="X43" s="1230" t="n">
        <v>45.62857142857143</v>
      </c>
      <c r="Y43" s="1169" t="n">
        <v>92.39999999999999</v>
      </c>
      <c r="Z43" s="1169" t="n"/>
      <c r="AA43" s="1169" t="n">
        <v>746.5999999999999</v>
      </c>
      <c r="AB43" s="1169" t="n">
        <v>194.7285714285714</v>
      </c>
      <c r="AC43" s="1058" t="n">
        <v>0.03324897989161164</v>
      </c>
    </row>
    <row r="44" ht="19.95" customHeight="1">
      <c r="A44" s="219" t="n">
        <v>31</v>
      </c>
      <c r="B44" s="164" t="inlineStr">
        <is>
          <t>Formula Rum 350ml</t>
        </is>
      </c>
      <c r="C44" s="152" t="n">
        <v>0.35</v>
      </c>
      <c r="D44" s="152" t="inlineStr">
        <is>
          <t>1 * 24</t>
        </is>
      </c>
      <c r="E44" s="1058" t="n">
        <v>67.7</v>
      </c>
      <c r="F44" s="1169" t="n">
        <v>53.85</v>
      </c>
      <c r="G44" s="1230" t="n">
        <v>1.35</v>
      </c>
      <c r="H44" s="1230" t="n"/>
      <c r="I44" s="1230" t="n">
        <v>45.3</v>
      </c>
      <c r="J44" s="1230" t="n"/>
      <c r="K44" s="1230" t="n">
        <v>3.599999999999999</v>
      </c>
      <c r="L44" s="1230" t="n">
        <v>6.299999999999999</v>
      </c>
      <c r="M44" s="1230" t="n">
        <v>1.8</v>
      </c>
      <c r="N44" s="1230" t="n">
        <v>0</v>
      </c>
      <c r="O44" s="1230" t="n">
        <v>7.799999999999999</v>
      </c>
      <c r="P44" s="1230" t="n">
        <v>0</v>
      </c>
      <c r="Q44" s="1230" t="n">
        <v>24.8</v>
      </c>
      <c r="R44" s="1230" t="n">
        <v>88</v>
      </c>
      <c r="S44" s="1230" t="n"/>
      <c r="T44" s="1230" t="n"/>
      <c r="U44" s="1169" t="n">
        <v>1.2</v>
      </c>
      <c r="V44" s="1169" t="n">
        <v>0</v>
      </c>
      <c r="W44" s="1169" t="n">
        <v>6.600000000000001</v>
      </c>
      <c r="X44" s="1169" t="n">
        <v>0.5</v>
      </c>
      <c r="Y44" s="1169" t="n">
        <v>6</v>
      </c>
      <c r="Z44" s="1169" t="n"/>
      <c r="AA44" s="1169" t="n">
        <v>166.15</v>
      </c>
      <c r="AB44" s="1169" t="n">
        <v>148.65</v>
      </c>
      <c r="AC44" s="1058" t="n">
        <v>0.02538128239029895</v>
      </c>
    </row>
    <row r="45" ht="19.95" customFormat="1" customHeight="1" s="299">
      <c r="A45" s="296" t="n"/>
      <c r="B45" s="300" t="inlineStr">
        <is>
          <t>Formula</t>
        </is>
      </c>
      <c r="C45" s="301" t="n"/>
      <c r="D45" s="301" t="n"/>
      <c r="E45" s="1286">
        <f>SUM(E43:E44)</f>
        <v/>
      </c>
      <c r="F45" s="1286">
        <f>SUM(F43:F44)</f>
        <v/>
      </c>
      <c r="G45" s="1286">
        <f>SUM(G43:G44)</f>
        <v/>
      </c>
      <c r="H45" s="1286">
        <f>SUM(H43:H44)</f>
        <v/>
      </c>
      <c r="I45" s="1286">
        <f>SUM(I43:I44)</f>
        <v/>
      </c>
      <c r="J45" s="1286">
        <f>SUM(J43:J44)</f>
        <v/>
      </c>
      <c r="K45" s="1286">
        <f>SUM(K43:K44)</f>
        <v/>
      </c>
      <c r="L45" s="1286">
        <f>SUM(L43:L44)</f>
        <v/>
      </c>
      <c r="M45" s="1286">
        <f>SUM(M43:M44)</f>
        <v/>
      </c>
      <c r="N45" s="1286">
        <f>SUM(N43:N44)</f>
        <v/>
      </c>
      <c r="O45" s="1286">
        <f>SUM(O43:O44)</f>
        <v/>
      </c>
      <c r="P45" s="1286">
        <f>SUM(P43:P44)</f>
        <v/>
      </c>
      <c r="Q45" s="1286">
        <f>SUM(Q43:Q44)</f>
        <v/>
      </c>
      <c r="R45" s="1286">
        <f>SUM(R43:R44)</f>
        <v/>
      </c>
      <c r="S45" s="1286">
        <f>SUM(S43:S44)</f>
        <v/>
      </c>
      <c r="T45" s="1286">
        <f>SUM(T43:T44)</f>
        <v/>
      </c>
      <c r="U45" s="1286">
        <f>SUM(U43:U44)</f>
        <v/>
      </c>
      <c r="V45" s="1286">
        <f>SUM(V43:V44)</f>
        <v/>
      </c>
      <c r="W45" s="1286">
        <f>SUM(W43:W44)</f>
        <v/>
      </c>
      <c r="X45" s="1286">
        <f>SUM(X43:X44)</f>
        <v/>
      </c>
      <c r="Y45" s="1286">
        <f>SUM(Y43:Y44)</f>
        <v/>
      </c>
      <c r="Z45" s="1286">
        <f>SUM(Z43:Z44)</f>
        <v/>
      </c>
      <c r="AA45" s="1286">
        <f>SUM(AA43:AA44)</f>
        <v/>
      </c>
      <c r="AB45" s="1286">
        <f>SUM(AB43:AB44)</f>
        <v/>
      </c>
      <c r="AC45" s="1286">
        <f>SUM(AC43:AC44)</f>
        <v/>
      </c>
    </row>
    <row r="46" ht="19.95" customHeight="1">
      <c r="A46" s="219" t="n">
        <v>32</v>
      </c>
      <c r="B46" s="164" t="inlineStr">
        <is>
          <t xml:space="preserve">White Orange </t>
        </is>
      </c>
      <c r="C46" s="152" t="n">
        <v>0.64</v>
      </c>
      <c r="D46" s="152" t="inlineStr">
        <is>
          <t>1 * 24</t>
        </is>
      </c>
      <c r="E46" s="1058" t="n">
        <v>77265.28000000001</v>
      </c>
      <c r="F46" s="1230" t="n">
        <v>84623.54285714285</v>
      </c>
      <c r="G46" s="1230" t="n">
        <v>1895.862857142857</v>
      </c>
      <c r="H46" s="1230" t="n">
        <v>1906.468571428571</v>
      </c>
      <c r="I46" s="1230" t="n">
        <v>6040.685714285713</v>
      </c>
      <c r="J46" s="1230" t="n">
        <v>11497.69142857143</v>
      </c>
      <c r="K46" s="1230" t="n">
        <v>8022.217142857144</v>
      </c>
      <c r="L46" s="1230" t="n">
        <v>8450.194285714286</v>
      </c>
      <c r="M46" s="1230" t="n">
        <v>6903.68</v>
      </c>
      <c r="N46" s="1230" t="n">
        <v>14284.8</v>
      </c>
      <c r="O46" s="1230" t="n">
        <v>17043.01714285714</v>
      </c>
      <c r="P46" s="1230" t="n">
        <v>0</v>
      </c>
      <c r="Q46" s="1230" t="n">
        <v>1796.845714285715</v>
      </c>
      <c r="R46" s="1230" t="n">
        <v>3052.251428571428</v>
      </c>
      <c r="S46" s="1230" t="n">
        <v>10.97142857142857</v>
      </c>
      <c r="T46" s="1230" t="n"/>
      <c r="U46" s="1169" t="n"/>
      <c r="V46" s="1169" t="n"/>
      <c r="W46" s="1169" t="n"/>
      <c r="X46" s="1169" t="n">
        <v>6.582857142857143</v>
      </c>
      <c r="Y46" s="1169" t="n"/>
      <c r="Z46" s="1169" t="n"/>
      <c r="AA46" s="1169" t="n">
        <v>118978.56</v>
      </c>
      <c r="AB46" s="1169" t="n">
        <v>123821.5314285714</v>
      </c>
      <c r="AC46" s="1058" t="n">
        <v>21.14193915363503</v>
      </c>
    </row>
    <row r="47" ht="19.95" customFormat="1" customHeight="1" s="299">
      <c r="A47" s="296" t="n"/>
      <c r="B47" s="300" t="inlineStr">
        <is>
          <t xml:space="preserve">White Orange </t>
        </is>
      </c>
      <c r="C47" s="301" t="n"/>
      <c r="D47" s="301" t="n"/>
      <c r="E47" s="1286">
        <f>SUM(E46)</f>
        <v/>
      </c>
      <c r="F47" s="1286">
        <f>SUM(F46)</f>
        <v/>
      </c>
      <c r="G47" s="1286">
        <f>SUM(G46)</f>
        <v/>
      </c>
      <c r="H47" s="1286">
        <f>SUM(H46)</f>
        <v/>
      </c>
      <c r="I47" s="1286">
        <f>SUM(I46)</f>
        <v/>
      </c>
      <c r="J47" s="1286">
        <f>SUM(J46)</f>
        <v/>
      </c>
      <c r="K47" s="1286">
        <f>SUM(K46)</f>
        <v/>
      </c>
      <c r="L47" s="1286">
        <f>SUM(L46)</f>
        <v/>
      </c>
      <c r="M47" s="1286">
        <f>SUM(M46)</f>
        <v/>
      </c>
      <c r="N47" s="1286">
        <f>SUM(N46)</f>
        <v/>
      </c>
      <c r="O47" s="1286">
        <f>SUM(O46)</f>
        <v/>
      </c>
      <c r="P47" s="1286">
        <f>SUM(P46)</f>
        <v/>
      </c>
      <c r="Q47" s="1286">
        <f>SUM(Q46)</f>
        <v/>
      </c>
      <c r="R47" s="1286">
        <f>SUM(R46)</f>
        <v/>
      </c>
      <c r="S47" s="1286">
        <f>SUM(S46)</f>
        <v/>
      </c>
      <c r="T47" s="1286">
        <f>SUM(T46)</f>
        <v/>
      </c>
      <c r="U47" s="1286">
        <f>SUM(U46)</f>
        <v/>
      </c>
      <c r="V47" s="1286">
        <f>SUM(V46)</f>
        <v/>
      </c>
      <c r="W47" s="1286">
        <f>SUM(W46)</f>
        <v/>
      </c>
      <c r="X47" s="1286">
        <f>SUM(X46)</f>
        <v/>
      </c>
      <c r="Y47" s="1286">
        <f>SUM(Y46)</f>
        <v/>
      </c>
      <c r="Z47" s="1286">
        <f>SUM(Z46)</f>
        <v/>
      </c>
      <c r="AA47" s="1286">
        <f>SUM(AA46)</f>
        <v/>
      </c>
      <c r="AB47" s="1286">
        <f>SUM(AB46)</f>
        <v/>
      </c>
      <c r="AC47" s="1286">
        <f>SUM(AC46)</f>
        <v/>
      </c>
    </row>
    <row r="48" ht="19.95" customHeight="1">
      <c r="A48" s="219" t="n">
        <v>33</v>
      </c>
      <c r="B48" s="164" t="inlineStr">
        <is>
          <t>Black - Cat</t>
        </is>
      </c>
      <c r="C48" s="152" t="n">
        <v>0.64</v>
      </c>
      <c r="D48" s="152" t="inlineStr">
        <is>
          <t>1 * 24</t>
        </is>
      </c>
      <c r="E48" s="1058" t="n">
        <v>3262.902857142857</v>
      </c>
      <c r="F48" s="1169" t="n">
        <v>3721.508571428571</v>
      </c>
      <c r="G48" s="1169" t="n">
        <v>8.777142857142858</v>
      </c>
      <c r="H48" s="1169" t="n"/>
      <c r="I48" s="1230" t="n">
        <v>2.194285714285714</v>
      </c>
      <c r="J48" s="1230" t="n">
        <v>87.77142857142857</v>
      </c>
      <c r="K48" s="1230" t="n">
        <v>2.194285714285714</v>
      </c>
      <c r="L48" s="1230" t="n">
        <v>6.582857142857143</v>
      </c>
      <c r="M48" s="1230" t="n">
        <v>362.0571428571429</v>
      </c>
      <c r="N48" s="1230" t="n">
        <v>362.0571428571429</v>
      </c>
      <c r="O48" s="1230" t="n">
        <v>509.0742857142857</v>
      </c>
      <c r="P48" s="1230" t="n"/>
      <c r="Q48" s="1169" t="n"/>
      <c r="R48" s="1169" t="n"/>
      <c r="S48" s="1169" t="n"/>
      <c r="T48" s="1169" t="n"/>
      <c r="U48" s="1169" t="n"/>
      <c r="V48" s="1169" t="n"/>
      <c r="W48" s="1169" t="n"/>
      <c r="X48" s="1169" t="n"/>
      <c r="Y48" s="1169" t="n"/>
      <c r="Z48" s="1169" t="n"/>
      <c r="AA48" s="1169" t="n">
        <v>4147.2</v>
      </c>
      <c r="AB48" s="1169" t="n">
        <v>4177.919999999999</v>
      </c>
      <c r="AC48" s="1058" t="n">
        <v>0.7133600223617743</v>
      </c>
    </row>
    <row r="49" ht="19.95" customFormat="1" customHeight="1" s="299">
      <c r="A49" s="296" t="n"/>
      <c r="B49" s="303" t="inlineStr">
        <is>
          <t>Black - Cat</t>
        </is>
      </c>
      <c r="C49" s="304" t="n"/>
      <c r="D49" s="304" t="n"/>
      <c r="E49" s="1286">
        <f>SUM(E48)</f>
        <v/>
      </c>
      <c r="F49" s="1286">
        <f>SUM(F48)</f>
        <v/>
      </c>
      <c r="G49" s="1286">
        <f>SUM(G48)</f>
        <v/>
      </c>
      <c r="H49" s="1286">
        <f>SUM(H48)</f>
        <v/>
      </c>
      <c r="I49" s="1286">
        <f>SUM(I48)</f>
        <v/>
      </c>
      <c r="J49" s="1286">
        <f>SUM(J48)</f>
        <v/>
      </c>
      <c r="K49" s="1286">
        <f>SUM(K48)</f>
        <v/>
      </c>
      <c r="L49" s="1286">
        <f>SUM(L48)</f>
        <v/>
      </c>
      <c r="M49" s="1286">
        <f>SUM(M48)</f>
        <v/>
      </c>
      <c r="N49" s="1286">
        <f>SUM(N48)</f>
        <v/>
      </c>
      <c r="O49" s="1286">
        <f>SUM(O48)</f>
        <v/>
      </c>
      <c r="P49" s="1286">
        <f>SUM(P48)</f>
        <v/>
      </c>
      <c r="Q49" s="1286">
        <f>SUM(Q48)</f>
        <v/>
      </c>
      <c r="R49" s="1286">
        <f>SUM(R48)</f>
        <v/>
      </c>
      <c r="S49" s="1286">
        <f>SUM(S48)</f>
        <v/>
      </c>
      <c r="T49" s="1286">
        <f>SUM(T48)</f>
        <v/>
      </c>
      <c r="U49" s="1286">
        <f>SUM(U48)</f>
        <v/>
      </c>
      <c r="V49" s="1286">
        <f>SUM(V48)</f>
        <v/>
      </c>
      <c r="W49" s="1286">
        <f>SUM(W48)</f>
        <v/>
      </c>
      <c r="X49" s="1286">
        <f>SUM(X48)</f>
        <v/>
      </c>
      <c r="Y49" s="1286">
        <f>SUM(Y48)</f>
        <v/>
      </c>
      <c r="Z49" s="1286">
        <f>SUM(Z48)</f>
        <v/>
      </c>
      <c r="AA49" s="1286">
        <f>SUM(AA48)</f>
        <v/>
      </c>
      <c r="AB49" s="1286">
        <f>SUM(AB48)</f>
        <v/>
      </c>
      <c r="AC49" s="1286">
        <f>SUM(AC48)</f>
        <v/>
      </c>
    </row>
    <row r="50" ht="19.95" customHeight="1">
      <c r="A50" s="219" t="n">
        <v>34</v>
      </c>
      <c r="B50" s="234" t="inlineStr">
        <is>
          <t>ကင်းမြီးကောက်</t>
        </is>
      </c>
      <c r="C50" s="220" t="n">
        <v>0.64</v>
      </c>
      <c r="D50" s="220" t="inlineStr">
        <is>
          <t>1 * 14</t>
        </is>
      </c>
      <c r="E50" s="1058" t="n">
        <v>896</v>
      </c>
      <c r="F50" s="1169" t="n">
        <v>1632</v>
      </c>
      <c r="G50" s="1169" t="n"/>
      <c r="H50" s="1169" t="n"/>
      <c r="I50" s="1169" t="n"/>
      <c r="J50" s="1169" t="n"/>
      <c r="K50" s="1169" t="n">
        <v>369.92</v>
      </c>
      <c r="L50" s="1169" t="n">
        <v>328.96</v>
      </c>
      <c r="M50" s="1169" t="n">
        <v>524.8</v>
      </c>
      <c r="N50" s="1169" t="n">
        <v>492.8</v>
      </c>
      <c r="O50" s="1169" t="n">
        <v>885.76</v>
      </c>
      <c r="P50" s="1169" t="n"/>
      <c r="Q50" s="1169" t="n"/>
      <c r="R50" s="1169" t="n"/>
      <c r="S50" s="1169" t="n"/>
      <c r="T50" s="1169" t="n"/>
      <c r="U50" s="1169" t="n"/>
      <c r="V50" s="1169" t="n"/>
      <c r="W50" s="1169" t="n"/>
      <c r="X50" s="1169" t="n"/>
      <c r="Y50" s="1169" t="n"/>
      <c r="Z50" s="1169" t="n"/>
      <c r="AA50" s="1169" t="n">
        <v>2676.48</v>
      </c>
      <c r="AB50" s="1169" t="n">
        <v>2453.76</v>
      </c>
      <c r="AC50" s="1058" t="n">
        <v>0.4189678807804907</v>
      </c>
    </row>
    <row r="51" ht="19.95" customFormat="1" customHeight="1" s="299">
      <c r="A51" s="305" t="n"/>
      <c r="B51" s="303" t="inlineStr">
        <is>
          <t>Scropian</t>
        </is>
      </c>
      <c r="C51" s="304" t="n"/>
      <c r="D51" s="304" t="n"/>
      <c r="E51" s="1288">
        <f>SUM(E50)</f>
        <v/>
      </c>
      <c r="F51" s="1288">
        <f>SUM(F50)</f>
        <v/>
      </c>
      <c r="G51" s="1288">
        <f>SUM(G50)</f>
        <v/>
      </c>
      <c r="H51" s="1288">
        <f>SUM(H50)</f>
        <v/>
      </c>
      <c r="I51" s="1288">
        <f>SUM(I50)</f>
        <v/>
      </c>
      <c r="J51" s="1288">
        <f>SUM(J50)</f>
        <v/>
      </c>
      <c r="K51" s="1288">
        <f>SUM(K50)</f>
        <v/>
      </c>
      <c r="L51" s="1288">
        <f>SUM(L50)</f>
        <v/>
      </c>
      <c r="M51" s="1288">
        <f>SUM(M50)</f>
        <v/>
      </c>
      <c r="N51" s="1288">
        <f>SUM(N50)</f>
        <v/>
      </c>
      <c r="O51" s="1288">
        <f>SUM(O50)</f>
        <v/>
      </c>
      <c r="P51" s="1288">
        <f>SUM(P50)</f>
        <v/>
      </c>
      <c r="Q51" s="1288">
        <f>SUM(Q50)</f>
        <v/>
      </c>
      <c r="R51" s="1288">
        <f>SUM(R50)</f>
        <v/>
      </c>
      <c r="S51" s="1288">
        <f>SUM(S50)</f>
        <v/>
      </c>
      <c r="T51" s="1288">
        <f>SUM(T50)</f>
        <v/>
      </c>
      <c r="U51" s="1288">
        <f>SUM(U50)</f>
        <v/>
      </c>
      <c r="V51" s="1288">
        <f>SUM(V50)</f>
        <v/>
      </c>
      <c r="W51" s="1288">
        <f>SUM(W50)</f>
        <v/>
      </c>
      <c r="X51" s="1288">
        <f>SUM(X50)</f>
        <v/>
      </c>
      <c r="Y51" s="1288">
        <f>SUM(Y50)</f>
        <v/>
      </c>
      <c r="Z51" s="1288">
        <f>SUM(Z50)</f>
        <v/>
      </c>
      <c r="AA51" s="1288">
        <f>SUM(AA50)</f>
        <v/>
      </c>
      <c r="AB51" s="1288">
        <f>SUM(AB50)</f>
        <v/>
      </c>
      <c r="AC51" s="1288">
        <f>SUM(AC50)</f>
        <v/>
      </c>
    </row>
    <row r="52" ht="19.95" customHeight="1">
      <c r="A52" s="235" t="n"/>
      <c r="B52" s="236" t="inlineStr">
        <is>
          <t>BE Total</t>
        </is>
      </c>
      <c r="C52" s="221" t="n"/>
      <c r="D52" s="221" t="n"/>
      <c r="E52" s="1289" t="n">
        <v>206085.3085714286</v>
      </c>
      <c r="F52" s="1289" t="n">
        <v>217074.3185714286</v>
      </c>
      <c r="G52" s="1289" t="n">
        <v>12946.44142857143</v>
      </c>
      <c r="H52" s="1289" t="n">
        <v>17214.94285714285</v>
      </c>
      <c r="I52" s="1289" t="n">
        <v>59531.98</v>
      </c>
      <c r="J52" s="1289" t="n">
        <v>76917.25714285714</v>
      </c>
      <c r="K52" s="1289" t="n">
        <v>60115.26</v>
      </c>
      <c r="L52" s="1289" t="n">
        <v>76592.05142857145</v>
      </c>
      <c r="M52" s="1289" t="n">
        <v>30840.48</v>
      </c>
      <c r="N52" s="1289" t="n">
        <v>45407.17142857143</v>
      </c>
      <c r="O52" s="1289" t="n">
        <v>52716.53714285715</v>
      </c>
      <c r="P52" s="1289" t="n">
        <v>15808.45142857143</v>
      </c>
      <c r="Q52" s="1289" t="n">
        <v>66517.01142857142</v>
      </c>
      <c r="R52" s="1289" t="n">
        <v>86185.05714285716</v>
      </c>
      <c r="S52" s="1289" t="n">
        <v>8918.605714285713</v>
      </c>
      <c r="T52" s="1289" t="n">
        <v>10036.45714285714</v>
      </c>
      <c r="U52" s="1289" t="n">
        <v>11041.02857142857</v>
      </c>
      <c r="V52" s="1289" t="n">
        <v>8946.274285714286</v>
      </c>
      <c r="W52" s="1289" t="n">
        <v>11274.94857142857</v>
      </c>
      <c r="X52" s="1289" t="n">
        <v>14055.49428571429</v>
      </c>
      <c r="Y52" s="1289" t="n">
        <v>15190.63714285714</v>
      </c>
      <c r="Z52" s="1289" t="n">
        <v>17430.33142857143</v>
      </c>
      <c r="AA52" s="1289" t="n">
        <v>535178.2385714287</v>
      </c>
      <c r="AB52" s="1289" t="n">
        <v>585667.8071428571</v>
      </c>
      <c r="AC52" s="1289" t="n">
        <v>99.99999999999999</v>
      </c>
    </row>
    <row r="53" ht="19.95" customHeight="1">
      <c r="A53" s="238" t="n"/>
      <c r="B53" s="239" t="inlineStr">
        <is>
          <t xml:space="preserve">Year Jan-Jun  2024 </t>
        </is>
      </c>
      <c r="C53" s="239" t="n"/>
      <c r="D53" s="239" t="n"/>
      <c r="E53" s="239" t="n"/>
      <c r="F53" s="1239" t="n">
        <v>214144</v>
      </c>
      <c r="G53" s="1239" t="n"/>
      <c r="H53" s="1239" t="n">
        <v>14520</v>
      </c>
      <c r="I53" s="1239" t="n"/>
      <c r="J53" s="1239" t="n">
        <v>63714</v>
      </c>
      <c r="K53" s="1239" t="n"/>
      <c r="L53" s="1239" t="n">
        <v>67035</v>
      </c>
      <c r="M53" s="1239" t="n"/>
      <c r="N53" s="1239" t="n">
        <v>34306</v>
      </c>
      <c r="O53" s="1239" t="n"/>
      <c r="P53" s="1239" t="n">
        <v>48996</v>
      </c>
      <c r="Q53" s="1239" t="n"/>
      <c r="R53" s="1239" t="n">
        <v>72931</v>
      </c>
      <c r="S53" s="1239" t="n"/>
      <c r="T53" s="1239" t="n">
        <v>9738</v>
      </c>
      <c r="U53" s="1239" t="n"/>
      <c r="V53" s="1239" t="n">
        <v>9831</v>
      </c>
      <c r="W53" s="1239" t="n"/>
      <c r="X53" s="1239" t="n">
        <v>13802</v>
      </c>
      <c r="Y53" s="1239" t="n"/>
      <c r="Z53" s="1239" t="n">
        <v>14689</v>
      </c>
      <c r="AA53" s="1239" t="n"/>
      <c r="AB53" s="1239" t="n">
        <v>563706</v>
      </c>
      <c r="AC53" s="1239" t="n"/>
    </row>
    <row r="54" ht="19.95" customHeight="1">
      <c r="A54" s="238" t="n"/>
      <c r="B54" s="239" t="inlineStr">
        <is>
          <t>Growth</t>
        </is>
      </c>
      <c r="C54" s="239" t="n"/>
      <c r="D54" s="239" t="n"/>
      <c r="E54" s="239" t="n"/>
      <c r="F54" s="1239" t="n">
        <v>1.368386959909486</v>
      </c>
      <c r="G54" s="1239" t="n"/>
      <c r="H54" s="1242" t="n">
        <v>18.56021251475795</v>
      </c>
      <c r="I54" s="1242" t="n"/>
      <c r="J54" s="1242" t="n">
        <v>20.72269382373912</v>
      </c>
      <c r="K54" s="1242" t="n"/>
      <c r="L54" s="1242" t="n">
        <v>14.25680827712605</v>
      </c>
      <c r="M54" s="1242" t="n"/>
      <c r="N54" s="1242" t="n">
        <v>32.35927076479749</v>
      </c>
      <c r="O54" s="1242" t="n"/>
      <c r="P54" s="1239" t="n">
        <v>-67.73522036784344</v>
      </c>
      <c r="Q54" s="1239" t="n"/>
      <c r="R54" s="1242" t="n">
        <v>18.17342027787518</v>
      </c>
      <c r="S54" s="1242" t="n"/>
      <c r="T54" s="1242" t="n">
        <v>3.06487105008361</v>
      </c>
      <c r="U54" s="1242" t="n"/>
      <c r="V54" s="1239" t="n">
        <v>-8.999346091808718</v>
      </c>
      <c r="W54" s="1239" t="n"/>
      <c r="X54" s="1239" t="n">
        <v>1.836648932866879</v>
      </c>
      <c r="Y54" s="1239" t="n"/>
      <c r="Z54" s="1242" t="n">
        <v>18.66247823930442</v>
      </c>
      <c r="AA54" s="1242" t="n"/>
      <c r="AB54" s="1242" t="n">
        <v>3.895968313776521</v>
      </c>
      <c r="AC54" s="1239" t="n"/>
    </row>
    <row r="55" ht="19.95" customHeight="1">
      <c r="A55" s="238" t="n"/>
      <c r="B55" s="239" t="inlineStr">
        <is>
          <t>Gap in Litre</t>
        </is>
      </c>
      <c r="C55" s="239" t="n"/>
      <c r="D55" s="239" t="n"/>
      <c r="E55" s="239" t="n"/>
      <c r="F55" s="1239" t="n">
        <v>2930.318571428565</v>
      </c>
      <c r="G55" s="1239" t="n"/>
      <c r="H55" s="1242" t="n">
        <v>2694.942857142854</v>
      </c>
      <c r="I55" s="1242" t="n"/>
      <c r="J55" s="1242" t="n">
        <v>13203.25714285714</v>
      </c>
      <c r="K55" s="1242" t="n"/>
      <c r="L55" s="1242" t="n">
        <v>9557.051428571445</v>
      </c>
      <c r="M55" s="1242" t="n"/>
      <c r="N55" s="1242" t="n">
        <v>11101.17142857143</v>
      </c>
      <c r="O55" s="1242" t="n"/>
      <c r="P55" s="1239" t="n">
        <v>-33187.54857142858</v>
      </c>
      <c r="Q55" s="1239" t="n"/>
      <c r="R55" s="1242" t="n">
        <v>13254.05714285716</v>
      </c>
      <c r="S55" s="1242" t="n"/>
      <c r="T55" s="1242" t="n">
        <v>298.4571428571435</v>
      </c>
      <c r="U55" s="1242" t="n"/>
      <c r="V55" s="1239" t="n">
        <v>-884.7257142857143</v>
      </c>
      <c r="W55" s="1239" t="n"/>
      <c r="X55" s="1239" t="n">
        <v>253.4942857142869</v>
      </c>
      <c r="Y55" s="1239" t="n"/>
      <c r="Z55" s="1242" t="n">
        <v>2741.331428571426</v>
      </c>
      <c r="AA55" s="1242" t="n"/>
      <c r="AB55" s="1242" t="n">
        <v>21961.80714285711</v>
      </c>
      <c r="AC55" s="1239" t="n"/>
    </row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</sheetData>
  <mergeCells count="16">
    <mergeCell ref="Q1:R1"/>
    <mergeCell ref="G1:H1"/>
    <mergeCell ref="E1:F1"/>
    <mergeCell ref="S1:T1"/>
    <mergeCell ref="K1:L1"/>
    <mergeCell ref="W1:X1"/>
    <mergeCell ref="U1:V1"/>
    <mergeCell ref="AA1:AB1"/>
    <mergeCell ref="Y1:Z1"/>
    <mergeCell ref="O1:P1"/>
    <mergeCell ref="B1:B2"/>
    <mergeCell ref="C1:C2"/>
    <mergeCell ref="D1:D2"/>
    <mergeCell ref="M1:N1"/>
    <mergeCell ref="I1:J1"/>
    <mergeCell ref="A1:A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AT31"/>
  <sheetViews>
    <sheetView workbookViewId="0">
      <pane xSplit="4" ySplit="4" topLeftCell="K20" activePane="bottomRight" state="frozen"/>
      <selection activeCell="AO5" sqref="AO5"/>
      <selection pane="topRight" activeCell="AO5" sqref="AO5"/>
      <selection pane="bottomLeft" activeCell="AO5" sqref="AO5"/>
      <selection pane="bottomRight" activeCell="AR5" sqref="AR5:AR29"/>
    </sheetView>
  </sheetViews>
  <sheetFormatPr baseColWidth="8" defaultColWidth="9.109375" defaultRowHeight="20.4"/>
  <cols>
    <col width="5.33203125" customWidth="1" style="174" min="1" max="1"/>
    <col width="29.109375" customWidth="1" style="147" min="2" max="2"/>
    <col width="9.109375" customWidth="1" style="147" min="3" max="3"/>
    <col width="11.44140625" customWidth="1" style="147" min="4" max="4"/>
    <col width="10.44140625" customWidth="1" style="147" min="5" max="5"/>
    <col width="11.5546875" customWidth="1" style="147" min="6" max="7"/>
    <col width="9.33203125" bestFit="1" customWidth="1" style="147" min="8" max="19"/>
    <col hidden="1" width="9.33203125" customWidth="1" style="147" min="20" max="40"/>
    <col width="10.5546875" bestFit="1" customWidth="1" style="147" min="41" max="41"/>
    <col width="13.33203125" bestFit="1" customWidth="1" style="147" min="42" max="43"/>
    <col width="13.5546875" customWidth="1" style="147" min="44" max="44"/>
    <col width="12.6640625" customWidth="1" style="147" min="45" max="45"/>
    <col width="9.109375" customWidth="1" style="147" min="46" max="16384"/>
  </cols>
  <sheetData>
    <row r="1" ht="45.75" customHeight="1">
      <c r="A1" s="179" t="n"/>
      <c r="B1" s="144" t="inlineStr">
        <is>
          <t>2025 - Sales Details Meiktila (Meiktila Township)</t>
        </is>
      </c>
      <c r="C1" s="145" t="n"/>
      <c r="D1" s="145" t="n"/>
      <c r="E1" s="146" t="n"/>
    </row>
    <row r="2" ht="25.5" customHeight="1">
      <c r="B2" s="148" t="n"/>
      <c r="C2" s="149" t="n"/>
      <c r="D2" s="149" t="n"/>
    </row>
    <row r="3" ht="42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30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293" t="inlineStr">
        <is>
          <t>Liter</t>
        </is>
      </c>
      <c r="AS4" s="1293" t="inlineStr">
        <is>
          <t>Liter</t>
        </is>
      </c>
    </row>
    <row r="5" ht="20.1" customHeight="1">
      <c r="A5" s="173" t="n">
        <v>1</v>
      </c>
      <c r="B5" s="151" t="inlineStr">
        <is>
          <t>"Zay" - 640ml</t>
        </is>
      </c>
      <c r="C5" s="152" t="n">
        <v>0.64</v>
      </c>
      <c r="D5" s="152" t="inlineStr">
        <is>
          <t>1 * 14</t>
        </is>
      </c>
      <c r="E5" s="153" t="n">
        <v>2503</v>
      </c>
      <c r="F5" s="153" t="n">
        <v>35045</v>
      </c>
      <c r="G5" s="153" t="n">
        <v>22428.8</v>
      </c>
      <c r="H5" s="153" t="n">
        <v>2402</v>
      </c>
      <c r="I5" s="153" t="n">
        <v>33628</v>
      </c>
      <c r="J5" s="1294" t="n">
        <v>21521.92</v>
      </c>
      <c r="K5" s="153" t="n">
        <v>2256</v>
      </c>
      <c r="L5" s="1294" t="n">
        <v>31584</v>
      </c>
      <c r="M5" s="155">
        <f>L5*$C5</f>
        <v/>
      </c>
      <c r="N5" s="153" t="n">
        <v>2103</v>
      </c>
      <c r="O5" s="153" t="n">
        <v>29442</v>
      </c>
      <c r="P5" s="156">
        <f>O5*$C5</f>
        <v/>
      </c>
      <c r="Q5" s="153" t="n">
        <v>2253</v>
      </c>
      <c r="R5" s="153" t="n">
        <v>31546</v>
      </c>
      <c r="S5" s="156">
        <f>R5*$C5</f>
        <v/>
      </c>
      <c r="T5" s="153" t="n"/>
      <c r="U5" s="153" t="n"/>
      <c r="V5" s="153" t="n"/>
      <c r="W5" s="153" t="n"/>
      <c r="X5" s="153" t="n"/>
      <c r="Y5" s="153" t="n"/>
      <c r="Z5" s="153" t="n"/>
      <c r="AA5" s="153" t="n"/>
      <c r="AB5" s="153" t="n"/>
      <c r="AC5" s="153" t="n"/>
      <c r="AD5" s="153" t="n"/>
      <c r="AE5" s="153" t="n"/>
      <c r="AF5" s="153" t="n"/>
      <c r="AG5" s="153" t="n"/>
      <c r="AH5" s="153" t="n"/>
      <c r="AI5" s="153" t="n"/>
      <c r="AJ5" s="153" t="n"/>
      <c r="AK5" s="153" t="n"/>
      <c r="AL5" s="153" t="n"/>
      <c r="AM5" s="153" t="n"/>
      <c r="AN5" s="153" t="n"/>
      <c r="AO5" s="1295">
        <f>E5+H5+K5+N5+Q5</f>
        <v/>
      </c>
      <c r="AP5" s="1295">
        <f>F5+I5+L5+O5+R5</f>
        <v/>
      </c>
      <c r="AQ5" s="1295">
        <f>G5+J5+M5+P5+S5</f>
        <v/>
      </c>
      <c r="AR5" s="1296">
        <f>AQ5/5</f>
        <v/>
      </c>
      <c r="AS5" s="183">
        <f>AR5/$AR$29%</f>
        <v/>
      </c>
      <c r="AT5" s="147" t="n">
        <v>4</v>
      </c>
    </row>
    <row r="6" ht="20.1" customHeight="1">
      <c r="A6" s="173" t="n">
        <v>2</v>
      </c>
      <c r="B6" s="151" t="inlineStr">
        <is>
          <t>Kaung Kyi (1 Liter)_25%</t>
        </is>
      </c>
      <c r="C6" s="152" t="n">
        <v>1</v>
      </c>
      <c r="D6" s="152" t="inlineStr">
        <is>
          <t>1 * 12</t>
        </is>
      </c>
      <c r="E6" s="153" t="n">
        <v>1162</v>
      </c>
      <c r="F6" s="153" t="n">
        <v>13944</v>
      </c>
      <c r="G6" s="153" t="n">
        <v>13944</v>
      </c>
      <c r="H6" s="153" t="n">
        <v>555</v>
      </c>
      <c r="I6" s="153" t="n">
        <v>6660</v>
      </c>
      <c r="J6" s="1294" t="n">
        <v>6660</v>
      </c>
      <c r="K6" s="153" t="n">
        <v>825</v>
      </c>
      <c r="L6" s="1294" t="n">
        <v>9900</v>
      </c>
      <c r="M6" s="155">
        <f>L6*$C6</f>
        <v/>
      </c>
      <c r="N6" s="153" t="n">
        <v>980</v>
      </c>
      <c r="O6" s="153" t="n">
        <v>11760</v>
      </c>
      <c r="P6" s="156">
        <f>O6*$C6</f>
        <v/>
      </c>
      <c r="Q6" s="153" t="n">
        <v>1099</v>
      </c>
      <c r="R6" s="153" t="n">
        <v>13188</v>
      </c>
      <c r="S6" s="156">
        <f>R6*$C6</f>
        <v/>
      </c>
      <c r="T6" s="153" t="n"/>
      <c r="U6" s="153" t="n"/>
      <c r="V6" s="153" t="n"/>
      <c r="W6" s="153" t="n"/>
      <c r="X6" s="153" t="n"/>
      <c r="Y6" s="153" t="n"/>
      <c r="Z6" s="153" t="n"/>
      <c r="AA6" s="153" t="n"/>
      <c r="AB6" s="153" t="n"/>
      <c r="AC6" s="153" t="n"/>
      <c r="AD6" s="153" t="n"/>
      <c r="AE6" s="153" t="n"/>
      <c r="AF6" s="153" t="n"/>
      <c r="AG6" s="153" t="n"/>
      <c r="AH6" s="153" t="n"/>
      <c r="AI6" s="153" t="n"/>
      <c r="AJ6" s="153" t="n"/>
      <c r="AK6" s="153" t="n"/>
      <c r="AL6" s="153" t="n"/>
      <c r="AM6" s="153" t="n"/>
      <c r="AN6" s="153" t="n"/>
      <c r="AO6" s="1295">
        <f>E6+H6+K6+N6+Q6</f>
        <v/>
      </c>
      <c r="AP6" s="1295">
        <f>F6+I6+L6+O6+R6</f>
        <v/>
      </c>
      <c r="AQ6" s="1295">
        <f>G6+J6+M6+P6+S6</f>
        <v/>
      </c>
      <c r="AR6" s="1296">
        <f>AQ6/5</f>
        <v/>
      </c>
      <c r="AS6" s="183">
        <f>AR6/$AR$29%</f>
        <v/>
      </c>
      <c r="AT6" s="147" t="n">
        <v>5</v>
      </c>
    </row>
    <row r="7" ht="20.1" customHeight="1">
      <c r="A7" s="173" t="n">
        <v>3</v>
      </c>
      <c r="B7" s="151" t="inlineStr">
        <is>
          <t>Kaung Kyi (0.6 Liter)_25%</t>
        </is>
      </c>
      <c r="C7" s="152" t="n">
        <v>0.6</v>
      </c>
      <c r="D7" s="152" t="inlineStr">
        <is>
          <t>1 * 12</t>
        </is>
      </c>
      <c r="E7" s="153" t="n">
        <v>21</v>
      </c>
      <c r="F7" s="153" t="n">
        <v>252</v>
      </c>
      <c r="G7" s="153" t="n">
        <v>151.2</v>
      </c>
      <c r="H7" s="153" t="n">
        <v>35</v>
      </c>
      <c r="I7" s="153" t="n">
        <v>420</v>
      </c>
      <c r="J7" s="1294" t="n">
        <v>252</v>
      </c>
      <c r="K7" s="153" t="n">
        <v>20</v>
      </c>
      <c r="L7" s="1294" t="n">
        <v>240</v>
      </c>
      <c r="M7" s="155">
        <f>L7*$C7</f>
        <v/>
      </c>
      <c r="N7" s="153" t="n">
        <v>15</v>
      </c>
      <c r="O7" s="153" t="n">
        <v>180</v>
      </c>
      <c r="P7" s="156">
        <f>O7*$C7</f>
        <v/>
      </c>
      <c r="Q7" s="153" t="n">
        <v>40</v>
      </c>
      <c r="R7" s="153" t="n">
        <v>480</v>
      </c>
      <c r="S7" s="156">
        <f>R7*$C7</f>
        <v/>
      </c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153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295">
        <f>E7+H7+K7+N7+Q7</f>
        <v/>
      </c>
      <c r="AP7" s="1295">
        <f>F7+I7+L7+O7+R7</f>
        <v/>
      </c>
      <c r="AQ7" s="1295">
        <f>G7+J7+M7+P7+S7</f>
        <v/>
      </c>
      <c r="AR7" s="1296">
        <f>AQ7/5</f>
        <v/>
      </c>
      <c r="AS7" s="183">
        <f>AR7/$AR$29%</f>
        <v/>
      </c>
    </row>
    <row r="8" ht="20.1" customHeight="1">
      <c r="A8" s="173" t="n">
        <v>4</v>
      </c>
      <c r="B8" s="151" t="inlineStr">
        <is>
          <t xml:space="preserve">Kaung Kyi </t>
        </is>
      </c>
      <c r="C8" s="152" t="n">
        <v>0.64</v>
      </c>
      <c r="D8" s="152" t="inlineStr">
        <is>
          <t>1 * 14</t>
        </is>
      </c>
      <c r="E8" s="153" t="n">
        <v>3057</v>
      </c>
      <c r="F8" s="153" t="n">
        <v>42798</v>
      </c>
      <c r="G8" s="153" t="n">
        <v>27390.71999999999</v>
      </c>
      <c r="H8" s="153" t="n">
        <v>2022</v>
      </c>
      <c r="I8" s="153" t="n">
        <v>28308</v>
      </c>
      <c r="J8" s="1294" t="n">
        <v>18117.12</v>
      </c>
      <c r="K8" s="153" t="n">
        <v>2227</v>
      </c>
      <c r="L8" s="1294" t="n">
        <v>31178</v>
      </c>
      <c r="M8" s="155">
        <f>L8*$C8</f>
        <v/>
      </c>
      <c r="N8" s="153" t="n">
        <v>2562</v>
      </c>
      <c r="O8" s="153" t="n">
        <v>35868</v>
      </c>
      <c r="P8" s="156">
        <f>O8*$C8</f>
        <v/>
      </c>
      <c r="Q8" s="153" t="n">
        <v>2506</v>
      </c>
      <c r="R8" s="153" t="n">
        <v>35087</v>
      </c>
      <c r="S8" s="156">
        <f>R8*$C8</f>
        <v/>
      </c>
      <c r="T8" s="153" t="n"/>
      <c r="U8" s="153" t="n"/>
      <c r="V8" s="153" t="n"/>
      <c r="W8" s="153" t="n"/>
      <c r="X8" s="153" t="n"/>
      <c r="Y8" s="153" t="n"/>
      <c r="Z8" s="153" t="n"/>
      <c r="AA8" s="153" t="n"/>
      <c r="AB8" s="153" t="n"/>
      <c r="AC8" s="153" t="n"/>
      <c r="AD8" s="153" t="n"/>
      <c r="AE8" s="153" t="n"/>
      <c r="AF8" s="153" t="n"/>
      <c r="AG8" s="153" t="n"/>
      <c r="AH8" s="153" t="n"/>
      <c r="AI8" s="153" t="n"/>
      <c r="AJ8" s="153" t="n"/>
      <c r="AK8" s="153" t="n"/>
      <c r="AL8" s="153" t="n"/>
      <c r="AM8" s="153" t="n"/>
      <c r="AN8" s="153" t="n"/>
      <c r="AO8" s="1295">
        <f>E8+H8+K8+N8+Q8</f>
        <v/>
      </c>
      <c r="AP8" s="1295">
        <f>F8+I8+L8+O8+R8</f>
        <v/>
      </c>
      <c r="AQ8" s="1295">
        <f>G8+J8+M8+P8+S8</f>
        <v/>
      </c>
      <c r="AR8" s="1296">
        <f>AQ8/5</f>
        <v/>
      </c>
      <c r="AS8" s="183">
        <f>AR8/$AR$29%</f>
        <v/>
      </c>
      <c r="AT8" s="147" t="n">
        <v>3</v>
      </c>
    </row>
    <row r="9" ht="20.1" customHeight="1">
      <c r="A9" s="173" t="n">
        <v>5</v>
      </c>
      <c r="B9" s="151" t="inlineStr">
        <is>
          <t>မိုးနဲကွန်ကီကော်ဘူး(1 Liter)</t>
        </is>
      </c>
      <c r="C9" s="152" t="n">
        <v>1</v>
      </c>
      <c r="D9" s="152" t="inlineStr">
        <is>
          <t>1 * 12</t>
        </is>
      </c>
      <c r="E9" s="153" t="n"/>
      <c r="F9" s="153" t="n"/>
      <c r="G9" s="153" t="n"/>
      <c r="H9" s="153" t="n"/>
      <c r="I9" s="153" t="n"/>
      <c r="J9" s="1294">
        <f>I9*$C9</f>
        <v/>
      </c>
      <c r="K9" s="153" t="n"/>
      <c r="L9" s="1294" t="n"/>
      <c r="M9" s="155">
        <f>L9*$C9</f>
        <v/>
      </c>
      <c r="N9" s="153" t="n">
        <v>100</v>
      </c>
      <c r="O9" s="153" t="n">
        <v>1200</v>
      </c>
      <c r="P9" s="156">
        <f>O9*$C9</f>
        <v/>
      </c>
      <c r="Q9" s="153" t="n">
        <v>85</v>
      </c>
      <c r="R9" s="153" t="n">
        <v>1020</v>
      </c>
      <c r="S9" s="156">
        <f>R9*$C9</f>
        <v/>
      </c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153" t="n"/>
      <c r="AF9" s="153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295">
        <f>E9+H9+K9+N9+Q9</f>
        <v/>
      </c>
      <c r="AP9" s="1295">
        <f>F9+I9+L9+O9+R9</f>
        <v/>
      </c>
      <c r="AQ9" s="1295">
        <f>G9+J9+M9+P9+S9</f>
        <v/>
      </c>
      <c r="AR9" s="1296">
        <f>AQ9/5</f>
        <v/>
      </c>
      <c r="AS9" s="183">
        <f>AR9/$AR$29%</f>
        <v/>
      </c>
    </row>
    <row r="10" ht="20.1" customHeight="1">
      <c r="A10" s="173" t="n">
        <v>6</v>
      </c>
      <c r="B10" s="151" t="inlineStr">
        <is>
          <t xml:space="preserve">Moe Nae Kon Ki </t>
        </is>
      </c>
      <c r="C10" s="152" t="n">
        <v>0.64</v>
      </c>
      <c r="D10" s="152" t="inlineStr">
        <is>
          <t>1 * 14</t>
        </is>
      </c>
      <c r="E10" s="153" t="n">
        <v>1323</v>
      </c>
      <c r="F10" s="153" t="n">
        <v>18531</v>
      </c>
      <c r="G10" s="153" t="n">
        <v>11859.84</v>
      </c>
      <c r="H10" s="153" t="n">
        <v>895</v>
      </c>
      <c r="I10" s="153" t="n">
        <v>12530</v>
      </c>
      <c r="J10" s="1294" t="n">
        <v>8019.200000000003</v>
      </c>
      <c r="K10" s="153" t="n">
        <v>868</v>
      </c>
      <c r="L10" s="1294" t="n">
        <v>12161</v>
      </c>
      <c r="M10" s="155">
        <f>L10*$C10</f>
        <v/>
      </c>
      <c r="N10" s="153" t="n">
        <v>755</v>
      </c>
      <c r="O10" s="153" t="n">
        <v>10574</v>
      </c>
      <c r="P10" s="156">
        <f>O10*$C10</f>
        <v/>
      </c>
      <c r="Q10" s="153" t="n">
        <v>1330</v>
      </c>
      <c r="R10" s="153" t="n">
        <v>18631</v>
      </c>
      <c r="S10" s="156">
        <f>R10*$C10</f>
        <v/>
      </c>
      <c r="T10" s="153" t="n"/>
      <c r="U10" s="153" t="n"/>
      <c r="V10" s="153" t="n"/>
      <c r="W10" s="153" t="n"/>
      <c r="X10" s="153" t="n"/>
      <c r="Y10" s="153" t="n"/>
      <c r="Z10" s="153" t="n"/>
      <c r="AA10" s="153" t="n"/>
      <c r="AB10" s="153" t="n"/>
      <c r="AC10" s="153" t="n"/>
      <c r="AD10" s="153" t="n"/>
      <c r="AE10" s="153" t="n"/>
      <c r="AF10" s="153" t="n"/>
      <c r="AG10" s="153" t="n"/>
      <c r="AH10" s="153" t="n"/>
      <c r="AI10" s="153" t="n"/>
      <c r="AJ10" s="153" t="n"/>
      <c r="AK10" s="153" t="n"/>
      <c r="AL10" s="153" t="n"/>
      <c r="AM10" s="153" t="n"/>
      <c r="AN10" s="153" t="n"/>
      <c r="AO10" s="1295">
        <f>E10+H10+K10+N10+Q10</f>
        <v/>
      </c>
      <c r="AP10" s="1295">
        <f>F10+I10+L10+O10+R10</f>
        <v/>
      </c>
      <c r="AQ10" s="1295">
        <f>G10+J10+M10+P10+S10</f>
        <v/>
      </c>
      <c r="AR10" s="1296">
        <f>AQ10/5</f>
        <v/>
      </c>
      <c r="AS10" s="183">
        <f>AR10/$AR$29%</f>
        <v/>
      </c>
    </row>
    <row r="11" ht="20.1" customHeight="1">
      <c r="A11" s="173" t="n">
        <v>7</v>
      </c>
      <c r="B11" s="151" t="inlineStr">
        <is>
          <t>Zayawaddy Red(1 Liter)40%</t>
        </is>
      </c>
      <c r="C11" s="152" t="n">
        <v>1</v>
      </c>
      <c r="D11" s="152" t="inlineStr">
        <is>
          <t>1 * 12</t>
        </is>
      </c>
      <c r="E11" s="153" t="n"/>
      <c r="F11" s="153" t="n"/>
      <c r="G11" s="153" t="n"/>
      <c r="H11" s="153" t="n"/>
      <c r="I11" s="153" t="n"/>
      <c r="J11" s="1294">
        <f>I11*$C11</f>
        <v/>
      </c>
      <c r="K11" s="153" t="n"/>
      <c r="L11" s="1294" t="n"/>
      <c r="M11" s="155">
        <f>L11*$C11</f>
        <v/>
      </c>
      <c r="N11" s="153" t="n"/>
      <c r="O11" s="153" t="n"/>
      <c r="P11" s="156">
        <f>O11*$C11</f>
        <v/>
      </c>
      <c r="Q11" s="153" t="n">
        <v>70</v>
      </c>
      <c r="R11" s="153" t="n">
        <v>840</v>
      </c>
      <c r="S11" s="156">
        <f>R11*$C11</f>
        <v/>
      </c>
      <c r="T11" s="153" t="n"/>
      <c r="U11" s="153" t="n"/>
      <c r="V11" s="153" t="n"/>
      <c r="W11" s="153" t="n"/>
      <c r="X11" s="153" t="n"/>
      <c r="Y11" s="153" t="n"/>
      <c r="Z11" s="153" t="n"/>
      <c r="AA11" s="153" t="n"/>
      <c r="AB11" s="153" t="n"/>
      <c r="AC11" s="153" t="n"/>
      <c r="AD11" s="153" t="n"/>
      <c r="AE11" s="153" t="n"/>
      <c r="AF11" s="153" t="n"/>
      <c r="AG11" s="153" t="n"/>
      <c r="AH11" s="153" t="n"/>
      <c r="AI11" s="153" t="n"/>
      <c r="AJ11" s="153" t="n"/>
      <c r="AK11" s="153" t="n"/>
      <c r="AL11" s="153" t="n"/>
      <c r="AM11" s="153" t="n"/>
      <c r="AN11" s="153" t="n"/>
      <c r="AO11" s="1295">
        <f>E11+H11+K11+N11+Q11</f>
        <v/>
      </c>
      <c r="AP11" s="1295">
        <f>F11+I11+L11+O11+R11</f>
        <v/>
      </c>
      <c r="AQ11" s="1295">
        <f>G11+J11+M11+P11+S11</f>
        <v/>
      </c>
      <c r="AR11" s="1296">
        <f>AQ11/5</f>
        <v/>
      </c>
      <c r="AS11" s="183">
        <f>AR11/$AR$29%</f>
        <v/>
      </c>
    </row>
    <row r="12" ht="20.1" customHeight="1">
      <c r="A12" s="173" t="n">
        <v>8</v>
      </c>
      <c r="B12" s="151" t="inlineStr">
        <is>
          <t xml:space="preserve">Zayawaddy Red </t>
        </is>
      </c>
      <c r="C12" s="152" t="n">
        <v>0.7</v>
      </c>
      <c r="D12" s="152" t="inlineStr">
        <is>
          <t>1 * 12</t>
        </is>
      </c>
      <c r="E12" s="153" t="n">
        <v>65</v>
      </c>
      <c r="F12" s="153" t="n">
        <v>780</v>
      </c>
      <c r="G12" s="153" t="n">
        <v>546</v>
      </c>
      <c r="H12" s="153" t="n">
        <v>30</v>
      </c>
      <c r="I12" s="153" t="n">
        <v>360</v>
      </c>
      <c r="J12" s="1294" t="n">
        <v>252</v>
      </c>
      <c r="K12" s="153" t="n">
        <v>175</v>
      </c>
      <c r="L12" s="1294" t="n">
        <v>2100</v>
      </c>
      <c r="M12" s="155">
        <f>L12*$C12</f>
        <v/>
      </c>
      <c r="N12" s="153" t="n">
        <v>35</v>
      </c>
      <c r="O12" s="153" t="n">
        <v>420</v>
      </c>
      <c r="P12" s="156">
        <f>O12*$C12</f>
        <v/>
      </c>
      <c r="Q12" s="153" t="n">
        <v>65</v>
      </c>
      <c r="R12" s="153" t="n">
        <v>780</v>
      </c>
      <c r="S12" s="156">
        <f>R12*$C12</f>
        <v/>
      </c>
      <c r="T12" s="153" t="n"/>
      <c r="U12" s="153" t="n"/>
      <c r="V12" s="153" t="n"/>
      <c r="W12" s="153" t="n"/>
      <c r="X12" s="153" t="n"/>
      <c r="Y12" s="153" t="n"/>
      <c r="Z12" s="153" t="n"/>
      <c r="AA12" s="153" t="n"/>
      <c r="AB12" s="153" t="n"/>
      <c r="AC12" s="153" t="n"/>
      <c r="AD12" s="153" t="n"/>
      <c r="AE12" s="153" t="n"/>
      <c r="AF12" s="153" t="n"/>
      <c r="AG12" s="153" t="n"/>
      <c r="AH12" s="153" t="n"/>
      <c r="AI12" s="153" t="n"/>
      <c r="AJ12" s="153" t="n"/>
      <c r="AK12" s="153" t="n"/>
      <c r="AL12" s="153" t="n"/>
      <c r="AM12" s="153" t="n"/>
      <c r="AN12" s="153" t="n"/>
      <c r="AO12" s="1295">
        <f>E12+H12+K12+N12+Q12</f>
        <v/>
      </c>
      <c r="AP12" s="1295">
        <f>F12+I12+L12+O12+R12</f>
        <v/>
      </c>
      <c r="AQ12" s="1295">
        <f>G12+J12+M12+P12+S12</f>
        <v/>
      </c>
      <c r="AR12" s="1296">
        <f>AQ12/5</f>
        <v/>
      </c>
      <c r="AS12" s="183">
        <f>AR12/$AR$29%</f>
        <v/>
      </c>
    </row>
    <row r="13" ht="20.1" customHeight="1">
      <c r="A13" s="173" t="n">
        <v>9</v>
      </c>
      <c r="B13" s="151" t="inlineStr">
        <is>
          <t>Zeyawaddy Rum (43%)</t>
        </is>
      </c>
      <c r="C13" s="152" t="n">
        <v>0.68</v>
      </c>
      <c r="D13" s="152" t="inlineStr">
        <is>
          <t>1 * 12</t>
        </is>
      </c>
      <c r="E13" s="153" t="n">
        <v>1</v>
      </c>
      <c r="F13" s="153" t="n">
        <v>12</v>
      </c>
      <c r="G13" s="153" t="n">
        <v>8.16</v>
      </c>
      <c r="H13" s="153" t="n"/>
      <c r="I13" s="153" t="n"/>
      <c r="J13" s="1294">
        <f>I13*$C13</f>
        <v/>
      </c>
      <c r="K13" s="153" t="n"/>
      <c r="L13" s="1294" t="n"/>
      <c r="M13" s="155">
        <f>L13*$C13</f>
        <v/>
      </c>
      <c r="N13" s="153" t="n"/>
      <c r="O13" s="153" t="n"/>
      <c r="P13" s="156">
        <f>O13*$C13</f>
        <v/>
      </c>
      <c r="Q13" s="153" t="n"/>
      <c r="R13" s="153" t="n"/>
      <c r="S13" s="156">
        <f>R13*$C13</f>
        <v/>
      </c>
      <c r="T13" s="153" t="n"/>
      <c r="U13" s="153" t="n"/>
      <c r="V13" s="153" t="n"/>
      <c r="W13" s="153" t="n"/>
      <c r="X13" s="153" t="n"/>
      <c r="Y13" s="153" t="n"/>
      <c r="Z13" s="153" t="n"/>
      <c r="AA13" s="153" t="n"/>
      <c r="AB13" s="153" t="n"/>
      <c r="AC13" s="153" t="n"/>
      <c r="AD13" s="153" t="n"/>
      <c r="AE13" s="153" t="n"/>
      <c r="AF13" s="153" t="n"/>
      <c r="AG13" s="153" t="n"/>
      <c r="AH13" s="153" t="n"/>
      <c r="AI13" s="153" t="n"/>
      <c r="AJ13" s="153" t="n"/>
      <c r="AK13" s="153" t="n"/>
      <c r="AL13" s="153" t="n"/>
      <c r="AM13" s="153" t="n"/>
      <c r="AN13" s="153" t="n"/>
      <c r="AO13" s="1295">
        <f>E13+H13+K13+N13+Q13</f>
        <v/>
      </c>
      <c r="AP13" s="1295">
        <f>F13+I13+L13+O13+R13</f>
        <v/>
      </c>
      <c r="AQ13" s="1295">
        <f>G13+J13+M13+P13+S13</f>
        <v/>
      </c>
      <c r="AR13" s="1296">
        <f>AQ13/5</f>
        <v/>
      </c>
      <c r="AS13" s="183">
        <f>AR13/$AR$29%</f>
        <v/>
      </c>
    </row>
    <row r="14" ht="20.1" customHeight="1">
      <c r="A14" s="173" t="n">
        <v>10</v>
      </c>
      <c r="B14" s="151" t="inlineStr">
        <is>
          <t xml:space="preserve">Zayawaddy Red </t>
        </is>
      </c>
      <c r="C14" s="152" t="n">
        <v>0.64</v>
      </c>
      <c r="D14" s="152" t="inlineStr">
        <is>
          <t>1 * 14</t>
        </is>
      </c>
      <c r="E14" s="153" t="n">
        <v>1144</v>
      </c>
      <c r="F14" s="153" t="n">
        <v>16019</v>
      </c>
      <c r="G14" s="153" t="n">
        <v>10252.16</v>
      </c>
      <c r="H14" s="153" t="n">
        <v>1088</v>
      </c>
      <c r="I14" s="153" t="n">
        <v>15232</v>
      </c>
      <c r="J14" s="1294" t="n">
        <v>9748.480000000001</v>
      </c>
      <c r="K14" s="153" t="n">
        <v>1600</v>
      </c>
      <c r="L14" s="1294" t="n">
        <v>22400</v>
      </c>
      <c r="M14" s="155">
        <f>L14*$C14</f>
        <v/>
      </c>
      <c r="N14" s="153" t="n">
        <v>962</v>
      </c>
      <c r="O14" s="153" t="n">
        <v>13479</v>
      </c>
      <c r="P14" s="156">
        <f>O14*$C14</f>
        <v/>
      </c>
      <c r="Q14" s="153" t="n">
        <v>1155</v>
      </c>
      <c r="R14" s="153" t="n">
        <v>16170</v>
      </c>
      <c r="S14" s="156">
        <f>R14*$C14</f>
        <v/>
      </c>
      <c r="T14" s="153" t="n"/>
      <c r="U14" s="153" t="n"/>
      <c r="V14" s="153" t="n"/>
      <c r="W14" s="153" t="n"/>
      <c r="X14" s="153" t="n"/>
      <c r="Y14" s="153" t="n"/>
      <c r="Z14" s="153" t="n"/>
      <c r="AA14" s="153" t="n"/>
      <c r="AB14" s="153" t="n"/>
      <c r="AC14" s="153" t="n"/>
      <c r="AD14" s="153" t="n"/>
      <c r="AE14" s="153" t="n"/>
      <c r="AF14" s="153" t="n"/>
      <c r="AG14" s="153" t="n"/>
      <c r="AH14" s="153" t="n"/>
      <c r="AI14" s="153" t="n"/>
      <c r="AJ14" s="153" t="n"/>
      <c r="AK14" s="153" t="n"/>
      <c r="AL14" s="153" t="n"/>
      <c r="AM14" s="153" t="n"/>
      <c r="AN14" s="153" t="n"/>
      <c r="AO14" s="1295">
        <f>E14+H14+K14+N14+Q14</f>
        <v/>
      </c>
      <c r="AP14" s="1295">
        <f>F14+I14+L14+O14+R14</f>
        <v/>
      </c>
      <c r="AQ14" s="1295">
        <f>G14+J14+M14+P14+S14</f>
        <v/>
      </c>
      <c r="AR14" s="1296">
        <f>AQ14/5</f>
        <v/>
      </c>
      <c r="AS14" s="183">
        <f>AR14/$AR$29%</f>
        <v/>
      </c>
    </row>
    <row r="15" ht="20.1" customHeight="1">
      <c r="A15" s="173" t="n">
        <v>11</v>
      </c>
      <c r="B15" s="151" t="inlineStr">
        <is>
          <t>မြန်မာရှောက်ပျား</t>
        </is>
      </c>
      <c r="C15" s="152" t="n">
        <v>0.64</v>
      </c>
      <c r="D15" s="152" t="inlineStr">
        <is>
          <t>1 * 14</t>
        </is>
      </c>
      <c r="E15" s="153" t="n">
        <v>4170</v>
      </c>
      <c r="F15" s="153" t="n">
        <v>58380</v>
      </c>
      <c r="G15" s="153" t="n">
        <v>37363.20000000001</v>
      </c>
      <c r="H15" s="153" t="n">
        <v>3175</v>
      </c>
      <c r="I15" s="153" t="n">
        <v>44450</v>
      </c>
      <c r="J15" s="1294" t="n">
        <v>28448.00000000001</v>
      </c>
      <c r="K15" s="153" t="n">
        <v>3527</v>
      </c>
      <c r="L15" s="1294" t="n">
        <v>49381</v>
      </c>
      <c r="M15" s="155">
        <f>L15*$C15</f>
        <v/>
      </c>
      <c r="N15" s="153" t="n">
        <v>3317</v>
      </c>
      <c r="O15" s="153" t="n">
        <v>46440</v>
      </c>
      <c r="P15" s="156">
        <f>O15*$C15</f>
        <v/>
      </c>
      <c r="Q15" s="153" t="n">
        <v>3600</v>
      </c>
      <c r="R15" s="153" t="n">
        <v>50412</v>
      </c>
      <c r="S15" s="156">
        <f>R15*$C15</f>
        <v/>
      </c>
      <c r="T15" s="153" t="n"/>
      <c r="U15" s="153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  <c r="AD15" s="153" t="n"/>
      <c r="AE15" s="153" t="n"/>
      <c r="AF15" s="153" t="n"/>
      <c r="AG15" s="153" t="n"/>
      <c r="AH15" s="153" t="n"/>
      <c r="AI15" s="153" t="n"/>
      <c r="AJ15" s="153" t="n"/>
      <c r="AK15" s="153" t="n"/>
      <c r="AL15" s="153" t="n"/>
      <c r="AM15" s="153" t="n"/>
      <c r="AN15" s="153" t="n"/>
      <c r="AO15" s="1295">
        <f>E15+H15+K15+N15+Q15</f>
        <v/>
      </c>
      <c r="AP15" s="1295">
        <f>F15+I15+L15+O15+R15</f>
        <v/>
      </c>
      <c r="AQ15" s="1295">
        <f>G15+J15+M15+P15+S15</f>
        <v/>
      </c>
      <c r="AR15" s="1296">
        <f>AQ15/5</f>
        <v/>
      </c>
      <c r="AS15" s="183">
        <f>AR15/$AR$29%</f>
        <v/>
      </c>
      <c r="AT15" s="147" t="n">
        <v>2</v>
      </c>
    </row>
    <row r="16" ht="20.1" customHeight="1">
      <c r="A16" s="173" t="n">
        <v>12</v>
      </c>
      <c r="B16" s="151" t="inlineStr">
        <is>
          <t>သံပုရာအရက်</t>
        </is>
      </c>
      <c r="C16" s="152" t="n">
        <v>0.64</v>
      </c>
      <c r="D16" s="152" t="inlineStr">
        <is>
          <t>1 * 14</t>
        </is>
      </c>
      <c r="E16" s="153" t="n">
        <v>1422</v>
      </c>
      <c r="F16" s="153" t="n">
        <v>19911</v>
      </c>
      <c r="G16" s="153" t="n">
        <v>12743.04000000001</v>
      </c>
      <c r="H16" s="153" t="n">
        <v>1060</v>
      </c>
      <c r="I16" s="153" t="n">
        <v>14840</v>
      </c>
      <c r="J16" s="1294" t="n">
        <v>9497.600000000004</v>
      </c>
      <c r="K16" s="153" t="n">
        <v>1190</v>
      </c>
      <c r="L16" s="1294" t="n">
        <v>16663</v>
      </c>
      <c r="M16" s="155">
        <f>L16*$C16</f>
        <v/>
      </c>
      <c r="N16" s="153" t="n">
        <v>1076</v>
      </c>
      <c r="O16" s="153" t="n">
        <v>15064</v>
      </c>
      <c r="P16" s="156">
        <f>O16*$C16</f>
        <v/>
      </c>
      <c r="Q16" s="153" t="n">
        <v>1121</v>
      </c>
      <c r="R16" s="153" t="n">
        <v>15694</v>
      </c>
      <c r="S16" s="156">
        <f>R16*$C16</f>
        <v/>
      </c>
      <c r="T16" s="153" t="n"/>
      <c r="U16" s="153" t="n"/>
      <c r="V16" s="153" t="n"/>
      <c r="W16" s="153" t="n"/>
      <c r="X16" s="153" t="n"/>
      <c r="Y16" s="153" t="n"/>
      <c r="Z16" s="153" t="n"/>
      <c r="AA16" s="153" t="n"/>
      <c r="AB16" s="153" t="n"/>
      <c r="AC16" s="153" t="n"/>
      <c r="AD16" s="153" t="n"/>
      <c r="AE16" s="153" t="n"/>
      <c r="AF16" s="153" t="n"/>
      <c r="AG16" s="153" t="n"/>
      <c r="AH16" s="153" t="n"/>
      <c r="AI16" s="153" t="n"/>
      <c r="AJ16" s="153" t="n"/>
      <c r="AK16" s="153" t="n"/>
      <c r="AL16" s="153" t="n"/>
      <c r="AM16" s="153" t="n"/>
      <c r="AN16" s="153" t="n"/>
      <c r="AO16" s="1295">
        <f>E16+H16+K16+N16+Q16</f>
        <v/>
      </c>
      <c r="AP16" s="1295">
        <f>F16+I16+L16+O16+R16</f>
        <v/>
      </c>
      <c r="AQ16" s="1295">
        <f>G16+J16+M16+P16+S16</f>
        <v/>
      </c>
      <c r="AR16" s="1296">
        <f>AQ16/5</f>
        <v/>
      </c>
      <c r="AS16" s="183">
        <f>AR16/$AR$29%</f>
        <v/>
      </c>
    </row>
    <row r="17" ht="20.1" customHeight="1">
      <c r="A17" s="173" t="n">
        <v>13</v>
      </c>
      <c r="B17" s="151" t="inlineStr">
        <is>
          <t xml:space="preserve">Dagon Pineapple </t>
        </is>
      </c>
      <c r="C17" s="152" t="n">
        <v>0.64</v>
      </c>
      <c r="D17" s="152" t="inlineStr">
        <is>
          <t>1 * 24</t>
        </is>
      </c>
      <c r="E17" s="153" t="n">
        <v>28</v>
      </c>
      <c r="F17" s="153" t="n">
        <v>672</v>
      </c>
      <c r="G17" s="153" t="n">
        <v>430.08</v>
      </c>
      <c r="H17" s="153" t="n">
        <v>35</v>
      </c>
      <c r="I17" s="153" t="n">
        <v>840</v>
      </c>
      <c r="J17" s="1294" t="n">
        <v>537.6</v>
      </c>
      <c r="K17" s="153" t="n">
        <v>30</v>
      </c>
      <c r="L17" s="1294" t="n">
        <v>720</v>
      </c>
      <c r="M17" s="155">
        <f>L17*$C17</f>
        <v/>
      </c>
      <c r="N17" s="153" t="n">
        <v>65</v>
      </c>
      <c r="O17" s="153" t="n">
        <v>1560</v>
      </c>
      <c r="P17" s="156">
        <f>O17*$C17</f>
        <v/>
      </c>
      <c r="Q17" s="153" t="n">
        <v>35</v>
      </c>
      <c r="R17" s="153" t="n">
        <v>840</v>
      </c>
      <c r="S17" s="156">
        <f>R17*$C17</f>
        <v/>
      </c>
      <c r="T17" s="153" t="n"/>
      <c r="U17" s="153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  <c r="AD17" s="153" t="n"/>
      <c r="AE17" s="153" t="n"/>
      <c r="AF17" s="153" t="n"/>
      <c r="AG17" s="153" t="n"/>
      <c r="AH17" s="153" t="n"/>
      <c r="AI17" s="153" t="n"/>
      <c r="AJ17" s="153" t="n"/>
      <c r="AK17" s="153" t="n"/>
      <c r="AL17" s="153" t="n"/>
      <c r="AM17" s="153" t="n"/>
      <c r="AN17" s="153" t="n"/>
      <c r="AO17" s="1295">
        <f>E17+H17+K17+N17+Q17</f>
        <v/>
      </c>
      <c r="AP17" s="1295">
        <f>F17+I17+L17+O17+R17</f>
        <v/>
      </c>
      <c r="AQ17" s="1295">
        <f>G17+J17+M17+P17+S17</f>
        <v/>
      </c>
      <c r="AR17" s="1296">
        <f>AQ17/5</f>
        <v/>
      </c>
      <c r="AS17" s="183">
        <f>AR17/$AR$29%</f>
        <v/>
      </c>
    </row>
    <row r="18" ht="20.1" customHeight="1">
      <c r="A18" s="173" t="n">
        <v>14</v>
      </c>
      <c r="B18" s="151" t="inlineStr">
        <is>
          <t>ချယ်ရီကော်ဘူး(0.6 Liter)</t>
        </is>
      </c>
      <c r="C18" s="152" t="n">
        <v>0.6</v>
      </c>
      <c r="D18" s="152" t="inlineStr">
        <is>
          <t>1 * 24</t>
        </is>
      </c>
      <c r="E18" s="153" t="n">
        <v>32</v>
      </c>
      <c r="F18" s="153" t="n">
        <v>768</v>
      </c>
      <c r="G18" s="153" t="n">
        <v>460.8</v>
      </c>
      <c r="H18" s="153" t="n">
        <v>29</v>
      </c>
      <c r="I18" s="153" t="n">
        <v>696</v>
      </c>
      <c r="J18" s="1294" t="n">
        <v>417.6</v>
      </c>
      <c r="K18" s="153" t="n">
        <v>53</v>
      </c>
      <c r="L18" s="1294" t="n">
        <v>1272</v>
      </c>
      <c r="M18" s="155">
        <f>L18*$C18</f>
        <v/>
      </c>
      <c r="N18" s="153" t="n">
        <v>25</v>
      </c>
      <c r="O18" s="153" t="n">
        <v>600</v>
      </c>
      <c r="P18" s="156">
        <f>O18*$C18</f>
        <v/>
      </c>
      <c r="Q18" s="153" t="n">
        <v>28</v>
      </c>
      <c r="R18" s="153" t="n">
        <v>672</v>
      </c>
      <c r="S18" s="156">
        <f>R18*$C18</f>
        <v/>
      </c>
      <c r="T18" s="153" t="n"/>
      <c r="U18" s="153" t="n"/>
      <c r="V18" s="153" t="n"/>
      <c r="W18" s="153" t="n"/>
      <c r="X18" s="153" t="n"/>
      <c r="Y18" s="153" t="n"/>
      <c r="Z18" s="153" t="n"/>
      <c r="AA18" s="153" t="n"/>
      <c r="AB18" s="153" t="n"/>
      <c r="AC18" s="153" t="n"/>
      <c r="AD18" s="153" t="n"/>
      <c r="AE18" s="153" t="n"/>
      <c r="AF18" s="153" t="n"/>
      <c r="AG18" s="153" t="n"/>
      <c r="AH18" s="153" t="n"/>
      <c r="AI18" s="153" t="n"/>
      <c r="AJ18" s="153" t="n"/>
      <c r="AK18" s="153" t="n"/>
      <c r="AL18" s="153" t="n"/>
      <c r="AM18" s="153" t="n"/>
      <c r="AN18" s="153" t="n"/>
      <c r="AO18" s="1295">
        <f>E18+H18+K18+N18+Q18</f>
        <v/>
      </c>
      <c r="AP18" s="1295">
        <f>F18+I18+L18+O18+R18</f>
        <v/>
      </c>
      <c r="AQ18" s="1295">
        <f>G18+J18+M18+P18+S18</f>
        <v/>
      </c>
      <c r="AR18" s="1296">
        <f>AQ18/5</f>
        <v/>
      </c>
      <c r="AS18" s="183">
        <f>AR18/$AR$29%</f>
        <v/>
      </c>
    </row>
    <row r="19" ht="20.1" customHeight="1">
      <c r="A19" s="173" t="n">
        <v>15</v>
      </c>
      <c r="B19" s="151" t="inlineStr">
        <is>
          <t>ချယ်ရီသံပုရာ (1 Liter )</t>
        </is>
      </c>
      <c r="C19" s="152" t="n">
        <v>1</v>
      </c>
      <c r="D19" s="152" t="inlineStr">
        <is>
          <t>1 * 24</t>
        </is>
      </c>
      <c r="E19" s="153" t="n"/>
      <c r="F19" s="153" t="n"/>
      <c r="G19" s="153" t="n"/>
      <c r="H19" s="153" t="n"/>
      <c r="I19" s="153" t="n"/>
      <c r="J19" s="1294">
        <f>I19*$C19</f>
        <v/>
      </c>
      <c r="K19" s="153" t="n"/>
      <c r="L19" s="1294" t="n"/>
      <c r="M19" s="155">
        <f>L19*$C19</f>
        <v/>
      </c>
      <c r="N19" s="153" t="n">
        <v>2</v>
      </c>
      <c r="O19" s="153" t="n">
        <v>24</v>
      </c>
      <c r="P19" s="156">
        <f>O19*$C19</f>
        <v/>
      </c>
      <c r="Q19" s="153" t="n">
        <v>2</v>
      </c>
      <c r="R19" s="153" t="n">
        <v>24</v>
      </c>
      <c r="S19" s="156">
        <f>R19*$C19</f>
        <v/>
      </c>
      <c r="T19" s="153" t="n"/>
      <c r="U19" s="153" t="n"/>
      <c r="V19" s="153" t="n"/>
      <c r="W19" s="153" t="n"/>
      <c r="X19" s="153" t="n"/>
      <c r="Y19" s="153" t="n"/>
      <c r="Z19" s="153" t="n"/>
      <c r="AA19" s="153" t="n"/>
      <c r="AB19" s="153" t="n"/>
      <c r="AC19" s="153" t="n"/>
      <c r="AD19" s="153" t="n"/>
      <c r="AE19" s="153" t="n"/>
      <c r="AF19" s="153" t="n"/>
      <c r="AG19" s="153" t="n"/>
      <c r="AH19" s="153" t="n"/>
      <c r="AI19" s="153" t="n"/>
      <c r="AJ19" s="153" t="n"/>
      <c r="AK19" s="153" t="n"/>
      <c r="AL19" s="153" t="n"/>
      <c r="AM19" s="153" t="n"/>
      <c r="AN19" s="153" t="n"/>
      <c r="AO19" s="1295">
        <f>E19+H19+K19+N19+Q19</f>
        <v/>
      </c>
      <c r="AP19" s="1295">
        <f>F19+I19+L19+O19+R19</f>
        <v/>
      </c>
      <c r="AQ19" s="1295">
        <f>G19+J19+M19+P19+S19</f>
        <v/>
      </c>
      <c r="AR19" s="1296">
        <f>AQ19/5</f>
        <v/>
      </c>
      <c r="AS19" s="183">
        <f>AR19/$AR$29%</f>
        <v/>
      </c>
    </row>
    <row r="20" ht="20.1" customHeight="1">
      <c r="A20" s="173" t="n">
        <v>16</v>
      </c>
      <c r="B20" s="151" t="inlineStr">
        <is>
          <t>ချယ်ရီသံပုရာ (1 Liter )</t>
        </is>
      </c>
      <c r="C20" s="152" t="n">
        <v>1</v>
      </c>
      <c r="D20" s="152" t="inlineStr">
        <is>
          <t>1 * 12</t>
        </is>
      </c>
      <c r="E20" s="153" t="n">
        <v>27</v>
      </c>
      <c r="F20" s="153" t="n">
        <v>324</v>
      </c>
      <c r="G20" s="153" t="n">
        <v>324</v>
      </c>
      <c r="H20" s="153" t="n">
        <v>2</v>
      </c>
      <c r="I20" s="153" t="n">
        <v>24</v>
      </c>
      <c r="J20" s="1294" t="n">
        <v>24</v>
      </c>
      <c r="K20" s="153" t="n"/>
      <c r="L20" s="1294" t="n"/>
      <c r="M20" s="155">
        <f>L20*$C20</f>
        <v/>
      </c>
      <c r="N20" s="153" t="n"/>
      <c r="O20" s="153" t="n"/>
      <c r="P20" s="156">
        <f>O20*$C20</f>
        <v/>
      </c>
      <c r="Q20" s="153" t="n"/>
      <c r="R20" s="153" t="n"/>
      <c r="S20" s="156">
        <f>R20*$C20</f>
        <v/>
      </c>
      <c r="T20" s="153" t="n"/>
      <c r="U20" s="153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  <c r="AD20" s="153" t="n"/>
      <c r="AE20" s="153" t="n"/>
      <c r="AF20" s="153" t="n"/>
      <c r="AG20" s="153" t="n"/>
      <c r="AH20" s="153" t="n"/>
      <c r="AI20" s="153" t="n"/>
      <c r="AJ20" s="153" t="n"/>
      <c r="AK20" s="153" t="n"/>
      <c r="AL20" s="153" t="n"/>
      <c r="AM20" s="153" t="n"/>
      <c r="AN20" s="153" t="n"/>
      <c r="AO20" s="1295">
        <f>E20+H20+K20+N20+Q20</f>
        <v/>
      </c>
      <c r="AP20" s="1295">
        <f>F20+I20+L20+O20+R20</f>
        <v/>
      </c>
      <c r="AQ20" s="1295">
        <f>G20+J20+M20+P20+S20</f>
        <v/>
      </c>
      <c r="AR20" s="1296">
        <f>AQ20/5</f>
        <v/>
      </c>
      <c r="AS20" s="183">
        <f>AR20/$AR$29%</f>
        <v/>
      </c>
    </row>
    <row r="21" ht="20.1" customHeight="1">
      <c r="A21" s="173" t="n">
        <v>17</v>
      </c>
      <c r="B21" s="151" t="inlineStr">
        <is>
          <t>ရွှေမင်းသားခေါင်ရည်</t>
        </is>
      </c>
      <c r="C21" s="152" t="n">
        <v>0.64</v>
      </c>
      <c r="D21" s="152" t="inlineStr">
        <is>
          <t>1*24</t>
        </is>
      </c>
      <c r="E21" s="153" t="n">
        <v>23</v>
      </c>
      <c r="F21" s="153" t="n">
        <v>552</v>
      </c>
      <c r="G21" s="153" t="n">
        <v>353.28</v>
      </c>
      <c r="H21" s="153" t="n">
        <v>80</v>
      </c>
      <c r="I21" s="153" t="n">
        <v>1920</v>
      </c>
      <c r="J21" s="1294" t="n">
        <v>1228.8</v>
      </c>
      <c r="K21" s="153" t="n">
        <v>65</v>
      </c>
      <c r="L21" s="1294" t="n">
        <v>1560</v>
      </c>
      <c r="M21" s="155">
        <f>L21*$C21</f>
        <v/>
      </c>
      <c r="N21" s="153" t="n">
        <v>72</v>
      </c>
      <c r="O21" s="153" t="n">
        <v>1728</v>
      </c>
      <c r="P21" s="156">
        <f>O21*$C21</f>
        <v/>
      </c>
      <c r="Q21" s="153" t="n">
        <v>147</v>
      </c>
      <c r="R21" s="153" t="n">
        <v>3528</v>
      </c>
      <c r="S21" s="156">
        <f>R21*$C21</f>
        <v/>
      </c>
      <c r="T21" s="153" t="n"/>
      <c r="U21" s="153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  <c r="AD21" s="153" t="n"/>
      <c r="AE21" s="153" t="n"/>
      <c r="AF21" s="153" t="n"/>
      <c r="AG21" s="153" t="n"/>
      <c r="AH21" s="153" t="n"/>
      <c r="AI21" s="153" t="n"/>
      <c r="AJ21" s="153" t="n"/>
      <c r="AK21" s="153" t="n"/>
      <c r="AL21" s="153" t="n"/>
      <c r="AM21" s="153" t="n"/>
      <c r="AN21" s="153" t="n"/>
      <c r="AO21" s="1295">
        <f>E21+H21+K21+N21+Q21</f>
        <v/>
      </c>
      <c r="AP21" s="1295">
        <f>F21+I21+L21+O21+R21</f>
        <v/>
      </c>
      <c r="AQ21" s="1295">
        <f>G21+J21+M21+P21+S21</f>
        <v/>
      </c>
      <c r="AR21" s="1296">
        <f>AQ21/5</f>
        <v/>
      </c>
      <c r="AS21" s="183">
        <f>AR21/$AR$29%</f>
        <v/>
      </c>
    </row>
    <row r="22" ht="20.1" customHeight="1">
      <c r="A22" s="173" t="n">
        <v>18</v>
      </c>
      <c r="B22" s="151" t="inlineStr">
        <is>
          <t>ရွှေမင်းသားမန်ကျည်းခေါင်ရည်</t>
        </is>
      </c>
      <c r="C22" s="152" t="n">
        <v>0.64</v>
      </c>
      <c r="D22" s="152" t="inlineStr">
        <is>
          <t>1 * 14</t>
        </is>
      </c>
      <c r="E22" s="153" t="n"/>
      <c r="F22" s="153" t="n"/>
      <c r="G22" s="153" t="n"/>
      <c r="H22" s="153" t="n"/>
      <c r="I22" s="153" t="n"/>
      <c r="J22" s="1294" t="n"/>
      <c r="K22" s="153" t="n"/>
      <c r="L22" s="1294" t="n"/>
      <c r="M22" s="155">
        <f>L22*$C22</f>
        <v/>
      </c>
      <c r="N22" s="153" t="n">
        <v>3</v>
      </c>
      <c r="O22" s="153" t="n">
        <v>42</v>
      </c>
      <c r="P22" s="156">
        <f>O22*$C22</f>
        <v/>
      </c>
      <c r="Q22" s="153" t="n">
        <v>63</v>
      </c>
      <c r="R22" s="153" t="n">
        <v>882</v>
      </c>
      <c r="S22" s="156">
        <f>R22*$C22</f>
        <v/>
      </c>
      <c r="T22" s="153" t="n"/>
      <c r="U22" s="153" t="n"/>
      <c r="V22" s="153" t="n"/>
      <c r="W22" s="153" t="n"/>
      <c r="X22" s="153" t="n"/>
      <c r="Y22" s="153" t="n"/>
      <c r="Z22" s="153" t="n"/>
      <c r="AA22" s="153" t="n"/>
      <c r="AB22" s="153" t="n"/>
      <c r="AC22" s="153" t="n"/>
      <c r="AD22" s="153" t="n"/>
      <c r="AE22" s="153" t="n"/>
      <c r="AF22" s="153" t="n"/>
      <c r="AG22" s="153" t="n"/>
      <c r="AH22" s="153" t="n"/>
      <c r="AI22" s="153" t="n"/>
      <c r="AJ22" s="153" t="n"/>
      <c r="AK22" s="153" t="n"/>
      <c r="AL22" s="153" t="n"/>
      <c r="AM22" s="153" t="n"/>
      <c r="AN22" s="153" t="n"/>
      <c r="AO22" s="1295">
        <f>E22+H22+K22+N22+Q22</f>
        <v/>
      </c>
      <c r="AP22" s="1295">
        <f>F22+I22+L22+O22+R22</f>
        <v/>
      </c>
      <c r="AQ22" s="1295">
        <f>G22+J22+M22+P22+S22</f>
        <v/>
      </c>
      <c r="AR22" s="1296">
        <f>AQ22/5</f>
        <v/>
      </c>
      <c r="AS22" s="183">
        <f>AR22/$AR$29%</f>
        <v/>
      </c>
    </row>
    <row r="23" ht="20.1" customHeight="1">
      <c r="A23" s="173" t="n">
        <v>19</v>
      </c>
      <c r="B23" s="151" t="inlineStr">
        <is>
          <t>Formula Rum 700ml</t>
        </is>
      </c>
      <c r="C23" s="152" t="n">
        <v>0.7</v>
      </c>
      <c r="D23" s="152" t="inlineStr">
        <is>
          <t>1 * 12</t>
        </is>
      </c>
      <c r="E23" s="153" t="n">
        <v>2</v>
      </c>
      <c r="F23" s="153" t="n">
        <v>25</v>
      </c>
      <c r="G23" s="153" t="n">
        <v>17.5</v>
      </c>
      <c r="H23" s="153" t="n">
        <v>5</v>
      </c>
      <c r="I23" s="153" t="n">
        <v>81</v>
      </c>
      <c r="J23" s="1294" t="n">
        <v>56.7</v>
      </c>
      <c r="K23" s="153" t="n">
        <v>2</v>
      </c>
      <c r="L23" s="1294" t="n">
        <v>42</v>
      </c>
      <c r="M23" s="155">
        <f>L23*$C23</f>
        <v/>
      </c>
      <c r="N23" s="153" t="n">
        <v>4</v>
      </c>
      <c r="O23" s="153" t="n">
        <v>48</v>
      </c>
      <c r="P23" s="156">
        <f>O23*$C23</f>
        <v/>
      </c>
      <c r="Q23" s="153" t="n"/>
      <c r="R23" s="153" t="n">
        <v>6</v>
      </c>
      <c r="S23" s="156">
        <f>R23*$C23</f>
        <v/>
      </c>
      <c r="T23" s="153" t="n"/>
      <c r="U23" s="153" t="n"/>
      <c r="V23" s="153" t="n"/>
      <c r="W23" s="153" t="n"/>
      <c r="X23" s="153" t="n"/>
      <c r="Y23" s="153" t="n"/>
      <c r="Z23" s="153" t="n"/>
      <c r="AA23" s="153" t="n"/>
      <c r="AB23" s="153" t="n"/>
      <c r="AC23" s="153" t="n"/>
      <c r="AD23" s="153" t="n"/>
      <c r="AE23" s="153" t="n"/>
      <c r="AF23" s="153" t="n"/>
      <c r="AG23" s="153" t="n"/>
      <c r="AH23" s="153" t="n"/>
      <c r="AI23" s="153" t="n"/>
      <c r="AJ23" s="153" t="n"/>
      <c r="AK23" s="153" t="n"/>
      <c r="AL23" s="153" t="n"/>
      <c r="AM23" s="153" t="n"/>
      <c r="AN23" s="153" t="n"/>
      <c r="AO23" s="1295">
        <f>E23+H23+K23+N23+Q23</f>
        <v/>
      </c>
      <c r="AP23" s="1295">
        <f>F23+I23+L23+O23+R23</f>
        <v/>
      </c>
      <c r="AQ23" s="1295">
        <f>G23+J23+M23+P23+S23</f>
        <v/>
      </c>
      <c r="AR23" s="1296">
        <f>AQ23/5</f>
        <v/>
      </c>
      <c r="AS23" s="183">
        <f>AR23/$AR$29%</f>
        <v/>
      </c>
    </row>
    <row r="24" ht="20.1" customHeight="1">
      <c r="A24" s="173" t="n">
        <v>20</v>
      </c>
      <c r="B24" s="151" t="inlineStr">
        <is>
          <t>Formula Rum 350ml</t>
        </is>
      </c>
      <c r="C24" s="152" t="n">
        <v>0.35</v>
      </c>
      <c r="D24" s="152" t="inlineStr">
        <is>
          <t>1 * 24</t>
        </is>
      </c>
      <c r="E24" s="153" t="n">
        <v>0</v>
      </c>
      <c r="F24" s="153" t="n">
        <v>2</v>
      </c>
      <c r="G24" s="153" t="n">
        <v>0.7</v>
      </c>
      <c r="H24" s="153" t="n">
        <v>2</v>
      </c>
      <c r="I24" s="153" t="n">
        <v>90</v>
      </c>
      <c r="J24" s="1294" t="n">
        <v>31.49999999999999</v>
      </c>
      <c r="K24" s="153" t="n">
        <v>6</v>
      </c>
      <c r="L24" s="1294" t="n">
        <v>240</v>
      </c>
      <c r="M24" s="155">
        <f>L24*$C24</f>
        <v/>
      </c>
      <c r="N24" s="153" t="n">
        <v>17</v>
      </c>
      <c r="O24" s="153" t="n">
        <v>421</v>
      </c>
      <c r="P24" s="156">
        <f>O24*$C24</f>
        <v/>
      </c>
      <c r="Q24" s="153" t="n">
        <v>2</v>
      </c>
      <c r="R24" s="153" t="n">
        <v>53</v>
      </c>
      <c r="S24" s="156">
        <f>R24*$C24</f>
        <v/>
      </c>
      <c r="T24" s="153" t="n"/>
      <c r="U24" s="153" t="n"/>
      <c r="V24" s="153" t="n"/>
      <c r="W24" s="153" t="n"/>
      <c r="X24" s="153" t="n"/>
      <c r="Y24" s="153" t="n"/>
      <c r="Z24" s="153" t="n"/>
      <c r="AA24" s="153" t="n"/>
      <c r="AB24" s="153" t="n"/>
      <c r="AC24" s="153" t="n"/>
      <c r="AD24" s="153" t="n"/>
      <c r="AE24" s="153" t="n"/>
      <c r="AF24" s="153" t="n"/>
      <c r="AG24" s="153" t="n"/>
      <c r="AH24" s="153" t="n"/>
      <c r="AI24" s="153" t="n"/>
      <c r="AJ24" s="153" t="n"/>
      <c r="AK24" s="153" t="n"/>
      <c r="AL24" s="153" t="n"/>
      <c r="AM24" s="153" t="n"/>
      <c r="AN24" s="153" t="n"/>
      <c r="AO24" s="1295">
        <f>E24+H24+K24+N24+Q24</f>
        <v/>
      </c>
      <c r="AP24" s="1295">
        <f>F24+I24+L24+O24+R24</f>
        <v/>
      </c>
      <c r="AQ24" s="1295">
        <f>G24+J24+M24+P24+S24</f>
        <v/>
      </c>
      <c r="AR24" s="1296">
        <f>AQ24/5</f>
        <v/>
      </c>
      <c r="AS24" s="183">
        <f>AR24/$AR$29%</f>
        <v/>
      </c>
    </row>
    <row r="25" ht="20.1" customHeight="1">
      <c r="A25" s="173" t="n">
        <v>21</v>
      </c>
      <c r="B25" s="151" t="inlineStr">
        <is>
          <t xml:space="preserve">White Orange </t>
        </is>
      </c>
      <c r="C25" s="152" t="n">
        <v>0.64</v>
      </c>
      <c r="D25" s="152" t="inlineStr">
        <is>
          <t>1 * 24</t>
        </is>
      </c>
      <c r="E25" s="153" t="n">
        <v>6002</v>
      </c>
      <c r="F25" s="153" t="n">
        <v>144048</v>
      </c>
      <c r="G25" s="153" t="n">
        <v>92190.71999999999</v>
      </c>
      <c r="H25" s="153" t="n">
        <v>5035</v>
      </c>
      <c r="I25" s="153" t="n">
        <v>120840</v>
      </c>
      <c r="J25" s="1294" t="n">
        <v>77337.59999999996</v>
      </c>
      <c r="K25" s="153" t="n">
        <v>6002</v>
      </c>
      <c r="L25" s="1294" t="n">
        <v>144058</v>
      </c>
      <c r="M25" s="155">
        <f>L25*$C25</f>
        <v/>
      </c>
      <c r="N25" s="153" t="n">
        <v>4965</v>
      </c>
      <c r="O25" s="153" t="n">
        <v>119160</v>
      </c>
      <c r="P25" s="156">
        <f>O25*$C25</f>
        <v/>
      </c>
      <c r="Q25" s="153" t="n">
        <v>5139</v>
      </c>
      <c r="R25" s="153" t="n">
        <v>123336</v>
      </c>
      <c r="S25" s="156">
        <f>R25*$C25</f>
        <v/>
      </c>
      <c r="T25" s="153" t="n"/>
      <c r="U25" s="153" t="n"/>
      <c r="V25" s="153" t="n"/>
      <c r="W25" s="153" t="n"/>
      <c r="X25" s="153" t="n"/>
      <c r="Y25" s="153" t="n"/>
      <c r="Z25" s="153" t="n"/>
      <c r="AA25" s="153" t="n"/>
      <c r="AB25" s="153" t="n"/>
      <c r="AC25" s="153" t="n"/>
      <c r="AD25" s="153" t="n"/>
      <c r="AE25" s="153" t="n"/>
      <c r="AF25" s="153" t="n"/>
      <c r="AG25" s="153" t="n"/>
      <c r="AH25" s="153" t="n"/>
      <c r="AI25" s="153" t="n"/>
      <c r="AJ25" s="153" t="n"/>
      <c r="AK25" s="153" t="n"/>
      <c r="AL25" s="153" t="n"/>
      <c r="AM25" s="153" t="n"/>
      <c r="AN25" s="153" t="n"/>
      <c r="AO25" s="1295">
        <f>E25+H25+K25+N25+Q25</f>
        <v/>
      </c>
      <c r="AP25" s="1295">
        <f>F25+I25+L25+O25+R25</f>
        <v/>
      </c>
      <c r="AQ25" s="1295">
        <f>G25+J25+M25+P25+S25</f>
        <v/>
      </c>
      <c r="AR25" s="1296">
        <f>AQ25/5</f>
        <v/>
      </c>
      <c r="AS25" s="183">
        <f>AR25/$AR$29%</f>
        <v/>
      </c>
      <c r="AT25" s="147" t="n">
        <v>1</v>
      </c>
    </row>
    <row r="26" ht="20.1" customHeight="1">
      <c r="A26" s="173" t="n">
        <v>22</v>
      </c>
      <c r="B26" s="151" t="inlineStr">
        <is>
          <t xml:space="preserve">Dagon </t>
        </is>
      </c>
      <c r="C26" s="152" t="n">
        <v>0.64</v>
      </c>
      <c r="D26" s="152" t="inlineStr">
        <is>
          <t>1 * 14</t>
        </is>
      </c>
      <c r="E26" s="153" t="n">
        <v>439</v>
      </c>
      <c r="F26" s="153" t="n">
        <v>6146</v>
      </c>
      <c r="G26" s="153" t="n">
        <v>3933.44</v>
      </c>
      <c r="H26" s="153" t="n">
        <v>450</v>
      </c>
      <c r="I26" s="153" t="n">
        <v>6300</v>
      </c>
      <c r="J26" s="1294" t="n">
        <v>4032</v>
      </c>
      <c r="K26" s="153" t="n">
        <v>438</v>
      </c>
      <c r="L26" s="1294" t="n">
        <v>6132</v>
      </c>
      <c r="M26" s="155">
        <f>L26*$C26</f>
        <v/>
      </c>
      <c r="N26" s="153" t="n">
        <v>502</v>
      </c>
      <c r="O26" s="153" t="n">
        <v>7028</v>
      </c>
      <c r="P26" s="156">
        <f>O26*$C26</f>
        <v/>
      </c>
      <c r="Q26" s="153" t="n">
        <v>458</v>
      </c>
      <c r="R26" s="153" t="n">
        <v>6412</v>
      </c>
      <c r="S26" s="156">
        <f>R26*$C26</f>
        <v/>
      </c>
      <c r="T26" s="153" t="n"/>
      <c r="U26" s="153" t="n"/>
      <c r="V26" s="153" t="n"/>
      <c r="W26" s="153" t="n"/>
      <c r="X26" s="153" t="n"/>
      <c r="Y26" s="153" t="n"/>
      <c r="Z26" s="153" t="n"/>
      <c r="AA26" s="153" t="n"/>
      <c r="AB26" s="153" t="n"/>
      <c r="AC26" s="153" t="n"/>
      <c r="AD26" s="153" t="n"/>
      <c r="AE26" s="153" t="n"/>
      <c r="AF26" s="153" t="n"/>
      <c r="AG26" s="153" t="n"/>
      <c r="AH26" s="153" t="n"/>
      <c r="AI26" s="153" t="n"/>
      <c r="AJ26" s="153" t="n"/>
      <c r="AK26" s="153" t="n"/>
      <c r="AL26" s="153" t="n"/>
      <c r="AM26" s="153" t="n"/>
      <c r="AN26" s="153" t="n"/>
      <c r="AO26" s="1295">
        <f>E26+H26+K26+N26+Q26</f>
        <v/>
      </c>
      <c r="AP26" s="1295">
        <f>F26+I26+L26+O26+R26</f>
        <v/>
      </c>
      <c r="AQ26" s="1295">
        <f>G26+J26+M26+P26+S26</f>
        <v/>
      </c>
      <c r="AR26" s="1296">
        <f>AQ26/5</f>
        <v/>
      </c>
      <c r="AS26" s="183">
        <f>AR26/$AR$29%</f>
        <v/>
      </c>
    </row>
    <row r="27" ht="20.1" customHeight="1">
      <c r="A27" s="173" t="n">
        <v>23</v>
      </c>
      <c r="B27" s="151" t="inlineStr">
        <is>
          <t>Black - Cat</t>
        </is>
      </c>
      <c r="C27" s="152" t="n">
        <v>0.64</v>
      </c>
      <c r="D27" s="152" t="inlineStr">
        <is>
          <t>1 * 24</t>
        </is>
      </c>
      <c r="E27" s="153" t="n">
        <v>243</v>
      </c>
      <c r="F27" s="153" t="n">
        <v>5832</v>
      </c>
      <c r="G27" s="157" t="n">
        <v>3732.48</v>
      </c>
      <c r="H27" s="153" t="n">
        <v>226</v>
      </c>
      <c r="I27" s="153" t="n">
        <v>5424</v>
      </c>
      <c r="J27" s="1294" t="n">
        <v>3471.360000000001</v>
      </c>
      <c r="K27" s="153" t="n">
        <v>373</v>
      </c>
      <c r="L27" s="1294" t="n">
        <v>8952</v>
      </c>
      <c r="M27" s="155">
        <f>L27*$C27</f>
        <v/>
      </c>
      <c r="N27" s="153" t="n">
        <v>161</v>
      </c>
      <c r="O27" s="153" t="n">
        <v>3864</v>
      </c>
      <c r="P27" s="156">
        <f>O27*$C27</f>
        <v/>
      </c>
      <c r="Q27" s="153" t="n">
        <v>293</v>
      </c>
      <c r="R27" s="153" t="n">
        <v>7032</v>
      </c>
      <c r="S27" s="156">
        <f>R27*$C27</f>
        <v/>
      </c>
      <c r="T27" s="153" t="n"/>
      <c r="U27" s="153" t="n"/>
      <c r="V27" s="153" t="n"/>
      <c r="W27" s="153" t="n"/>
      <c r="X27" s="153" t="n"/>
      <c r="Y27" s="153" t="n"/>
      <c r="Z27" s="153" t="n"/>
      <c r="AA27" s="153" t="n"/>
      <c r="AB27" s="153" t="n"/>
      <c r="AC27" s="153" t="n"/>
      <c r="AD27" s="153" t="n"/>
      <c r="AE27" s="153" t="n"/>
      <c r="AF27" s="153" t="n"/>
      <c r="AG27" s="153" t="n"/>
      <c r="AH27" s="153" t="n"/>
      <c r="AI27" s="153" t="n"/>
      <c r="AJ27" s="153" t="n"/>
      <c r="AK27" s="153" t="n"/>
      <c r="AL27" s="153" t="n"/>
      <c r="AM27" s="153" t="n"/>
      <c r="AN27" s="153" t="n"/>
      <c r="AO27" s="1295">
        <f>E27+H27+K27+N27+Q27</f>
        <v/>
      </c>
      <c r="AP27" s="1295">
        <f>F27+I27+L27+O27+R27</f>
        <v/>
      </c>
      <c r="AQ27" s="1295">
        <f>G27+J27+M27+P27+S27</f>
        <v/>
      </c>
      <c r="AR27" s="1296">
        <f>AQ27/5</f>
        <v/>
      </c>
      <c r="AS27" s="183">
        <f>AR27/$AR$29%</f>
        <v/>
      </c>
    </row>
    <row r="28" ht="20.1" customHeight="1">
      <c r="A28" s="173" t="n">
        <v>24</v>
      </c>
      <c r="B28" s="151" t="inlineStr">
        <is>
          <t>ကင်းမြီးကောက်</t>
        </is>
      </c>
      <c r="C28" s="152" t="n">
        <v>0.64</v>
      </c>
      <c r="D28" s="152" t="inlineStr">
        <is>
          <t>1 * 14</t>
        </is>
      </c>
      <c r="E28" s="153" t="n">
        <v>220</v>
      </c>
      <c r="F28" s="153" t="n">
        <v>3080</v>
      </c>
      <c r="G28" s="153" t="n">
        <v>1971.2</v>
      </c>
      <c r="H28" s="153" t="n">
        <v>235</v>
      </c>
      <c r="I28" s="153" t="n">
        <v>3290</v>
      </c>
      <c r="J28" s="1294" t="n">
        <v>2105.599999999999</v>
      </c>
      <c r="K28" s="153" t="n">
        <v>160</v>
      </c>
      <c r="L28" s="1294" t="n">
        <v>2240</v>
      </c>
      <c r="M28" s="155">
        <f>L28*$C28</f>
        <v/>
      </c>
      <c r="N28" s="153" t="n">
        <v>195</v>
      </c>
      <c r="O28" s="153" t="n">
        <v>2730</v>
      </c>
      <c r="P28" s="156">
        <f>O28*$C28</f>
        <v/>
      </c>
      <c r="Q28" s="153" t="n">
        <v>155</v>
      </c>
      <c r="R28" s="153" t="n">
        <v>2170</v>
      </c>
      <c r="S28" s="156">
        <f>R28*$C28</f>
        <v/>
      </c>
      <c r="T28" s="153" t="n"/>
      <c r="U28" s="153" t="n"/>
      <c r="V28" s="153" t="n"/>
      <c r="W28" s="153" t="n"/>
      <c r="X28" s="153" t="n"/>
      <c r="Y28" s="153" t="n"/>
      <c r="Z28" s="153" t="n"/>
      <c r="AA28" s="153" t="n"/>
      <c r="AB28" s="153" t="n"/>
      <c r="AC28" s="153" t="n"/>
      <c r="AD28" s="153" t="n"/>
      <c r="AE28" s="153" t="n"/>
      <c r="AF28" s="153" t="n"/>
      <c r="AG28" s="153" t="n"/>
      <c r="AH28" s="153" t="n"/>
      <c r="AI28" s="153" t="n"/>
      <c r="AJ28" s="153" t="n"/>
      <c r="AK28" s="153" t="n"/>
      <c r="AL28" s="153" t="n"/>
      <c r="AM28" s="153" t="n"/>
      <c r="AN28" s="153" t="n"/>
      <c r="AO28" s="1295">
        <f>E28+H28+K28+N28+Q28</f>
        <v/>
      </c>
      <c r="AP28" s="1295">
        <f>F28+I28+L28+O28+R28</f>
        <v/>
      </c>
      <c r="AQ28" s="1295">
        <f>G28+J28+M28+P28+S28</f>
        <v/>
      </c>
      <c r="AR28" s="1296">
        <f>AQ28/5</f>
        <v/>
      </c>
      <c r="AS28" s="183">
        <f>AR28/$AR$29%</f>
        <v/>
      </c>
    </row>
    <row r="29" ht="20.1" customHeight="1">
      <c r="A29" s="173" t="n"/>
      <c r="B29" s="151" t="inlineStr">
        <is>
          <t>Total</t>
        </is>
      </c>
      <c r="C29" s="152" t="n"/>
      <c r="D29" s="152" t="n"/>
      <c r="E29" s="1297">
        <f>SUM(E5:E28)</f>
        <v/>
      </c>
      <c r="F29" s="1297">
        <f>SUM(F5:F28)</f>
        <v/>
      </c>
      <c r="G29" s="1297">
        <f>SUM(G5:G28)</f>
        <v/>
      </c>
      <c r="H29" s="1297">
        <f>SUM(H5:H28)</f>
        <v/>
      </c>
      <c r="I29" s="1297">
        <f>SUM(I5:I28)</f>
        <v/>
      </c>
      <c r="J29" s="1297">
        <f>SUM(J5:J28)</f>
        <v/>
      </c>
      <c r="K29" s="1297">
        <f>SUM(K5:K28)</f>
        <v/>
      </c>
      <c r="L29" s="1297">
        <f>SUM(L5:L28)</f>
        <v/>
      </c>
      <c r="M29" s="1297">
        <f>SUM(M5:M28)</f>
        <v/>
      </c>
      <c r="N29" s="1297">
        <f>SUM(N5:N28)</f>
        <v/>
      </c>
      <c r="O29" s="1297">
        <f>SUM(O5:O28)</f>
        <v/>
      </c>
      <c r="P29" s="1297">
        <f>SUM(P5:P28)</f>
        <v/>
      </c>
      <c r="Q29" s="1297">
        <f>SUM(Q5:Q28)</f>
        <v/>
      </c>
      <c r="R29" s="1297">
        <f>SUM(R5:R28)</f>
        <v/>
      </c>
      <c r="S29" s="1297">
        <f>SUM(S5:S28)</f>
        <v/>
      </c>
      <c r="T29" s="1297">
        <f>SUM(T5:T28)</f>
        <v/>
      </c>
      <c r="U29" s="1297">
        <f>SUM(U5:U28)</f>
        <v/>
      </c>
      <c r="V29" s="1297">
        <f>SUM(V5:V28)</f>
        <v/>
      </c>
      <c r="W29" s="1297">
        <f>SUM(W5:W28)</f>
        <v/>
      </c>
      <c r="X29" s="1297">
        <f>SUM(X5:X28)</f>
        <v/>
      </c>
      <c r="Y29" s="1297">
        <f>SUM(Y5:Y28)</f>
        <v/>
      </c>
      <c r="Z29" s="1297">
        <f>SUM(Z5:Z28)</f>
        <v/>
      </c>
      <c r="AA29" s="1297">
        <f>SUM(AA5:AA28)</f>
        <v/>
      </c>
      <c r="AB29" s="1297">
        <f>SUM(AB5:AB28)</f>
        <v/>
      </c>
      <c r="AC29" s="1297">
        <f>SUM(AC5:AC28)</f>
        <v/>
      </c>
      <c r="AD29" s="1297">
        <f>SUM(AD5:AD28)</f>
        <v/>
      </c>
      <c r="AE29" s="1297">
        <f>SUM(AE5:AE28)</f>
        <v/>
      </c>
      <c r="AF29" s="1297">
        <f>SUM(AF5:AF28)</f>
        <v/>
      </c>
      <c r="AG29" s="1297">
        <f>SUM(AG5:AG28)</f>
        <v/>
      </c>
      <c r="AH29" s="1297">
        <f>SUM(AH5:AH28)</f>
        <v/>
      </c>
      <c r="AI29" s="1297">
        <f>SUM(AI5:AI28)</f>
        <v/>
      </c>
      <c r="AJ29" s="1297">
        <f>SUM(AJ5:AJ28)</f>
        <v/>
      </c>
      <c r="AK29" s="1297">
        <f>SUM(AK5:AK28)</f>
        <v/>
      </c>
      <c r="AL29" s="1297">
        <f>SUM(AL5:AL28)</f>
        <v/>
      </c>
      <c r="AM29" s="1297">
        <f>SUM(AM5:AM28)</f>
        <v/>
      </c>
      <c r="AN29" s="1297">
        <f>SUM(AN5:AN28)</f>
        <v/>
      </c>
      <c r="AO29" s="1295">
        <f>E29+H29+K29+N29+Q29</f>
        <v/>
      </c>
      <c r="AP29" s="1295">
        <f>F29+I29+L29+O29+R29</f>
        <v/>
      </c>
      <c r="AQ29" s="1295">
        <f>G29+J29+M29+P29+S29</f>
        <v/>
      </c>
      <c r="AR29" s="1296">
        <f>AQ29/5</f>
        <v/>
      </c>
      <c r="AS29" s="183">
        <f>AR29/$AR$29%</f>
        <v/>
      </c>
    </row>
    <row r="30">
      <c r="A30" s="184" t="inlineStr">
        <is>
          <t>Average Secondary</t>
        </is>
      </c>
      <c r="B30" s="151" t="n"/>
      <c r="C30" s="151" t="n"/>
      <c r="D30" s="151" t="n"/>
      <c r="E30" s="151" t="n"/>
      <c r="F30" s="151" t="n"/>
      <c r="G30" s="1298" t="n">
        <v>213397.724</v>
      </c>
      <c r="H30" s="151" t="n"/>
      <c r="I30" s="151" t="n"/>
      <c r="J30" s="1298" t="n">
        <v>213397.724</v>
      </c>
      <c r="K30" s="151" t="n"/>
      <c r="L30" s="151" t="n"/>
      <c r="M30" s="1298" t="n">
        <v>213397.724</v>
      </c>
      <c r="N30" s="151" t="n"/>
      <c r="O30" s="151" t="n"/>
      <c r="P30" s="1298" t="n">
        <v>213397.724</v>
      </c>
      <c r="Q30" s="151" t="n"/>
      <c r="R30" s="151" t="n"/>
      <c r="S30" s="1298" t="n">
        <v>213397.724</v>
      </c>
    </row>
    <row r="31">
      <c r="A31" s="184" t="inlineStr">
        <is>
          <t>Growth ( Plus/ Minus)</t>
        </is>
      </c>
      <c r="B31" s="151" t="n"/>
      <c r="C31" s="151" t="n"/>
      <c r="D31" s="151" t="n"/>
      <c r="E31" s="151" t="n"/>
      <c r="F31" s="151" t="n"/>
      <c r="G31" s="1299">
        <f>G29-G30</f>
        <v/>
      </c>
      <c r="H31" s="151" t="n"/>
      <c r="I31" s="151" t="n"/>
      <c r="J31" s="1299">
        <f>J29-J30</f>
        <v/>
      </c>
      <c r="K31" s="151" t="n"/>
      <c r="L31" s="151" t="n"/>
      <c r="M31" s="1299">
        <f>M29-M30</f>
        <v/>
      </c>
      <c r="N31" s="151" t="n"/>
      <c r="O31" s="151" t="n"/>
      <c r="P31" s="1299">
        <f>P29-P30</f>
        <v/>
      </c>
      <c r="Q31" s="151" t="n"/>
      <c r="R31" s="151" t="n"/>
      <c r="S31" s="1299">
        <f>S29-S30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>
  <sheetPr>
    <tabColor rgb="FFFF0000"/>
    <outlinePr summaryBelow="1" summaryRight="1"/>
    <pageSetUpPr/>
  </sheetPr>
  <dimension ref="A1:AT21"/>
  <sheetViews>
    <sheetView workbookViewId="0">
      <pane xSplit="4" ySplit="4" topLeftCell="E5" activePane="bottomRight" state="frozen"/>
      <selection activeCell="AR6" sqref="AR6"/>
      <selection pane="topRight" activeCell="AR6" sqref="AR6"/>
      <selection pane="bottomLeft" activeCell="AR6" sqref="AR6"/>
      <selection pane="bottomRight" activeCell="C11" sqref="C11"/>
    </sheetView>
  </sheetViews>
  <sheetFormatPr baseColWidth="8" defaultColWidth="9.109375" defaultRowHeight="13.8"/>
  <cols>
    <col width="4.33203125" customWidth="1" style="190" min="1" max="1"/>
    <col width="28" customWidth="1" style="162" min="2" max="2"/>
    <col width="7.5546875" customWidth="1" style="162" min="3" max="3"/>
    <col width="12.44140625" customWidth="1" style="162" min="4" max="4"/>
    <col width="9.33203125" customWidth="1" style="162" min="5" max="5"/>
    <col width="10.5546875" customWidth="1" style="162" min="6" max="6"/>
    <col width="9.5546875" customWidth="1" style="162" min="7" max="7"/>
    <col width="9.33203125" bestFit="1" customWidth="1" style="162" min="8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42.75" customHeight="1">
      <c r="A1" s="189" t="n"/>
      <c r="B1" s="160" t="inlineStr">
        <is>
          <t>2025 - Sales Details Meiktila (TharZi Township)</t>
        </is>
      </c>
      <c r="C1" s="161" t="n"/>
      <c r="D1" s="159" t="n"/>
    </row>
    <row r="2" ht="24" customHeight="1"/>
    <row r="3" ht="42.7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32.25" customHeight="1">
      <c r="A4" s="973" t="n"/>
      <c r="B4" s="973" t="n"/>
      <c r="C4" s="973" t="n"/>
      <c r="D4" s="973" t="n"/>
      <c r="E4" s="191" t="inlineStr">
        <is>
          <t>PK</t>
        </is>
      </c>
      <c r="F4" s="191" t="inlineStr">
        <is>
          <t>Bottle</t>
        </is>
      </c>
      <c r="G4" s="191" t="inlineStr">
        <is>
          <t>Liter</t>
        </is>
      </c>
      <c r="H4" s="191" t="inlineStr">
        <is>
          <t>PK</t>
        </is>
      </c>
      <c r="I4" s="191" t="inlineStr">
        <is>
          <t>Bottle</t>
        </is>
      </c>
      <c r="J4" s="191" t="inlineStr">
        <is>
          <t>Liter</t>
        </is>
      </c>
      <c r="K4" s="191" t="inlineStr">
        <is>
          <t>PK</t>
        </is>
      </c>
      <c r="L4" s="191" t="inlineStr">
        <is>
          <t>Bottle</t>
        </is>
      </c>
      <c r="M4" s="191" t="inlineStr">
        <is>
          <t>Liter</t>
        </is>
      </c>
      <c r="N4" s="191" t="inlineStr">
        <is>
          <t>PK</t>
        </is>
      </c>
      <c r="O4" s="191" t="inlineStr">
        <is>
          <t>Bottle</t>
        </is>
      </c>
      <c r="P4" s="191" t="inlineStr">
        <is>
          <t>Liter</t>
        </is>
      </c>
      <c r="Q4" s="191" t="inlineStr">
        <is>
          <t>PK</t>
        </is>
      </c>
      <c r="R4" s="191" t="inlineStr">
        <is>
          <t>Bottle</t>
        </is>
      </c>
      <c r="S4" s="191" t="inlineStr">
        <is>
          <t>Liter</t>
        </is>
      </c>
      <c r="T4" s="191" t="inlineStr">
        <is>
          <t>PK</t>
        </is>
      </c>
      <c r="U4" s="191" t="inlineStr">
        <is>
          <t>Bottle</t>
        </is>
      </c>
      <c r="V4" s="191" t="inlineStr">
        <is>
          <t>Liter</t>
        </is>
      </c>
      <c r="W4" s="191" t="inlineStr">
        <is>
          <t>PK</t>
        </is>
      </c>
      <c r="X4" s="191" t="inlineStr">
        <is>
          <t>Bottle</t>
        </is>
      </c>
      <c r="Y4" s="191" t="inlineStr">
        <is>
          <t>Liter</t>
        </is>
      </c>
      <c r="Z4" s="191" t="inlineStr">
        <is>
          <t>PK</t>
        </is>
      </c>
      <c r="AA4" s="191" t="inlineStr">
        <is>
          <t>Bottle</t>
        </is>
      </c>
      <c r="AB4" s="191" t="inlineStr">
        <is>
          <t>Liter</t>
        </is>
      </c>
      <c r="AC4" s="191" t="inlineStr">
        <is>
          <t>PK</t>
        </is>
      </c>
      <c r="AD4" s="191" t="inlineStr">
        <is>
          <t>Bottle</t>
        </is>
      </c>
      <c r="AE4" s="191" t="inlineStr">
        <is>
          <t>Liter</t>
        </is>
      </c>
      <c r="AF4" s="191" t="inlineStr">
        <is>
          <t>PK</t>
        </is>
      </c>
      <c r="AG4" s="191" t="inlineStr">
        <is>
          <t>Bottle</t>
        </is>
      </c>
      <c r="AH4" s="191" t="inlineStr">
        <is>
          <t>Liter</t>
        </is>
      </c>
      <c r="AI4" s="191" t="inlineStr">
        <is>
          <t>PK</t>
        </is>
      </c>
      <c r="AJ4" s="191" t="inlineStr">
        <is>
          <t>Bottle</t>
        </is>
      </c>
      <c r="AK4" s="191" t="inlineStr">
        <is>
          <t>Liter</t>
        </is>
      </c>
      <c r="AL4" s="191" t="inlineStr">
        <is>
          <t>PK</t>
        </is>
      </c>
      <c r="AM4" s="191" t="inlineStr">
        <is>
          <t>Bottle</t>
        </is>
      </c>
      <c r="AN4" s="191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1" customHeight="1">
      <c r="A5" s="152" t="n">
        <v>1</v>
      </c>
      <c r="B5" s="151" t="inlineStr">
        <is>
          <t>"Zay" - 640ml</t>
        </is>
      </c>
      <c r="C5" s="152" t="n">
        <v>0.64</v>
      </c>
      <c r="D5" s="152" t="inlineStr">
        <is>
          <t>1 * 14</t>
        </is>
      </c>
      <c r="E5" s="153" t="n">
        <v>60</v>
      </c>
      <c r="F5" s="153" t="n">
        <v>840</v>
      </c>
      <c r="G5" s="153" t="n">
        <v>537.6</v>
      </c>
      <c r="H5" s="153" t="n">
        <v>50</v>
      </c>
      <c r="I5" s="153" t="n">
        <v>700</v>
      </c>
      <c r="J5" s="1294" t="n">
        <v>448.0000000000001</v>
      </c>
      <c r="K5" s="153" t="n">
        <v>70</v>
      </c>
      <c r="L5" s="153" t="n">
        <v>980</v>
      </c>
      <c r="M5" s="156">
        <f>L5*$C5</f>
        <v/>
      </c>
      <c r="N5" s="153" t="n">
        <v>45</v>
      </c>
      <c r="O5" s="153" t="n">
        <v>630</v>
      </c>
      <c r="P5" s="156">
        <f>O5*$C5</f>
        <v/>
      </c>
      <c r="Q5" s="153" t="n">
        <v>53</v>
      </c>
      <c r="R5" s="153" t="n">
        <v>742</v>
      </c>
      <c r="S5" s="156">
        <f>R5*$C5</f>
        <v/>
      </c>
      <c r="T5" s="153" t="n"/>
      <c r="U5" s="153" t="n"/>
      <c r="V5" s="153" t="n"/>
      <c r="W5" s="153" t="n"/>
      <c r="X5" s="153" t="n"/>
      <c r="Y5" s="153" t="n"/>
      <c r="Z5" s="153" t="n"/>
      <c r="AA5" s="153" t="n"/>
      <c r="AB5" s="153" t="n"/>
      <c r="AC5" s="153" t="n"/>
      <c r="AD5" s="153" t="n"/>
      <c r="AE5" s="153" t="n"/>
      <c r="AF5" s="153" t="n"/>
      <c r="AG5" s="153" t="n"/>
      <c r="AH5" s="153" t="n"/>
      <c r="AI5" s="153" t="n"/>
      <c r="AJ5" s="153" t="n"/>
      <c r="AK5" s="153" t="n"/>
      <c r="AL5" s="153" t="n"/>
      <c r="AM5" s="153" t="n"/>
      <c r="AN5" s="153" t="n"/>
      <c r="AO5" s="1301">
        <f>E5+H5+K5+N5+Q5</f>
        <v/>
      </c>
      <c r="AP5" s="1301">
        <f>F5+I5+L5+O5+R5</f>
        <v/>
      </c>
      <c r="AQ5" s="1301">
        <f>G5+J5+M5+P5+S5</f>
        <v/>
      </c>
      <c r="AR5" s="1301">
        <f>AQ5/5</f>
        <v/>
      </c>
      <c r="AS5" s="194">
        <f>AR5/$AR$21%</f>
        <v/>
      </c>
    </row>
    <row r="6" ht="20.1" customHeight="1">
      <c r="A6" s="152" t="n">
        <v>2</v>
      </c>
      <c r="B6" s="151" t="inlineStr">
        <is>
          <t>Kaung Kyi (1 Liter)_25%</t>
        </is>
      </c>
      <c r="C6" s="152" t="n">
        <v>1</v>
      </c>
      <c r="D6" s="152" t="inlineStr">
        <is>
          <t>1 * 12</t>
        </is>
      </c>
      <c r="E6" s="153" t="n">
        <v>119</v>
      </c>
      <c r="F6" s="153" t="n">
        <v>1428</v>
      </c>
      <c r="G6" s="153" t="n">
        <v>1428</v>
      </c>
      <c r="H6" s="153" t="n">
        <v>72</v>
      </c>
      <c r="I6" s="153" t="n">
        <v>864</v>
      </c>
      <c r="J6" s="1294" t="n">
        <v>864</v>
      </c>
      <c r="K6" s="153" t="n">
        <v>90</v>
      </c>
      <c r="L6" s="153" t="n">
        <v>1080</v>
      </c>
      <c r="M6" s="156">
        <f>L6*$C6</f>
        <v/>
      </c>
      <c r="N6" s="153" t="n">
        <v>72</v>
      </c>
      <c r="O6" s="153" t="n">
        <v>864</v>
      </c>
      <c r="P6" s="156">
        <f>O6*$C6</f>
        <v/>
      </c>
      <c r="Q6" s="153" t="n">
        <v>25</v>
      </c>
      <c r="R6" s="153" t="n">
        <v>300</v>
      </c>
      <c r="S6" s="156">
        <f>R6*$C6</f>
        <v/>
      </c>
      <c r="T6" s="153" t="n"/>
      <c r="U6" s="153" t="n"/>
      <c r="V6" s="153" t="n"/>
      <c r="W6" s="153" t="n"/>
      <c r="X6" s="153" t="n"/>
      <c r="Y6" s="153" t="n"/>
      <c r="Z6" s="153" t="n"/>
      <c r="AA6" s="153" t="n"/>
      <c r="AB6" s="153" t="n"/>
      <c r="AC6" s="153" t="n"/>
      <c r="AD6" s="153" t="n"/>
      <c r="AE6" s="153" t="n"/>
      <c r="AF6" s="153" t="n"/>
      <c r="AG6" s="153" t="n"/>
      <c r="AH6" s="153" t="n"/>
      <c r="AI6" s="153" t="n"/>
      <c r="AJ6" s="153" t="n"/>
      <c r="AK6" s="153" t="n"/>
      <c r="AL6" s="153" t="n"/>
      <c r="AM6" s="153" t="n"/>
      <c r="AN6" s="153" t="n"/>
      <c r="AO6" s="1301">
        <f>E6+H6+K6+N6+Q6</f>
        <v/>
      </c>
      <c r="AP6" s="1301">
        <f>F6+I6+L6+O6+R6</f>
        <v/>
      </c>
      <c r="AQ6" s="1301">
        <f>G6+J6+M6+P6+S6</f>
        <v/>
      </c>
      <c r="AR6" s="1301">
        <f>AQ6/5</f>
        <v/>
      </c>
      <c r="AS6" s="194">
        <f>AR6/$AR$21%</f>
        <v/>
      </c>
    </row>
    <row r="7" ht="20.1" customHeight="1">
      <c r="A7" s="152" t="n">
        <v>3</v>
      </c>
      <c r="B7" s="151" t="inlineStr">
        <is>
          <t xml:space="preserve">Kaung Kyi </t>
        </is>
      </c>
      <c r="C7" s="152" t="n">
        <v>0.64</v>
      </c>
      <c r="D7" s="152" t="inlineStr">
        <is>
          <t>1 * 14</t>
        </is>
      </c>
      <c r="E7" s="153" t="n">
        <v>54</v>
      </c>
      <c r="F7" s="153" t="n">
        <v>767</v>
      </c>
      <c r="G7" s="153" t="n">
        <v>490.8800000000001</v>
      </c>
      <c r="H7" s="153" t="n">
        <v>52</v>
      </c>
      <c r="I7" s="153" t="n">
        <v>728</v>
      </c>
      <c r="J7" s="1294" t="n">
        <v>465.9200000000001</v>
      </c>
      <c r="K7" s="153" t="n">
        <v>64</v>
      </c>
      <c r="L7" s="153" t="n">
        <v>896</v>
      </c>
      <c r="M7" s="156">
        <f>L7*$C7</f>
        <v/>
      </c>
      <c r="N7" s="153" t="n">
        <v>39</v>
      </c>
      <c r="O7" s="153" t="n">
        <v>546</v>
      </c>
      <c r="P7" s="156">
        <f>O7*$C7</f>
        <v/>
      </c>
      <c r="Q7" s="153" t="n">
        <v>27</v>
      </c>
      <c r="R7" s="153" t="n">
        <v>378</v>
      </c>
      <c r="S7" s="156">
        <f>R7*$C7</f>
        <v/>
      </c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153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301">
        <f>E7+H7+K7+N7+Q7</f>
        <v/>
      </c>
      <c r="AP7" s="1301">
        <f>F7+I7+L7+O7+R7</f>
        <v/>
      </c>
      <c r="AQ7" s="1301">
        <f>G7+J7+M7+P7+S7</f>
        <v/>
      </c>
      <c r="AR7" s="1301">
        <f>AQ7/5</f>
        <v/>
      </c>
      <c r="AS7" s="194">
        <f>AR7/$AR$21%</f>
        <v/>
      </c>
    </row>
    <row r="8" ht="20.1" customHeight="1">
      <c r="A8" s="152" t="n">
        <v>4</v>
      </c>
      <c r="B8" s="151" t="inlineStr">
        <is>
          <t>မိုးနဲကွန်ကီကော်ဘူး(1 Liter)</t>
        </is>
      </c>
      <c r="C8" s="152" t="n">
        <v>1</v>
      </c>
      <c r="D8" s="152" t="inlineStr">
        <is>
          <t>1 * 12</t>
        </is>
      </c>
      <c r="E8" s="153" t="n"/>
      <c r="F8" s="153" t="n"/>
      <c r="G8" s="153" t="n"/>
      <c r="H8" s="153" t="n"/>
      <c r="I8" s="153" t="n"/>
      <c r="J8" s="1294">
        <f>I8*$C8</f>
        <v/>
      </c>
      <c r="K8" s="153" t="n">
        <v>8</v>
      </c>
      <c r="L8" s="153" t="n">
        <v>96</v>
      </c>
      <c r="M8" s="156">
        <f>L8*$C8</f>
        <v/>
      </c>
      <c r="N8" s="153" t="n">
        <v>12</v>
      </c>
      <c r="O8" s="153" t="n">
        <v>144</v>
      </c>
      <c r="P8" s="156">
        <f>O8*$C8</f>
        <v/>
      </c>
      <c r="Q8" s="153" t="n">
        <v>5</v>
      </c>
      <c r="R8" s="153" t="n">
        <v>60</v>
      </c>
      <c r="S8" s="156">
        <f>R8*$C8</f>
        <v/>
      </c>
      <c r="T8" s="153" t="n"/>
      <c r="U8" s="153" t="n"/>
      <c r="V8" s="153" t="n"/>
      <c r="W8" s="153" t="n"/>
      <c r="X8" s="153" t="n"/>
      <c r="Y8" s="153" t="n"/>
      <c r="Z8" s="153" t="n"/>
      <c r="AA8" s="153" t="n"/>
      <c r="AB8" s="153" t="n"/>
      <c r="AC8" s="153" t="n"/>
      <c r="AD8" s="153" t="n"/>
      <c r="AE8" s="153" t="n"/>
      <c r="AF8" s="153" t="n"/>
      <c r="AG8" s="153" t="n"/>
      <c r="AH8" s="153" t="n"/>
      <c r="AI8" s="153" t="n"/>
      <c r="AJ8" s="153" t="n"/>
      <c r="AK8" s="153" t="n"/>
      <c r="AL8" s="153" t="n"/>
      <c r="AM8" s="153" t="n"/>
      <c r="AN8" s="153" t="n"/>
      <c r="AO8" s="1301">
        <f>E8+H8+K8+N8+Q8</f>
        <v/>
      </c>
      <c r="AP8" s="1301">
        <f>F8+I8+L8+O8+R8</f>
        <v/>
      </c>
      <c r="AQ8" s="1301">
        <f>G8+J8+M8+P8+S8</f>
        <v/>
      </c>
      <c r="AR8" s="1301">
        <f>AQ8/5</f>
        <v/>
      </c>
      <c r="AS8" s="194">
        <f>AR8/$AR$21%</f>
        <v/>
      </c>
    </row>
    <row r="9" ht="20.1" customHeight="1">
      <c r="A9" s="152" t="n">
        <v>5</v>
      </c>
      <c r="B9" s="151" t="inlineStr">
        <is>
          <t xml:space="preserve">Moe Nae Kon Ki </t>
        </is>
      </c>
      <c r="C9" s="152" t="n">
        <v>0.64</v>
      </c>
      <c r="D9" s="152" t="inlineStr">
        <is>
          <t>1 * 14</t>
        </is>
      </c>
      <c r="E9" s="153" t="n">
        <v>106</v>
      </c>
      <c r="F9" s="153" t="n">
        <v>1484</v>
      </c>
      <c r="G9" s="153" t="n">
        <v>949.7600000000001</v>
      </c>
      <c r="H9" s="153" t="n">
        <v>69</v>
      </c>
      <c r="I9" s="153" t="n">
        <v>966</v>
      </c>
      <c r="J9" s="1294" t="n">
        <v>618.24</v>
      </c>
      <c r="K9" s="153" t="n">
        <v>34</v>
      </c>
      <c r="L9" s="153" t="n">
        <v>476</v>
      </c>
      <c r="M9" s="156">
        <f>L9*$C9</f>
        <v/>
      </c>
      <c r="N9" s="153" t="n">
        <v>52</v>
      </c>
      <c r="O9" s="153" t="n">
        <v>728</v>
      </c>
      <c r="P9" s="156">
        <f>O9*$C9</f>
        <v/>
      </c>
      <c r="Q9" s="153" t="n">
        <v>82</v>
      </c>
      <c r="R9" s="153" t="n">
        <v>1148</v>
      </c>
      <c r="S9" s="156">
        <f>R9*$C9</f>
        <v/>
      </c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153" t="n"/>
      <c r="AF9" s="153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301">
        <f>E9+H9+K9+N9+Q9</f>
        <v/>
      </c>
      <c r="AP9" s="1301">
        <f>F9+I9+L9+O9+R9</f>
        <v/>
      </c>
      <c r="AQ9" s="1301">
        <f>G9+J9+M9+P9+S9</f>
        <v/>
      </c>
      <c r="AR9" s="1301">
        <f>AQ9/5</f>
        <v/>
      </c>
      <c r="AS9" s="194">
        <f>AR9/$AR$21%</f>
        <v/>
      </c>
    </row>
    <row r="10" ht="20.1" customHeight="1">
      <c r="A10" s="152" t="n">
        <v>6</v>
      </c>
      <c r="B10" s="151" t="inlineStr">
        <is>
          <t xml:space="preserve">Zayawaddy Red </t>
        </is>
      </c>
      <c r="C10" s="152" t="n">
        <v>0.7</v>
      </c>
      <c r="D10" s="152" t="inlineStr">
        <is>
          <t>1 * 12</t>
        </is>
      </c>
      <c r="E10" s="153" t="n">
        <v>45</v>
      </c>
      <c r="F10" s="153" t="n">
        <v>540</v>
      </c>
      <c r="G10" s="153" t="n">
        <v>378</v>
      </c>
      <c r="H10" s="153" t="n">
        <v>25</v>
      </c>
      <c r="I10" s="153" t="n">
        <v>300</v>
      </c>
      <c r="J10" s="1294" t="n">
        <v>210</v>
      </c>
      <c r="K10" s="153" t="n">
        <v>15</v>
      </c>
      <c r="L10" s="153" t="n">
        <v>180</v>
      </c>
      <c r="M10" s="156">
        <f>L10*$C10</f>
        <v/>
      </c>
      <c r="N10" s="153" t="n">
        <v>10</v>
      </c>
      <c r="O10" s="153" t="n">
        <v>120</v>
      </c>
      <c r="P10" s="156">
        <f>O10*$C10</f>
        <v/>
      </c>
      <c r="Q10" s="153" t="n">
        <v>5</v>
      </c>
      <c r="R10" s="153" t="n">
        <v>60</v>
      </c>
      <c r="S10" s="156">
        <f>R10*$C10</f>
        <v/>
      </c>
      <c r="T10" s="153" t="n"/>
      <c r="U10" s="153" t="n"/>
      <c r="V10" s="153" t="n"/>
      <c r="W10" s="153" t="n"/>
      <c r="X10" s="153" t="n"/>
      <c r="Y10" s="153" t="n"/>
      <c r="Z10" s="153" t="n"/>
      <c r="AA10" s="153" t="n"/>
      <c r="AB10" s="153" t="n"/>
      <c r="AC10" s="153" t="n"/>
      <c r="AD10" s="153" t="n"/>
      <c r="AE10" s="153" t="n"/>
      <c r="AF10" s="153" t="n"/>
      <c r="AG10" s="153" t="n"/>
      <c r="AH10" s="153" t="n"/>
      <c r="AI10" s="153" t="n"/>
      <c r="AJ10" s="153" t="n"/>
      <c r="AK10" s="153" t="n"/>
      <c r="AL10" s="153" t="n"/>
      <c r="AM10" s="153" t="n"/>
      <c r="AN10" s="153" t="n"/>
      <c r="AO10" s="1301">
        <f>E10+H10+K10+N10+Q10</f>
        <v/>
      </c>
      <c r="AP10" s="1301">
        <f>F10+I10+L10+O10+R10</f>
        <v/>
      </c>
      <c r="AQ10" s="1301">
        <f>G10+J10+M10+P10+S10</f>
        <v/>
      </c>
      <c r="AR10" s="1301">
        <f>AQ10/5</f>
        <v/>
      </c>
      <c r="AS10" s="194">
        <f>AR10/$AR$21%</f>
        <v/>
      </c>
    </row>
    <row r="11" ht="20.1" customHeight="1">
      <c r="A11" s="152" t="n">
        <v>7</v>
      </c>
      <c r="B11" s="151" t="inlineStr">
        <is>
          <t xml:space="preserve">Zayawaddy Red </t>
        </is>
      </c>
      <c r="C11" s="152" t="n">
        <v>0.64</v>
      </c>
      <c r="D11" s="152" t="inlineStr">
        <is>
          <t>1 * 14</t>
        </is>
      </c>
      <c r="E11" s="153" t="n">
        <v>319</v>
      </c>
      <c r="F11" s="153" t="n">
        <v>4466</v>
      </c>
      <c r="G11" s="153" t="n">
        <v>2858.24</v>
      </c>
      <c r="H11" s="153" t="n">
        <v>182</v>
      </c>
      <c r="I11" s="153" t="n">
        <v>2548</v>
      </c>
      <c r="J11" s="1294" t="n">
        <v>1630.72</v>
      </c>
      <c r="K11" s="153" t="n">
        <v>276</v>
      </c>
      <c r="L11" s="153" t="n">
        <v>3864</v>
      </c>
      <c r="M11" s="156">
        <f>L11*$C11</f>
        <v/>
      </c>
      <c r="N11" s="153" t="n">
        <v>162</v>
      </c>
      <c r="O11" s="153" t="n">
        <v>2268</v>
      </c>
      <c r="P11" s="156">
        <f>O11*$C11</f>
        <v/>
      </c>
      <c r="Q11" s="153" t="n">
        <v>308</v>
      </c>
      <c r="R11" s="153" t="n">
        <v>4312</v>
      </c>
      <c r="S11" s="156">
        <f>R11*$C11</f>
        <v/>
      </c>
      <c r="T11" s="153" t="n"/>
      <c r="U11" s="153" t="n"/>
      <c r="V11" s="153" t="n"/>
      <c r="W11" s="153" t="n"/>
      <c r="X11" s="153" t="n"/>
      <c r="Y11" s="153" t="n"/>
      <c r="Z11" s="153" t="n"/>
      <c r="AA11" s="153" t="n"/>
      <c r="AB11" s="153" t="n"/>
      <c r="AC11" s="153" t="n"/>
      <c r="AD11" s="153" t="n"/>
      <c r="AE11" s="153" t="n"/>
      <c r="AF11" s="153" t="n"/>
      <c r="AG11" s="153" t="n"/>
      <c r="AH11" s="153" t="n"/>
      <c r="AI11" s="153" t="n"/>
      <c r="AJ11" s="153" t="n"/>
      <c r="AK11" s="153" t="n"/>
      <c r="AL11" s="153" t="n"/>
      <c r="AM11" s="153" t="n"/>
      <c r="AN11" s="153" t="n"/>
      <c r="AO11" s="1301">
        <f>E11+H11+K11+N11+Q11</f>
        <v/>
      </c>
      <c r="AP11" s="1301">
        <f>F11+I11+L11+O11+R11</f>
        <v/>
      </c>
      <c r="AQ11" s="1301">
        <f>G11+J11+M11+P11+S11</f>
        <v/>
      </c>
      <c r="AR11" s="1301">
        <f>AQ11/5</f>
        <v/>
      </c>
      <c r="AS11" s="194">
        <f>AR11/$AR$21%</f>
        <v/>
      </c>
      <c r="AT11" s="162" t="n">
        <v>2</v>
      </c>
    </row>
    <row r="12" ht="20.1" customHeight="1">
      <c r="A12" s="152" t="n">
        <v>8</v>
      </c>
      <c r="B12" s="151" t="inlineStr">
        <is>
          <t>မြန်မာရှောက်ပျား</t>
        </is>
      </c>
      <c r="C12" s="152" t="n">
        <v>0.64</v>
      </c>
      <c r="D12" s="152" t="inlineStr">
        <is>
          <t>1 * 14</t>
        </is>
      </c>
      <c r="E12" s="153" t="n">
        <v>69</v>
      </c>
      <c r="F12" s="153" t="n">
        <v>966</v>
      </c>
      <c r="G12" s="153" t="n">
        <v>618.24</v>
      </c>
      <c r="H12" s="153" t="n">
        <v>21</v>
      </c>
      <c r="I12" s="153" t="n">
        <v>294</v>
      </c>
      <c r="J12" s="1294" t="n">
        <v>188.16</v>
      </c>
      <c r="K12" s="153" t="n">
        <v>51</v>
      </c>
      <c r="L12" s="153" t="n">
        <v>714</v>
      </c>
      <c r="M12" s="156">
        <f>L12*$C12</f>
        <v/>
      </c>
      <c r="N12" s="153" t="n">
        <v>42</v>
      </c>
      <c r="O12" s="153" t="n">
        <v>588</v>
      </c>
      <c r="P12" s="156">
        <f>O12*$C12</f>
        <v/>
      </c>
      <c r="Q12" s="153" t="n">
        <v>57</v>
      </c>
      <c r="R12" s="153" t="n">
        <v>798</v>
      </c>
      <c r="S12" s="156">
        <f>R12*$C12</f>
        <v/>
      </c>
      <c r="T12" s="153" t="n"/>
      <c r="U12" s="153" t="n"/>
      <c r="V12" s="153" t="n"/>
      <c r="W12" s="153" t="n"/>
      <c r="X12" s="153" t="n"/>
      <c r="Y12" s="153" t="n"/>
      <c r="Z12" s="153" t="n"/>
      <c r="AA12" s="153" t="n"/>
      <c r="AB12" s="153" t="n"/>
      <c r="AC12" s="153" t="n"/>
      <c r="AD12" s="153" t="n"/>
      <c r="AE12" s="153" t="n"/>
      <c r="AF12" s="153" t="n"/>
      <c r="AG12" s="153" t="n"/>
      <c r="AH12" s="153" t="n"/>
      <c r="AI12" s="153" t="n"/>
      <c r="AJ12" s="153" t="n"/>
      <c r="AK12" s="153" t="n"/>
      <c r="AL12" s="153" t="n"/>
      <c r="AM12" s="153" t="n"/>
      <c r="AN12" s="153" t="n"/>
      <c r="AO12" s="1301">
        <f>E12+H12+K12+N12+Q12</f>
        <v/>
      </c>
      <c r="AP12" s="1301">
        <f>F12+I12+L12+O12+R12</f>
        <v/>
      </c>
      <c r="AQ12" s="1301">
        <f>G12+J12+M12+P12+S12</f>
        <v/>
      </c>
      <c r="AR12" s="1301">
        <f>AQ12/5</f>
        <v/>
      </c>
      <c r="AS12" s="194">
        <f>AR12/$AR$21%</f>
        <v/>
      </c>
    </row>
    <row r="13" ht="20.1" customHeight="1">
      <c r="A13" s="152" t="n">
        <v>9</v>
      </c>
      <c r="B13" s="151" t="inlineStr">
        <is>
          <t>သံပုရာအရက်</t>
        </is>
      </c>
      <c r="C13" s="152" t="n">
        <v>0.64</v>
      </c>
      <c r="D13" s="152" t="inlineStr">
        <is>
          <t>1 * 14</t>
        </is>
      </c>
      <c r="E13" s="153" t="n">
        <v>73</v>
      </c>
      <c r="F13" s="153" t="n">
        <v>1022</v>
      </c>
      <c r="G13" s="153" t="n">
        <v>654.08</v>
      </c>
      <c r="H13" s="153" t="n">
        <v>55</v>
      </c>
      <c r="I13" s="153" t="n">
        <v>770</v>
      </c>
      <c r="J13" s="1294" t="n">
        <v>492.8000000000001</v>
      </c>
      <c r="K13" s="153" t="n">
        <v>33</v>
      </c>
      <c r="L13" s="153" t="n">
        <v>462</v>
      </c>
      <c r="M13" s="156">
        <f>L13*$C13</f>
        <v/>
      </c>
      <c r="N13" s="153" t="n">
        <v>50</v>
      </c>
      <c r="O13" s="153" t="n">
        <v>700</v>
      </c>
      <c r="P13" s="156">
        <f>O13*$C13</f>
        <v/>
      </c>
      <c r="Q13" s="153" t="n">
        <v>62</v>
      </c>
      <c r="R13" s="153" t="n">
        <v>868</v>
      </c>
      <c r="S13" s="156">
        <f>R13*$C13</f>
        <v/>
      </c>
      <c r="T13" s="153" t="n"/>
      <c r="U13" s="153" t="n"/>
      <c r="V13" s="153" t="n"/>
      <c r="W13" s="153" t="n"/>
      <c r="X13" s="153" t="n"/>
      <c r="Y13" s="153" t="n"/>
      <c r="Z13" s="153" t="n"/>
      <c r="AA13" s="153" t="n"/>
      <c r="AB13" s="153" t="n"/>
      <c r="AC13" s="153" t="n"/>
      <c r="AD13" s="153" t="n"/>
      <c r="AE13" s="153" t="n"/>
      <c r="AF13" s="153" t="n"/>
      <c r="AG13" s="153" t="n"/>
      <c r="AH13" s="153" t="n"/>
      <c r="AI13" s="153" t="n"/>
      <c r="AJ13" s="153" t="n"/>
      <c r="AK13" s="153" t="n"/>
      <c r="AL13" s="153" t="n"/>
      <c r="AM13" s="153" t="n"/>
      <c r="AN13" s="153" t="n"/>
      <c r="AO13" s="1301">
        <f>E13+H13+K13+N13+Q13</f>
        <v/>
      </c>
      <c r="AP13" s="1301">
        <f>F13+I13+L13+O13+R13</f>
        <v/>
      </c>
      <c r="AQ13" s="1301">
        <f>G13+J13+M13+P13+S13</f>
        <v/>
      </c>
      <c r="AR13" s="1301">
        <f>AQ13/5</f>
        <v/>
      </c>
      <c r="AS13" s="194">
        <f>AR13/$AR$21%</f>
        <v/>
      </c>
    </row>
    <row r="14" ht="20.1" customHeight="1">
      <c r="A14" s="152" t="n">
        <v>10</v>
      </c>
      <c r="B14" s="151" t="inlineStr">
        <is>
          <t>ချယ်ရီကော်ဘူး(0.6 Liter)</t>
        </is>
      </c>
      <c r="C14" s="152" t="n">
        <v>0.6</v>
      </c>
      <c r="D14" s="152" t="inlineStr">
        <is>
          <t>1 * 24</t>
        </is>
      </c>
      <c r="E14" s="153" t="n">
        <v>15</v>
      </c>
      <c r="F14" s="153" t="n">
        <v>360</v>
      </c>
      <c r="G14" s="153" t="n">
        <v>216</v>
      </c>
      <c r="H14" s="153" t="n">
        <v>16</v>
      </c>
      <c r="I14" s="153" t="n">
        <v>384</v>
      </c>
      <c r="J14" s="1294" t="n">
        <v>230.4</v>
      </c>
      <c r="K14" s="153" t="n">
        <v>18</v>
      </c>
      <c r="L14" s="153" t="n">
        <v>432</v>
      </c>
      <c r="M14" s="156">
        <f>L14*$C14</f>
        <v/>
      </c>
      <c r="N14" s="153" t="n">
        <v>10</v>
      </c>
      <c r="O14" s="153" t="n">
        <v>240</v>
      </c>
      <c r="P14" s="156">
        <f>O14*$C14</f>
        <v/>
      </c>
      <c r="Q14" s="153" t="n">
        <v>15</v>
      </c>
      <c r="R14" s="153" t="n">
        <v>360</v>
      </c>
      <c r="S14" s="156">
        <f>R14*$C14</f>
        <v/>
      </c>
      <c r="T14" s="153" t="n"/>
      <c r="U14" s="153" t="n"/>
      <c r="V14" s="153" t="n"/>
      <c r="W14" s="153" t="n"/>
      <c r="X14" s="153" t="n"/>
      <c r="Y14" s="153" t="n"/>
      <c r="Z14" s="153" t="n"/>
      <c r="AA14" s="153" t="n"/>
      <c r="AB14" s="153" t="n"/>
      <c r="AC14" s="153" t="n"/>
      <c r="AD14" s="153" t="n"/>
      <c r="AE14" s="153" t="n"/>
      <c r="AF14" s="153" t="n"/>
      <c r="AG14" s="153" t="n"/>
      <c r="AH14" s="153" t="n"/>
      <c r="AI14" s="153" t="n"/>
      <c r="AJ14" s="153" t="n"/>
      <c r="AK14" s="153" t="n"/>
      <c r="AL14" s="153" t="n"/>
      <c r="AM14" s="153" t="n"/>
      <c r="AN14" s="153" t="n"/>
      <c r="AO14" s="1301">
        <f>E14+H14+K14+N14+Q14</f>
        <v/>
      </c>
      <c r="AP14" s="1301">
        <f>F14+I14+L14+O14+R14</f>
        <v/>
      </c>
      <c r="AQ14" s="1301">
        <f>G14+J14+M14+P14+S14</f>
        <v/>
      </c>
      <c r="AR14" s="1301">
        <f>AQ14/5</f>
        <v/>
      </c>
      <c r="AS14" s="194">
        <f>AR14/$AR$21%</f>
        <v/>
      </c>
    </row>
    <row r="15" ht="20.1" customHeight="1">
      <c r="A15" s="152" t="n">
        <v>11</v>
      </c>
      <c r="B15" s="151" t="inlineStr">
        <is>
          <t>ချယ်ရီသံပုရာ (1 Liter )</t>
        </is>
      </c>
      <c r="C15" s="152" t="n">
        <v>1</v>
      </c>
      <c r="D15" s="152" t="inlineStr">
        <is>
          <t>1 * 12</t>
        </is>
      </c>
      <c r="E15" s="153" t="n">
        <v>61</v>
      </c>
      <c r="F15" s="153" t="n">
        <v>740</v>
      </c>
      <c r="G15" s="153" t="n">
        <v>740</v>
      </c>
      <c r="H15" s="153" t="n">
        <v>39</v>
      </c>
      <c r="I15" s="153" t="n">
        <v>474</v>
      </c>
      <c r="J15" s="1294" t="n">
        <v>474</v>
      </c>
      <c r="K15" s="153" t="n">
        <v>55</v>
      </c>
      <c r="L15" s="153" t="n">
        <v>660</v>
      </c>
      <c r="M15" s="156">
        <f>L15*$C15</f>
        <v/>
      </c>
      <c r="N15" s="153" t="n">
        <v>42</v>
      </c>
      <c r="O15" s="153" t="n">
        <v>504</v>
      </c>
      <c r="P15" s="156">
        <f>O15*$C15</f>
        <v/>
      </c>
      <c r="Q15" s="153" t="n">
        <v>60</v>
      </c>
      <c r="R15" s="153" t="n">
        <v>720</v>
      </c>
      <c r="S15" s="156">
        <f>R15*$C15</f>
        <v/>
      </c>
      <c r="T15" s="153" t="n"/>
      <c r="U15" s="153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  <c r="AD15" s="153" t="n"/>
      <c r="AE15" s="153" t="n"/>
      <c r="AF15" s="153" t="n"/>
      <c r="AG15" s="153" t="n"/>
      <c r="AH15" s="153" t="n"/>
      <c r="AI15" s="153" t="n"/>
      <c r="AJ15" s="153" t="n"/>
      <c r="AK15" s="153" t="n"/>
      <c r="AL15" s="153" t="n"/>
      <c r="AM15" s="153" t="n"/>
      <c r="AN15" s="153" t="n"/>
      <c r="AO15" s="1301">
        <f>E15+H15+K15+N15+Q15</f>
        <v/>
      </c>
      <c r="AP15" s="1301">
        <f>F15+I15+L15+O15+R15</f>
        <v/>
      </c>
      <c r="AQ15" s="1301">
        <f>G15+J15+M15+P15+S15</f>
        <v/>
      </c>
      <c r="AR15" s="1301">
        <f>AQ15/5</f>
        <v/>
      </c>
      <c r="AS15" s="194">
        <f>AR15/$AR$21%</f>
        <v/>
      </c>
    </row>
    <row r="16" ht="20.1" customHeight="1">
      <c r="A16" s="152" t="n">
        <v>12</v>
      </c>
      <c r="B16" s="151" t="inlineStr">
        <is>
          <t>ချယ်ရီသံပုရာ (0.6 Liter )</t>
        </is>
      </c>
      <c r="C16" s="152" t="n">
        <v>0.6</v>
      </c>
      <c r="D16" s="152" t="inlineStr">
        <is>
          <t>1 * 24</t>
        </is>
      </c>
      <c r="E16" s="153" t="n">
        <v>4</v>
      </c>
      <c r="F16" s="153" t="n">
        <v>96</v>
      </c>
      <c r="G16" s="153" t="n">
        <v>57.59999999999999</v>
      </c>
      <c r="H16" s="153" t="n"/>
      <c r="I16" s="153" t="n"/>
      <c r="J16" s="1294">
        <f>I16*$C16</f>
        <v/>
      </c>
      <c r="K16" s="153" t="n"/>
      <c r="L16" s="153" t="n"/>
      <c r="M16" s="156">
        <f>L16*$C16</f>
        <v/>
      </c>
      <c r="N16" s="153" t="n"/>
      <c r="O16" s="153" t="n"/>
      <c r="P16" s="156">
        <f>O16*$C16</f>
        <v/>
      </c>
      <c r="Q16" s="153" t="n"/>
      <c r="R16" s="153" t="n"/>
      <c r="S16" s="156">
        <f>R16*$C16</f>
        <v/>
      </c>
      <c r="T16" s="153" t="n"/>
      <c r="U16" s="153" t="n"/>
      <c r="V16" s="153" t="n"/>
      <c r="W16" s="153" t="n"/>
      <c r="X16" s="153" t="n"/>
      <c r="Y16" s="153" t="n"/>
      <c r="Z16" s="153" t="n"/>
      <c r="AA16" s="153" t="n"/>
      <c r="AB16" s="153" t="n"/>
      <c r="AC16" s="153" t="n"/>
      <c r="AD16" s="153" t="n"/>
      <c r="AE16" s="153" t="n"/>
      <c r="AF16" s="153" t="n"/>
      <c r="AG16" s="153" t="n"/>
      <c r="AH16" s="153" t="n"/>
      <c r="AI16" s="153" t="n"/>
      <c r="AJ16" s="153" t="n"/>
      <c r="AK16" s="153" t="n"/>
      <c r="AL16" s="153" t="n"/>
      <c r="AM16" s="153" t="n"/>
      <c r="AN16" s="153" t="n"/>
      <c r="AO16" s="1301">
        <f>E16+H16+K16+N16+Q16</f>
        <v/>
      </c>
      <c r="AP16" s="1301">
        <f>F16+I16+L16+O16+R16</f>
        <v/>
      </c>
      <c r="AQ16" s="1301">
        <f>G16+J16+M16+P16+S16</f>
        <v/>
      </c>
      <c r="AR16" s="1301">
        <f>AQ16/5</f>
        <v/>
      </c>
      <c r="AS16" s="194">
        <f>AR16/$AR$21%</f>
        <v/>
      </c>
    </row>
    <row r="17" ht="20.1" customHeight="1">
      <c r="A17" s="152" t="n">
        <v>13</v>
      </c>
      <c r="B17" s="151" t="inlineStr">
        <is>
          <t>ရွှေမင်းသားခေါင်ရည်</t>
        </is>
      </c>
      <c r="C17" s="152" t="n">
        <v>0.64</v>
      </c>
      <c r="D17" s="152" t="inlineStr">
        <is>
          <t>1 * 24</t>
        </is>
      </c>
      <c r="E17" s="153" t="n">
        <v>287</v>
      </c>
      <c r="F17" s="153" t="n">
        <v>6888</v>
      </c>
      <c r="G17" s="153" t="n">
        <v>4408.32</v>
      </c>
      <c r="H17" s="153" t="n">
        <v>276</v>
      </c>
      <c r="I17" s="153" t="n">
        <v>6624</v>
      </c>
      <c r="J17" s="1294" t="n">
        <v>4239.360000000001</v>
      </c>
      <c r="K17" s="153" t="n">
        <v>365</v>
      </c>
      <c r="L17" s="153" t="n">
        <v>8760</v>
      </c>
      <c r="M17" s="156">
        <f>L17*$C17</f>
        <v/>
      </c>
      <c r="N17" s="153" t="n">
        <v>411</v>
      </c>
      <c r="O17" s="153" t="n">
        <v>9864</v>
      </c>
      <c r="P17" s="156">
        <f>O17*$C17</f>
        <v/>
      </c>
      <c r="Q17" s="153" t="n">
        <v>471</v>
      </c>
      <c r="R17" s="153" t="n">
        <v>11304</v>
      </c>
      <c r="S17" s="156">
        <f>R17*$C17</f>
        <v/>
      </c>
      <c r="T17" s="153" t="n"/>
      <c r="U17" s="153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  <c r="AD17" s="153" t="n"/>
      <c r="AE17" s="153" t="n"/>
      <c r="AF17" s="153" t="n"/>
      <c r="AG17" s="153" t="n"/>
      <c r="AH17" s="153" t="n"/>
      <c r="AI17" s="153" t="n"/>
      <c r="AJ17" s="153" t="n"/>
      <c r="AK17" s="153" t="n"/>
      <c r="AL17" s="153" t="n"/>
      <c r="AM17" s="153" t="n"/>
      <c r="AN17" s="153" t="n"/>
      <c r="AO17" s="1301">
        <f>E17+H17+K17+N17+Q17</f>
        <v/>
      </c>
      <c r="AP17" s="1301">
        <f>F17+I17+L17+O17+R17</f>
        <v/>
      </c>
      <c r="AQ17" s="1301">
        <f>G17+J17+M17+P17+S17</f>
        <v/>
      </c>
      <c r="AR17" s="1301">
        <f>AQ17/5</f>
        <v/>
      </c>
      <c r="AS17" s="194">
        <f>AR17/$AR$21%</f>
        <v/>
      </c>
      <c r="AT17" s="162" t="n">
        <v>1</v>
      </c>
    </row>
    <row r="18" ht="20.1" customHeight="1">
      <c r="A18" s="152" t="n">
        <v>14</v>
      </c>
      <c r="B18" s="151" t="inlineStr">
        <is>
          <t>ရွှေမင်းသားမန်ကျည်းခေါင်ရည်</t>
        </is>
      </c>
      <c r="C18" s="152" t="n">
        <v>0.64</v>
      </c>
      <c r="D18" s="152" t="n"/>
      <c r="E18" s="153" t="n"/>
      <c r="F18" s="153" t="n"/>
      <c r="G18" s="153" t="n"/>
      <c r="H18" s="153" t="n"/>
      <c r="I18" s="153" t="n"/>
      <c r="J18" s="1294" t="n"/>
      <c r="K18" s="153" t="n"/>
      <c r="L18" s="153" t="n"/>
      <c r="M18" s="156" t="n"/>
      <c r="N18" s="153" t="n">
        <v>213</v>
      </c>
      <c r="O18" s="153" t="n">
        <v>2982</v>
      </c>
      <c r="P18" s="156">
        <f>O18*$C18</f>
        <v/>
      </c>
      <c r="Q18" s="153" t="n">
        <v>429</v>
      </c>
      <c r="R18" s="153" t="n">
        <v>6006</v>
      </c>
      <c r="S18" s="156">
        <f>R18*$C18</f>
        <v/>
      </c>
      <c r="T18" s="153" t="n"/>
      <c r="U18" s="153" t="n"/>
      <c r="V18" s="153" t="n"/>
      <c r="W18" s="153" t="n"/>
      <c r="X18" s="153" t="n"/>
      <c r="Y18" s="153" t="n"/>
      <c r="Z18" s="153" t="n"/>
      <c r="AA18" s="153" t="n"/>
      <c r="AB18" s="153" t="n"/>
      <c r="AC18" s="153" t="n"/>
      <c r="AD18" s="153" t="n"/>
      <c r="AE18" s="153" t="n"/>
      <c r="AF18" s="153" t="n"/>
      <c r="AG18" s="153" t="n"/>
      <c r="AH18" s="153" t="n"/>
      <c r="AI18" s="153" t="n"/>
      <c r="AJ18" s="153" t="n"/>
      <c r="AK18" s="153" t="n"/>
      <c r="AL18" s="153" t="n"/>
      <c r="AM18" s="153" t="n"/>
      <c r="AN18" s="153" t="n"/>
      <c r="AO18" s="1301">
        <f>E18+H18+K18+N18+Q18</f>
        <v/>
      </c>
      <c r="AP18" s="1301">
        <f>F18+I18+L18+O18+R18</f>
        <v/>
      </c>
      <c r="AQ18" s="1301">
        <f>G18+J18+M18+P18+S18</f>
        <v/>
      </c>
      <c r="AR18" s="1301">
        <f>AQ18/5</f>
        <v/>
      </c>
      <c r="AS18" s="194">
        <f>AR18/$AR$21%</f>
        <v/>
      </c>
      <c r="AT18" s="162" t="n">
        <v>5</v>
      </c>
    </row>
    <row r="19" ht="20.1" customHeight="1">
      <c r="A19" s="152" t="n">
        <v>15</v>
      </c>
      <c r="B19" s="151" t="inlineStr">
        <is>
          <t xml:space="preserve">White Orange </t>
        </is>
      </c>
      <c r="C19" s="152" t="n">
        <v>0.64</v>
      </c>
      <c r="D19" s="152" t="inlineStr">
        <is>
          <t>1 * 24</t>
        </is>
      </c>
      <c r="E19" s="153" t="n">
        <v>178</v>
      </c>
      <c r="F19" s="153" t="n">
        <v>4272</v>
      </c>
      <c r="G19" s="153" t="n">
        <v>2734.080000000001</v>
      </c>
      <c r="H19" s="153" t="n">
        <v>134</v>
      </c>
      <c r="I19" s="153" t="n">
        <v>3236</v>
      </c>
      <c r="J19" s="1294" t="n">
        <v>2071.04</v>
      </c>
      <c r="K19" s="153" t="n">
        <v>124</v>
      </c>
      <c r="L19" s="153" t="n">
        <v>2976</v>
      </c>
      <c r="M19" s="156">
        <f>L19*$C19</f>
        <v/>
      </c>
      <c r="N19" s="153" t="n">
        <v>116</v>
      </c>
      <c r="O19" s="153" t="n">
        <v>2784</v>
      </c>
      <c r="P19" s="156">
        <f>O19*$C19</f>
        <v/>
      </c>
      <c r="Q19" s="153" t="n">
        <v>116</v>
      </c>
      <c r="R19" s="153" t="n">
        <v>2784</v>
      </c>
      <c r="S19" s="156">
        <f>R19*$C19</f>
        <v/>
      </c>
      <c r="T19" s="153" t="n"/>
      <c r="U19" s="153" t="n"/>
      <c r="V19" s="153" t="n"/>
      <c r="W19" s="153" t="n"/>
      <c r="X19" s="153" t="n"/>
      <c r="Y19" s="153" t="n"/>
      <c r="Z19" s="153" t="n"/>
      <c r="AA19" s="153" t="n"/>
      <c r="AB19" s="153" t="n"/>
      <c r="AC19" s="153" t="n"/>
      <c r="AD19" s="153" t="n"/>
      <c r="AE19" s="153" t="n"/>
      <c r="AF19" s="153" t="n"/>
      <c r="AG19" s="153" t="n"/>
      <c r="AH19" s="153" t="n"/>
      <c r="AI19" s="153" t="n"/>
      <c r="AJ19" s="153" t="n"/>
      <c r="AK19" s="153" t="n"/>
      <c r="AL19" s="153" t="n"/>
      <c r="AM19" s="153" t="n"/>
      <c r="AN19" s="153" t="n"/>
      <c r="AO19" s="1301">
        <f>E19+H19+K19+N19+Q19</f>
        <v/>
      </c>
      <c r="AP19" s="1301">
        <f>F19+I19+L19+O19+R19</f>
        <v/>
      </c>
      <c r="AQ19" s="1301">
        <f>G19+J19+M19+P19+S19</f>
        <v/>
      </c>
      <c r="AR19" s="1301">
        <f>AQ19/5</f>
        <v/>
      </c>
      <c r="AS19" s="194">
        <f>AR19/$AR$21%</f>
        <v/>
      </c>
      <c r="AT19" s="162" t="n">
        <v>3</v>
      </c>
    </row>
    <row r="20" ht="20.1" customHeight="1">
      <c r="A20" s="152" t="n">
        <v>16</v>
      </c>
      <c r="B20" s="151" t="inlineStr">
        <is>
          <t xml:space="preserve">Dagon </t>
        </is>
      </c>
      <c r="C20" s="152" t="n">
        <v>0.64</v>
      </c>
      <c r="D20" s="152" t="inlineStr">
        <is>
          <t>1 * 14</t>
        </is>
      </c>
      <c r="E20" s="153" t="n">
        <v>215</v>
      </c>
      <c r="F20" s="153" t="n">
        <v>3010</v>
      </c>
      <c r="G20" s="153" t="n">
        <v>1926.4</v>
      </c>
      <c r="H20" s="153" t="n">
        <v>200</v>
      </c>
      <c r="I20" s="153" t="n">
        <v>2800</v>
      </c>
      <c r="J20" s="1294" t="n">
        <v>1792</v>
      </c>
      <c r="K20" s="153" t="n">
        <v>245</v>
      </c>
      <c r="L20" s="153" t="n">
        <v>3430</v>
      </c>
      <c r="M20" s="156">
        <f>L20*$C20</f>
        <v/>
      </c>
      <c r="N20" s="153" t="n">
        <v>214</v>
      </c>
      <c r="O20" s="153" t="n">
        <v>2996</v>
      </c>
      <c r="P20" s="156">
        <f>O20*$C20</f>
        <v/>
      </c>
      <c r="Q20" s="153" t="n">
        <v>125</v>
      </c>
      <c r="R20" s="153" t="n">
        <v>1750</v>
      </c>
      <c r="S20" s="156">
        <f>R20*$C20</f>
        <v/>
      </c>
      <c r="T20" s="153" t="n"/>
      <c r="U20" s="153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  <c r="AD20" s="153" t="n"/>
      <c r="AE20" s="153" t="n"/>
      <c r="AF20" s="153" t="n"/>
      <c r="AG20" s="153" t="n"/>
      <c r="AH20" s="153" t="n"/>
      <c r="AI20" s="153" t="n"/>
      <c r="AJ20" s="153" t="n"/>
      <c r="AK20" s="153" t="n"/>
      <c r="AL20" s="153" t="n"/>
      <c r="AM20" s="153" t="n"/>
      <c r="AN20" s="153" t="n"/>
      <c r="AO20" s="1301">
        <f>E20+H20+K20+N20+Q20</f>
        <v/>
      </c>
      <c r="AP20" s="1301">
        <f>F20+I20+L20+O20+R20</f>
        <v/>
      </c>
      <c r="AQ20" s="1301">
        <f>G20+J20+M20+P20+S20</f>
        <v/>
      </c>
      <c r="AR20" s="1301">
        <f>AQ20/5</f>
        <v/>
      </c>
      <c r="AS20" s="194">
        <f>AR20/$AR$21%</f>
        <v/>
      </c>
      <c r="AT20" s="162" t="n">
        <v>4</v>
      </c>
    </row>
    <row r="21" ht="20.1" customHeight="1">
      <c r="A21" s="152" t="n"/>
      <c r="B21" s="151" t="inlineStr">
        <is>
          <t>Total</t>
        </is>
      </c>
      <c r="C21" s="152" t="n"/>
      <c r="D21" s="152" t="n"/>
      <c r="E21" s="1297">
        <f>SUM(E5:E20)</f>
        <v/>
      </c>
      <c r="F21" s="1297">
        <f>SUM(F5:F20)</f>
        <v/>
      </c>
      <c r="G21" s="1297">
        <f>SUM(G5:G20)</f>
        <v/>
      </c>
      <c r="H21" s="1297">
        <f>SUM(H5:H20)</f>
        <v/>
      </c>
      <c r="I21" s="1297">
        <f>SUM(I5:I20)</f>
        <v/>
      </c>
      <c r="J21" s="1297">
        <f>SUM(J5:J20)</f>
        <v/>
      </c>
      <c r="K21" s="1297">
        <f>SUM(K5:K20)</f>
        <v/>
      </c>
      <c r="L21" s="1297">
        <f>SUM(L5:L20)</f>
        <v/>
      </c>
      <c r="M21" s="1297">
        <f>SUM(M5:M20)</f>
        <v/>
      </c>
      <c r="N21" s="1297">
        <f>SUM(N5:N20)</f>
        <v/>
      </c>
      <c r="O21" s="1297">
        <f>SUM(O5:O20)</f>
        <v/>
      </c>
      <c r="P21" s="1297">
        <f>SUM(P5:P20)</f>
        <v/>
      </c>
      <c r="Q21" s="1297">
        <f>SUM(Q5:Q20)</f>
        <v/>
      </c>
      <c r="R21" s="1297">
        <f>SUM(R5:R20)</f>
        <v/>
      </c>
      <c r="S21" s="1297">
        <f>SUM(S5:S20)</f>
        <v/>
      </c>
      <c r="T21" s="1297">
        <f>SUM(T5:T20)</f>
        <v/>
      </c>
      <c r="U21" s="1297">
        <f>SUM(U5:U20)</f>
        <v/>
      </c>
      <c r="V21" s="1297">
        <f>SUM(V5:V20)</f>
        <v/>
      </c>
      <c r="W21" s="1297">
        <f>SUM(W5:W20)</f>
        <v/>
      </c>
      <c r="X21" s="1297">
        <f>SUM(X5:X20)</f>
        <v/>
      </c>
      <c r="Y21" s="1297">
        <f>SUM(Y5:Y20)</f>
        <v/>
      </c>
      <c r="Z21" s="1297">
        <f>SUM(Z5:Z20)</f>
        <v/>
      </c>
      <c r="AA21" s="1297">
        <f>SUM(AA5:AA20)</f>
        <v/>
      </c>
      <c r="AB21" s="1297">
        <f>SUM(AB5:AB20)</f>
        <v/>
      </c>
      <c r="AC21" s="1297">
        <f>SUM(AC5:AC20)</f>
        <v/>
      </c>
      <c r="AD21" s="1297">
        <f>SUM(AD5:AD20)</f>
        <v/>
      </c>
      <c r="AE21" s="1297">
        <f>SUM(AE5:AE20)</f>
        <v/>
      </c>
      <c r="AF21" s="1297">
        <f>SUM(AF5:AF20)</f>
        <v/>
      </c>
      <c r="AG21" s="1297">
        <f>SUM(AG5:AG20)</f>
        <v/>
      </c>
      <c r="AH21" s="1297">
        <f>SUM(AH5:AH20)</f>
        <v/>
      </c>
      <c r="AI21" s="1297">
        <f>SUM(AI5:AI20)</f>
        <v/>
      </c>
      <c r="AJ21" s="1297">
        <f>SUM(AJ5:AJ20)</f>
        <v/>
      </c>
      <c r="AK21" s="1297">
        <f>SUM(AK5:AK20)</f>
        <v/>
      </c>
      <c r="AL21" s="1297">
        <f>SUM(AL5:AL20)</f>
        <v/>
      </c>
      <c r="AM21" s="1297">
        <f>SUM(AM5:AM20)</f>
        <v/>
      </c>
      <c r="AN21" s="1297">
        <f>SUM(AN5:AN20)</f>
        <v/>
      </c>
      <c r="AO21" s="1301">
        <f>E21+H21+K21+N21+Q21</f>
        <v/>
      </c>
      <c r="AP21" s="1301">
        <f>F21+I21+L21+O21+R21</f>
        <v/>
      </c>
      <c r="AQ21" s="1301">
        <f>G21+J21+M21+P21+S21</f>
        <v/>
      </c>
      <c r="AR21" s="1301">
        <f>AQ21/5</f>
        <v/>
      </c>
      <c r="AS21" s="194">
        <f>AR21/$AR$21%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FF0000"/>
    <outlinePr summaryBelow="1" summaryRight="1"/>
    <pageSetUpPr/>
  </sheetPr>
  <dimension ref="A1:AT23"/>
  <sheetViews>
    <sheetView workbookViewId="0">
      <pane xSplit="4" ySplit="4" topLeftCell="P9" activePane="bottomRight" state="frozen"/>
      <selection activeCell="AU7" sqref="AU7"/>
      <selection pane="topRight" activeCell="AU7" sqref="AU7"/>
      <selection pane="bottomLeft" activeCell="AU7" sqref="AU7"/>
      <selection pane="bottomRight" activeCell="AR19" sqref="AR19"/>
    </sheetView>
  </sheetViews>
  <sheetFormatPr baseColWidth="8" defaultColWidth="9.109375" defaultRowHeight="13.8"/>
  <cols>
    <col width="4.6640625" customWidth="1" style="190" min="1" max="1"/>
    <col width="29.109375" customWidth="1" style="162" min="2" max="2"/>
    <col width="9.109375" customWidth="1" style="162" min="3" max="3"/>
    <col width="13.6640625" customWidth="1" style="162" min="4" max="4"/>
    <col width="9.5546875" customWidth="1" style="162" min="5" max="5"/>
    <col width="11.5546875" customWidth="1" style="162" min="6" max="6"/>
    <col width="10.5546875" customWidth="1" style="162" min="7" max="7"/>
    <col width="9.33203125" bestFit="1" customWidth="1" style="162" min="8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30" customHeight="1">
      <c r="A1" s="189" t="n"/>
      <c r="B1" s="160" t="inlineStr">
        <is>
          <t>2025 - Sales Details Pyawbwe (Pyawbwe Township)</t>
        </is>
      </c>
      <c r="C1" s="161" t="n"/>
      <c r="D1" s="159" t="n"/>
    </row>
    <row r="2"/>
    <row r="3" ht="42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0" t="inlineStr">
        <is>
          <t>Average</t>
        </is>
      </c>
      <c r="AS3" s="181" t="inlineStr">
        <is>
          <t>Contribution</t>
        </is>
      </c>
    </row>
    <row r="4" ht="30.75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0" t="inlineStr">
        <is>
          <t>CASES</t>
        </is>
      </c>
      <c r="AP4" s="1290" t="inlineStr">
        <is>
          <t>BOTTLES</t>
        </is>
      </c>
      <c r="AQ4" s="1290" t="inlineStr">
        <is>
          <t>Liter</t>
        </is>
      </c>
      <c r="AR4" s="1290" t="inlineStr">
        <is>
          <t>Liter</t>
        </is>
      </c>
      <c r="AS4" s="1290" t="inlineStr">
        <is>
          <t>Liter</t>
        </is>
      </c>
    </row>
    <row r="5" ht="20.1" customHeight="1">
      <c r="A5" s="152" t="n">
        <v>1</v>
      </c>
      <c r="B5" s="151" t="inlineStr">
        <is>
          <t>"Zay" Vodka 700-ml</t>
        </is>
      </c>
      <c r="C5" s="152" t="n">
        <v>0.7</v>
      </c>
      <c r="D5" s="152" t="inlineStr">
        <is>
          <t>1 * 12</t>
        </is>
      </c>
      <c r="E5" s="153" t="n"/>
      <c r="F5" s="153" t="n"/>
      <c r="G5" s="153" t="n"/>
      <c r="H5" s="153" t="n"/>
      <c r="I5" s="153" t="n"/>
      <c r="J5" s="1294">
        <f>I5*$C5</f>
        <v/>
      </c>
      <c r="K5" s="153" t="n"/>
      <c r="L5" s="153" t="n"/>
      <c r="M5" s="153" t="n"/>
      <c r="N5" s="153" t="n"/>
      <c r="O5" s="153" t="n"/>
      <c r="P5" s="153" t="n"/>
      <c r="Q5" s="153" t="n">
        <v>5</v>
      </c>
      <c r="R5" s="153" t="n">
        <v>60</v>
      </c>
      <c r="S5" s="156">
        <f>R5*$C5</f>
        <v/>
      </c>
      <c r="T5" s="153" t="n"/>
      <c r="U5" s="153" t="n"/>
      <c r="V5" s="153" t="n"/>
      <c r="W5" s="153" t="n"/>
      <c r="X5" s="153" t="n"/>
      <c r="Y5" s="153" t="n"/>
      <c r="Z5" s="153" t="n"/>
      <c r="AA5" s="153" t="n"/>
      <c r="AB5" s="153" t="n"/>
      <c r="AC5" s="153" t="n"/>
      <c r="AD5" s="153" t="n"/>
      <c r="AE5" s="153" t="n"/>
      <c r="AF5" s="153" t="n"/>
      <c r="AG5" s="153" t="n"/>
      <c r="AH5" s="153" t="n"/>
      <c r="AI5" s="153" t="n"/>
      <c r="AJ5" s="153" t="n"/>
      <c r="AK5" s="153" t="n"/>
      <c r="AL5" s="153" t="n"/>
      <c r="AM5" s="153" t="n"/>
      <c r="AN5" s="153" t="n"/>
      <c r="AO5" s="1301">
        <f>E5+H5+K5+N5+Q5</f>
        <v/>
      </c>
      <c r="AP5" s="1301">
        <f>F5+I5+L5+O5+R5</f>
        <v/>
      </c>
      <c r="AQ5" s="1301">
        <f>G5+J5+M5+P5+S5</f>
        <v/>
      </c>
      <c r="AR5" s="1301">
        <f>AQ5/5</f>
        <v/>
      </c>
      <c r="AS5" s="194">
        <f>AR5/$AR$23%</f>
        <v/>
      </c>
    </row>
    <row r="6" ht="20.1" customHeight="1">
      <c r="A6" s="152" t="n">
        <v>2</v>
      </c>
      <c r="B6" s="151" t="inlineStr">
        <is>
          <t>"Zay" - 640ml</t>
        </is>
      </c>
      <c r="C6" s="152" t="n">
        <v>0.64</v>
      </c>
      <c r="D6" s="152" t="inlineStr">
        <is>
          <t>1 * 14</t>
        </is>
      </c>
      <c r="E6" s="153" t="n"/>
      <c r="F6" s="153" t="n"/>
      <c r="G6" s="153" t="n"/>
      <c r="H6" s="153" t="n">
        <v>1</v>
      </c>
      <c r="I6" s="153" t="n">
        <v>14</v>
      </c>
      <c r="J6" s="1294" t="n">
        <v>8.960000000000001</v>
      </c>
      <c r="K6" s="153" t="n"/>
      <c r="L6" s="153" t="n"/>
      <c r="M6" s="153" t="n"/>
      <c r="N6" s="153" t="n">
        <v>10</v>
      </c>
      <c r="O6" s="153" t="n">
        <v>140</v>
      </c>
      <c r="P6" s="156">
        <f>O6*$C6</f>
        <v/>
      </c>
      <c r="Q6" s="153" t="n"/>
      <c r="R6" s="153" t="n"/>
      <c r="S6" s="156">
        <f>R6*$C6</f>
        <v/>
      </c>
      <c r="T6" s="153" t="n"/>
      <c r="U6" s="153" t="n"/>
      <c r="V6" s="153" t="n"/>
      <c r="W6" s="153" t="n"/>
      <c r="X6" s="153" t="n"/>
      <c r="Y6" s="153" t="n"/>
      <c r="Z6" s="153" t="n"/>
      <c r="AA6" s="153" t="n"/>
      <c r="AB6" s="153" t="n"/>
      <c r="AC6" s="153" t="n"/>
      <c r="AD6" s="153" t="n"/>
      <c r="AE6" s="153" t="n"/>
      <c r="AF6" s="153" t="n"/>
      <c r="AG6" s="153" t="n"/>
      <c r="AH6" s="153" t="n"/>
      <c r="AI6" s="153" t="n"/>
      <c r="AJ6" s="153" t="n"/>
      <c r="AK6" s="153" t="n"/>
      <c r="AL6" s="153" t="n"/>
      <c r="AM6" s="153" t="n"/>
      <c r="AN6" s="153" t="n"/>
      <c r="AO6" s="1301">
        <f>E6+H6+K6+N6+Q6</f>
        <v/>
      </c>
      <c r="AP6" s="1301">
        <f>F6+I6+L6+O6+R6</f>
        <v/>
      </c>
      <c r="AQ6" s="1301">
        <f>G6+J6+M6+P6+S6</f>
        <v/>
      </c>
      <c r="AR6" s="1301">
        <f>AQ6/5</f>
        <v/>
      </c>
      <c r="AS6" s="194">
        <f>AR6/$AR$23%</f>
        <v/>
      </c>
    </row>
    <row r="7" ht="20.1" customHeight="1">
      <c r="A7" s="152" t="n">
        <v>3</v>
      </c>
      <c r="B7" s="151" t="inlineStr">
        <is>
          <t>Kaung Kyi (1 Liter)_25%</t>
        </is>
      </c>
      <c r="C7" s="152" t="n">
        <v>1</v>
      </c>
      <c r="D7" s="152" t="inlineStr">
        <is>
          <t>1 * 12</t>
        </is>
      </c>
      <c r="E7" s="153" t="n">
        <v>95</v>
      </c>
      <c r="F7" s="153" t="n">
        <v>1140</v>
      </c>
      <c r="G7" s="153" t="n">
        <v>1140</v>
      </c>
      <c r="H7" s="153" t="n">
        <v>120</v>
      </c>
      <c r="I7" s="153" t="n">
        <v>1440</v>
      </c>
      <c r="J7" s="1294" t="n">
        <v>1440</v>
      </c>
      <c r="K7" s="153" t="n">
        <v>274</v>
      </c>
      <c r="L7" s="153" t="n">
        <v>3288</v>
      </c>
      <c r="M7" s="156">
        <f>L7*$C7</f>
        <v/>
      </c>
      <c r="N7" s="153" t="n">
        <v>80</v>
      </c>
      <c r="O7" s="153" t="n">
        <v>960</v>
      </c>
      <c r="P7" s="156">
        <f>O7*$C7</f>
        <v/>
      </c>
      <c r="Q7" s="153" t="n">
        <v>250</v>
      </c>
      <c r="R7" s="153" t="n">
        <v>3000</v>
      </c>
      <c r="S7" s="156">
        <f>R7*$C7</f>
        <v/>
      </c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  <c r="AD7" s="153" t="n"/>
      <c r="AE7" s="153" t="n"/>
      <c r="AF7" s="153" t="n"/>
      <c r="AG7" s="153" t="n"/>
      <c r="AH7" s="153" t="n"/>
      <c r="AI7" s="153" t="n"/>
      <c r="AJ7" s="153" t="n"/>
      <c r="AK7" s="153" t="n"/>
      <c r="AL7" s="153" t="n"/>
      <c r="AM7" s="153" t="n"/>
      <c r="AN7" s="153" t="n"/>
      <c r="AO7" s="1301">
        <f>E7+H7+K7+N7+Q7</f>
        <v/>
      </c>
      <c r="AP7" s="1301">
        <f>F7+I7+L7+O7+R7</f>
        <v/>
      </c>
      <c r="AQ7" s="1301">
        <f>G7+J7+M7+P7+S7</f>
        <v/>
      </c>
      <c r="AR7" s="1301">
        <f>AQ7/5</f>
        <v/>
      </c>
      <c r="AS7" s="194">
        <f>AR7/$AR$23%</f>
        <v/>
      </c>
    </row>
    <row r="8" ht="20.1" customHeight="1">
      <c r="A8" s="152" t="n">
        <v>4</v>
      </c>
      <c r="B8" s="151" t="inlineStr">
        <is>
          <t xml:space="preserve">Kaung Kyi </t>
        </is>
      </c>
      <c r="C8" s="152" t="n">
        <v>0.64</v>
      </c>
      <c r="D8" s="152" t="inlineStr">
        <is>
          <t>1 * 14</t>
        </is>
      </c>
      <c r="E8" s="153" t="n">
        <v>50</v>
      </c>
      <c r="F8" s="153" t="n">
        <v>700</v>
      </c>
      <c r="G8" s="153" t="n">
        <v>448</v>
      </c>
      <c r="H8" s="153" t="n">
        <v>165</v>
      </c>
      <c r="I8" s="153" t="n">
        <v>2310</v>
      </c>
      <c r="J8" s="1294" t="n">
        <v>1478.4</v>
      </c>
      <c r="K8" s="153" t="n"/>
      <c r="L8" s="153" t="n"/>
      <c r="M8" s="156">
        <f>L8*$C8</f>
        <v/>
      </c>
      <c r="N8" s="153" t="n">
        <v>130</v>
      </c>
      <c r="O8" s="153" t="n">
        <v>1820</v>
      </c>
      <c r="P8" s="156">
        <f>O8*$C8</f>
        <v/>
      </c>
      <c r="Q8" s="153" t="n">
        <v>110</v>
      </c>
      <c r="R8" s="153" t="n">
        <v>1540</v>
      </c>
      <c r="S8" s="156">
        <f>R8*$C8</f>
        <v/>
      </c>
      <c r="T8" s="153" t="n"/>
      <c r="U8" s="153" t="n"/>
      <c r="V8" s="153" t="n"/>
      <c r="W8" s="153" t="n"/>
      <c r="X8" s="153" t="n"/>
      <c r="Y8" s="153" t="n"/>
      <c r="Z8" s="153" t="n"/>
      <c r="AA8" s="153" t="n"/>
      <c r="AB8" s="153" t="n"/>
      <c r="AC8" s="153" t="n"/>
      <c r="AD8" s="153" t="n"/>
      <c r="AE8" s="153" t="n"/>
      <c r="AF8" s="153" t="n"/>
      <c r="AG8" s="153" t="n"/>
      <c r="AH8" s="153" t="n"/>
      <c r="AI8" s="153" t="n"/>
      <c r="AJ8" s="153" t="n"/>
      <c r="AK8" s="153" t="n"/>
      <c r="AL8" s="153" t="n"/>
      <c r="AM8" s="153" t="n"/>
      <c r="AN8" s="153" t="n"/>
      <c r="AO8" s="1301">
        <f>E8+H8+K8+N8+Q8</f>
        <v/>
      </c>
      <c r="AP8" s="1301">
        <f>F8+I8+L8+O8+R8</f>
        <v/>
      </c>
      <c r="AQ8" s="1301">
        <f>G8+J8+M8+P8+S8</f>
        <v/>
      </c>
      <c r="AR8" s="1301">
        <f>AQ8/5</f>
        <v/>
      </c>
      <c r="AS8" s="194">
        <f>AR8/$AR$23%</f>
        <v/>
      </c>
    </row>
    <row r="9" ht="20.1" customHeight="1">
      <c r="A9" s="152" t="n">
        <v>5</v>
      </c>
      <c r="B9" s="151" t="inlineStr">
        <is>
          <t>မိုးနဲကွန်ကီကော်ဘူး(1 Liter)</t>
        </is>
      </c>
      <c r="C9" s="152" t="n">
        <v>1</v>
      </c>
      <c r="D9" s="152" t="inlineStr">
        <is>
          <t>1 * 12</t>
        </is>
      </c>
      <c r="E9" s="153" t="n"/>
      <c r="F9" s="153" t="n"/>
      <c r="G9" s="153" t="n"/>
      <c r="H9" s="153" t="n"/>
      <c r="I9" s="153" t="n"/>
      <c r="J9" s="1294">
        <f>I9*$C9</f>
        <v/>
      </c>
      <c r="K9" s="153" t="n">
        <v>323</v>
      </c>
      <c r="L9" s="153" t="n">
        <v>7752</v>
      </c>
      <c r="M9" s="156">
        <f>L9*$C9</f>
        <v/>
      </c>
      <c r="N9" s="153" t="n">
        <v>193</v>
      </c>
      <c r="O9" s="153" t="n">
        <v>3444</v>
      </c>
      <c r="P9" s="156">
        <f>O9*$C9</f>
        <v/>
      </c>
      <c r="Q9" s="153" t="n"/>
      <c r="R9" s="153" t="n"/>
      <c r="S9" s="156">
        <f>R9*$C9</f>
        <v/>
      </c>
      <c r="T9" s="153" t="n"/>
      <c r="U9" s="153" t="n"/>
      <c r="V9" s="153" t="n"/>
      <c r="W9" s="153" t="n"/>
      <c r="X9" s="153" t="n"/>
      <c r="Y9" s="153" t="n"/>
      <c r="Z9" s="153" t="n"/>
      <c r="AA9" s="153" t="n"/>
      <c r="AB9" s="153" t="n"/>
      <c r="AC9" s="153" t="n"/>
      <c r="AD9" s="153" t="n"/>
      <c r="AE9" s="153" t="n"/>
      <c r="AF9" s="153" t="n"/>
      <c r="AG9" s="153" t="n"/>
      <c r="AH9" s="153" t="n"/>
      <c r="AI9" s="153" t="n"/>
      <c r="AJ9" s="153" t="n"/>
      <c r="AK9" s="153" t="n"/>
      <c r="AL9" s="153" t="n"/>
      <c r="AM9" s="153" t="n"/>
      <c r="AN9" s="153" t="n"/>
      <c r="AO9" s="1301">
        <f>E9+H9+K9+N9+Q9</f>
        <v/>
      </c>
      <c r="AP9" s="1301">
        <f>F9+I9+L9+O9+R9</f>
        <v/>
      </c>
      <c r="AQ9" s="1301">
        <f>G9+J9+M9+P9+S9</f>
        <v/>
      </c>
      <c r="AR9" s="1301">
        <f>AQ9/5</f>
        <v/>
      </c>
      <c r="AS9" s="194">
        <f>AR9/$AR$23%</f>
        <v/>
      </c>
    </row>
    <row r="10" ht="20.1" customHeight="1">
      <c r="A10" s="152" t="n">
        <v>6</v>
      </c>
      <c r="B10" s="151" t="inlineStr">
        <is>
          <t xml:space="preserve">Moe Nae Kon Ki </t>
        </is>
      </c>
      <c r="C10" s="152" t="n">
        <v>0.64</v>
      </c>
      <c r="D10" s="152" t="inlineStr">
        <is>
          <t>1 * 14</t>
        </is>
      </c>
      <c r="E10" s="153" t="n">
        <v>37</v>
      </c>
      <c r="F10" s="153" t="n">
        <v>518</v>
      </c>
      <c r="G10" s="153" t="n">
        <v>331.52</v>
      </c>
      <c r="H10" s="153" t="n">
        <v>1193</v>
      </c>
      <c r="I10" s="153" t="n">
        <v>16702</v>
      </c>
      <c r="J10" s="1294" t="n">
        <v>10689.28</v>
      </c>
      <c r="K10" s="153" t="n">
        <v>577</v>
      </c>
      <c r="L10" s="153" t="n">
        <v>8078</v>
      </c>
      <c r="M10" s="156">
        <f>L10*$C10</f>
        <v/>
      </c>
      <c r="N10" s="153" t="n">
        <v>780</v>
      </c>
      <c r="O10" s="153" t="n">
        <v>10920</v>
      </c>
      <c r="P10" s="156">
        <f>O10*$C10</f>
        <v/>
      </c>
      <c r="Q10" s="153" t="n">
        <v>1275</v>
      </c>
      <c r="R10" s="153" t="n">
        <v>17850</v>
      </c>
      <c r="S10" s="156">
        <f>R10*$C10</f>
        <v/>
      </c>
      <c r="T10" s="153" t="n"/>
      <c r="U10" s="153" t="n"/>
      <c r="V10" s="153" t="n"/>
      <c r="W10" s="153" t="n"/>
      <c r="X10" s="153" t="n"/>
      <c r="Y10" s="153" t="n"/>
      <c r="Z10" s="153" t="n"/>
      <c r="AA10" s="153" t="n"/>
      <c r="AB10" s="153" t="n"/>
      <c r="AC10" s="153" t="n"/>
      <c r="AD10" s="153" t="n"/>
      <c r="AE10" s="153" t="n"/>
      <c r="AF10" s="153" t="n"/>
      <c r="AG10" s="153" t="n"/>
      <c r="AH10" s="153" t="n"/>
      <c r="AI10" s="153" t="n"/>
      <c r="AJ10" s="153" t="n"/>
      <c r="AK10" s="153" t="n"/>
      <c r="AL10" s="153" t="n"/>
      <c r="AM10" s="153" t="n"/>
      <c r="AN10" s="153" t="n"/>
      <c r="AO10" s="1301">
        <f>E10+H10+K10+N10+Q10</f>
        <v/>
      </c>
      <c r="AP10" s="1301">
        <f>F10+I10+L10+O10+R10</f>
        <v/>
      </c>
      <c r="AQ10" s="1301">
        <f>G10+J10+M10+P10+S10</f>
        <v/>
      </c>
      <c r="AR10" s="1301">
        <f>AQ10/5</f>
        <v/>
      </c>
      <c r="AS10" s="194">
        <f>AR10/$AR$23%</f>
        <v/>
      </c>
      <c r="AT10" s="162" t="n">
        <v>4</v>
      </c>
    </row>
    <row r="11" ht="20.1" customHeight="1">
      <c r="A11" s="152" t="n">
        <v>7</v>
      </c>
      <c r="B11" s="151" t="inlineStr">
        <is>
          <t xml:space="preserve">Zayawaddy Red </t>
        </is>
      </c>
      <c r="C11" s="152" t="n">
        <v>0.7</v>
      </c>
      <c r="D11" s="152" t="inlineStr">
        <is>
          <t>1 * 12</t>
        </is>
      </c>
      <c r="E11" s="153" t="n">
        <v>210</v>
      </c>
      <c r="F11" s="153" t="n">
        <v>2520</v>
      </c>
      <c r="G11" s="153" t="n">
        <v>1764</v>
      </c>
      <c r="H11" s="153" t="n">
        <v>270</v>
      </c>
      <c r="I11" s="153" t="n">
        <v>3240</v>
      </c>
      <c r="J11" s="1294" t="n">
        <v>2268</v>
      </c>
      <c r="K11" s="153" t="n">
        <v>250</v>
      </c>
      <c r="L11" s="153" t="n">
        <v>3000</v>
      </c>
      <c r="M11" s="156">
        <f>L11*$C11</f>
        <v/>
      </c>
      <c r="N11" s="153" t="n">
        <v>70</v>
      </c>
      <c r="O11" s="153" t="n">
        <v>840</v>
      </c>
      <c r="P11" s="156">
        <f>O11*$C11</f>
        <v/>
      </c>
      <c r="Q11" s="153" t="n">
        <v>100</v>
      </c>
      <c r="R11" s="153" t="n">
        <v>1200</v>
      </c>
      <c r="S11" s="156">
        <f>R11*$C11</f>
        <v/>
      </c>
      <c r="T11" s="153" t="n"/>
      <c r="U11" s="153" t="n"/>
      <c r="V11" s="153" t="n"/>
      <c r="W11" s="153" t="n"/>
      <c r="X11" s="153" t="n"/>
      <c r="Y11" s="153" t="n"/>
      <c r="Z11" s="153" t="n"/>
      <c r="AA11" s="153" t="n"/>
      <c r="AB11" s="153" t="n"/>
      <c r="AC11" s="153" t="n"/>
      <c r="AD11" s="153" t="n"/>
      <c r="AE11" s="153" t="n"/>
      <c r="AF11" s="153" t="n"/>
      <c r="AG11" s="153" t="n"/>
      <c r="AH11" s="153" t="n"/>
      <c r="AI11" s="153" t="n"/>
      <c r="AJ11" s="153" t="n"/>
      <c r="AK11" s="153" t="n"/>
      <c r="AL11" s="153" t="n"/>
      <c r="AM11" s="153" t="n"/>
      <c r="AN11" s="153" t="n"/>
      <c r="AO11" s="1301">
        <f>E11+H11+K11+N11+Q11</f>
        <v/>
      </c>
      <c r="AP11" s="1301">
        <f>F11+I11+L11+O11+R11</f>
        <v/>
      </c>
      <c r="AQ11" s="1301">
        <f>G11+J11+M11+P11+S11</f>
        <v/>
      </c>
      <c r="AR11" s="1301">
        <f>AQ11/5</f>
        <v/>
      </c>
      <c r="AS11" s="194">
        <f>AR11/$AR$23%</f>
        <v/>
      </c>
    </row>
    <row r="12" ht="20.1" customHeight="1">
      <c r="A12" s="152" t="n">
        <v>8</v>
      </c>
      <c r="B12" s="151" t="inlineStr">
        <is>
          <t xml:space="preserve">Zayawaddy Red </t>
        </is>
      </c>
      <c r="C12" s="152" t="n">
        <v>0.64</v>
      </c>
      <c r="D12" s="152" t="inlineStr">
        <is>
          <t>1 * 14</t>
        </is>
      </c>
      <c r="E12" s="153" t="n">
        <v>1370</v>
      </c>
      <c r="F12" s="153" t="n">
        <v>19180</v>
      </c>
      <c r="G12" s="153" t="n">
        <v>12275.2</v>
      </c>
      <c r="H12" s="153" t="n">
        <v>1007</v>
      </c>
      <c r="I12" s="153" t="n">
        <v>14098</v>
      </c>
      <c r="J12" s="1294" t="n">
        <v>9022.720000000001</v>
      </c>
      <c r="K12" s="153" t="n">
        <v>1415</v>
      </c>
      <c r="L12" s="153" t="n">
        <v>19810</v>
      </c>
      <c r="M12" s="156">
        <f>L12*$C12</f>
        <v/>
      </c>
      <c r="N12" s="153" t="n">
        <v>1360</v>
      </c>
      <c r="O12" s="153" t="n">
        <v>19040</v>
      </c>
      <c r="P12" s="156">
        <f>O12*$C12</f>
        <v/>
      </c>
      <c r="Q12" s="153" t="n">
        <v>1240</v>
      </c>
      <c r="R12" s="153" t="n">
        <v>17360</v>
      </c>
      <c r="S12" s="156">
        <f>R12*$C12</f>
        <v/>
      </c>
      <c r="T12" s="153" t="n"/>
      <c r="U12" s="153" t="n"/>
      <c r="V12" s="153" t="n"/>
      <c r="W12" s="153" t="n"/>
      <c r="X12" s="153" t="n"/>
      <c r="Y12" s="153" t="n"/>
      <c r="Z12" s="153" t="n"/>
      <c r="AA12" s="153" t="n"/>
      <c r="AB12" s="153" t="n"/>
      <c r="AC12" s="153" t="n"/>
      <c r="AD12" s="153" t="n"/>
      <c r="AE12" s="153" t="n"/>
      <c r="AF12" s="153" t="n"/>
      <c r="AG12" s="153" t="n"/>
      <c r="AH12" s="153" t="n"/>
      <c r="AI12" s="153" t="n"/>
      <c r="AJ12" s="153" t="n"/>
      <c r="AK12" s="153" t="n"/>
      <c r="AL12" s="153" t="n"/>
      <c r="AM12" s="153" t="n"/>
      <c r="AN12" s="153" t="n"/>
      <c r="AO12" s="1301">
        <f>E12+H12+K12+N12+Q12</f>
        <v/>
      </c>
      <c r="AP12" s="1301">
        <f>F12+I12+L12+O12+R12</f>
        <v/>
      </c>
      <c r="AQ12" s="1301">
        <f>G12+J12+M12+P12+S12</f>
        <v/>
      </c>
      <c r="AR12" s="1301">
        <f>AQ12/5</f>
        <v/>
      </c>
      <c r="AS12" s="194">
        <f>AR12/$AR$23%</f>
        <v/>
      </c>
      <c r="AT12" s="162" t="n">
        <v>3</v>
      </c>
    </row>
    <row r="13" ht="20.1" customHeight="1">
      <c r="A13" s="152" t="n">
        <v>9</v>
      </c>
      <c r="B13" s="151" t="inlineStr">
        <is>
          <t>မြန်မာရှောက်ပျား</t>
        </is>
      </c>
      <c r="C13" s="152" t="n">
        <v>0.64</v>
      </c>
      <c r="D13" s="152" t="inlineStr">
        <is>
          <t>1 * 14</t>
        </is>
      </c>
      <c r="E13" s="153" t="n">
        <v>4716</v>
      </c>
      <c r="F13" s="153" t="n">
        <v>66024</v>
      </c>
      <c r="G13" s="153" t="n">
        <v>42255.35999999999</v>
      </c>
      <c r="H13" s="153" t="n">
        <v>3746</v>
      </c>
      <c r="I13" s="153" t="n">
        <v>52444</v>
      </c>
      <c r="J13" s="1294" t="n">
        <v>33564.16</v>
      </c>
      <c r="K13" s="153" t="n">
        <v>4343</v>
      </c>
      <c r="L13" s="153" t="n">
        <v>60802</v>
      </c>
      <c r="M13" s="156">
        <f>L13*$C13</f>
        <v/>
      </c>
      <c r="N13" s="153" t="n">
        <v>2875</v>
      </c>
      <c r="O13" s="153" t="n">
        <v>40250</v>
      </c>
      <c r="P13" s="156">
        <f>O13*$C13</f>
        <v/>
      </c>
      <c r="Q13" s="153" t="n">
        <v>3658</v>
      </c>
      <c r="R13" s="153" t="n">
        <v>51219</v>
      </c>
      <c r="S13" s="156">
        <f>R13*$C13</f>
        <v/>
      </c>
      <c r="T13" s="153" t="n"/>
      <c r="U13" s="153" t="n"/>
      <c r="V13" s="153" t="n"/>
      <c r="W13" s="153" t="n"/>
      <c r="X13" s="153" t="n"/>
      <c r="Y13" s="153" t="n"/>
      <c r="Z13" s="153" t="n"/>
      <c r="AA13" s="153" t="n"/>
      <c r="AB13" s="153" t="n"/>
      <c r="AC13" s="153" t="n"/>
      <c r="AD13" s="153" t="n"/>
      <c r="AE13" s="153" t="n"/>
      <c r="AF13" s="153" t="n"/>
      <c r="AG13" s="153" t="n"/>
      <c r="AH13" s="153" t="n"/>
      <c r="AI13" s="153" t="n"/>
      <c r="AJ13" s="153" t="n"/>
      <c r="AK13" s="153" t="n"/>
      <c r="AL13" s="153" t="n"/>
      <c r="AM13" s="153" t="n"/>
      <c r="AN13" s="153" t="n"/>
      <c r="AO13" s="1301">
        <f>E13+H13+K13+N13+Q13</f>
        <v/>
      </c>
      <c r="AP13" s="1301">
        <f>F13+I13+L13+O13+R13</f>
        <v/>
      </c>
      <c r="AQ13" s="1301">
        <f>G13+J13+M13+P13+S13</f>
        <v/>
      </c>
      <c r="AR13" s="1301">
        <f>AQ13/5</f>
        <v/>
      </c>
      <c r="AS13" s="194">
        <f>AR13/$AR$23%</f>
        <v/>
      </c>
      <c r="AT13" s="162" t="n">
        <v>1</v>
      </c>
    </row>
    <row r="14" ht="20.1" customHeight="1">
      <c r="A14" s="152" t="n">
        <v>10</v>
      </c>
      <c r="B14" s="151" t="inlineStr">
        <is>
          <t>သံပုရာအရက်</t>
        </is>
      </c>
      <c r="C14" s="152" t="n">
        <v>0.64</v>
      </c>
      <c r="D14" s="152" t="inlineStr">
        <is>
          <t>1 * 14</t>
        </is>
      </c>
      <c r="E14" s="153" t="n">
        <v>630</v>
      </c>
      <c r="F14" s="153" t="n">
        <v>8820</v>
      </c>
      <c r="G14" s="153" t="n">
        <v>5644.8</v>
      </c>
      <c r="H14" s="153" t="n">
        <v>300</v>
      </c>
      <c r="I14" s="153" t="n">
        <v>4200</v>
      </c>
      <c r="J14" s="1294" t="n">
        <v>2688</v>
      </c>
      <c r="K14" s="153" t="n">
        <v>630</v>
      </c>
      <c r="L14" s="153" t="n">
        <v>8820</v>
      </c>
      <c r="M14" s="156">
        <f>L14*$C14</f>
        <v/>
      </c>
      <c r="N14" s="153" t="n">
        <v>300</v>
      </c>
      <c r="O14" s="153" t="n">
        <v>4200</v>
      </c>
      <c r="P14" s="156">
        <f>O14*$C14</f>
        <v/>
      </c>
      <c r="Q14" s="153" t="n">
        <v>600</v>
      </c>
      <c r="R14" s="153" t="n">
        <v>8400</v>
      </c>
      <c r="S14" s="156">
        <f>R14*$C14</f>
        <v/>
      </c>
      <c r="T14" s="153" t="n"/>
      <c r="U14" s="153" t="n"/>
      <c r="V14" s="153" t="n"/>
      <c r="W14" s="153" t="n"/>
      <c r="X14" s="153" t="n"/>
      <c r="Y14" s="153" t="n"/>
      <c r="Z14" s="153" t="n"/>
      <c r="AA14" s="153" t="n"/>
      <c r="AB14" s="153" t="n"/>
      <c r="AC14" s="153" t="n"/>
      <c r="AD14" s="153" t="n"/>
      <c r="AE14" s="153" t="n"/>
      <c r="AF14" s="153" t="n"/>
      <c r="AG14" s="153" t="n"/>
      <c r="AH14" s="153" t="n"/>
      <c r="AI14" s="153" t="n"/>
      <c r="AJ14" s="153" t="n"/>
      <c r="AK14" s="153" t="n"/>
      <c r="AL14" s="153" t="n"/>
      <c r="AM14" s="153" t="n"/>
      <c r="AN14" s="153" t="n"/>
      <c r="AO14" s="1301">
        <f>E14+H14+K14+N14+Q14</f>
        <v/>
      </c>
      <c r="AP14" s="1301">
        <f>F14+I14+L14+O14+R14</f>
        <v/>
      </c>
      <c r="AQ14" s="1301">
        <f>G14+J14+M14+P14+S14</f>
        <v/>
      </c>
      <c r="AR14" s="1301">
        <f>AQ14/5</f>
        <v/>
      </c>
      <c r="AS14" s="194">
        <f>AR14/$AR$23%</f>
        <v/>
      </c>
      <c r="AT14" s="162" t="n">
        <v>5</v>
      </c>
    </row>
    <row r="15" ht="20.1" customHeight="1">
      <c r="A15" s="152" t="n">
        <v>11</v>
      </c>
      <c r="B15" s="151" t="inlineStr">
        <is>
          <t xml:space="preserve">Dagon Tamarind </t>
        </is>
      </c>
      <c r="C15" s="152" t="n">
        <v>0.64</v>
      </c>
      <c r="D15" s="152" t="inlineStr">
        <is>
          <t>1 * 14</t>
        </is>
      </c>
      <c r="E15" s="153" t="n">
        <v>2</v>
      </c>
      <c r="F15" s="153" t="n">
        <v>28</v>
      </c>
      <c r="G15" s="153" t="n">
        <v>17.92</v>
      </c>
      <c r="H15" s="153" t="n"/>
      <c r="I15" s="153" t="n"/>
      <c r="J15" s="1294">
        <f>I15*$C15</f>
        <v/>
      </c>
      <c r="K15" s="153" t="n">
        <v>20</v>
      </c>
      <c r="L15" s="153" t="n">
        <v>280</v>
      </c>
      <c r="M15" s="156">
        <f>L15*$C15</f>
        <v/>
      </c>
      <c r="N15" s="153" t="n"/>
      <c r="O15" s="153" t="n"/>
      <c r="P15" s="156">
        <f>O15*$C15</f>
        <v/>
      </c>
      <c r="Q15" s="153" t="n"/>
      <c r="R15" s="153" t="n"/>
      <c r="S15" s="156">
        <f>R15*$C15</f>
        <v/>
      </c>
      <c r="T15" s="153" t="n"/>
      <c r="U15" s="153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  <c r="AD15" s="153" t="n"/>
      <c r="AE15" s="153" t="n"/>
      <c r="AF15" s="153" t="n"/>
      <c r="AG15" s="153" t="n"/>
      <c r="AH15" s="153" t="n"/>
      <c r="AI15" s="153" t="n"/>
      <c r="AJ15" s="153" t="n"/>
      <c r="AK15" s="153" t="n"/>
      <c r="AL15" s="153" t="n"/>
      <c r="AM15" s="153" t="n"/>
      <c r="AN15" s="153" t="n"/>
      <c r="AO15" s="1301">
        <f>E15+H15+K15+N15+Q15</f>
        <v/>
      </c>
      <c r="AP15" s="1301">
        <f>F15+I15+L15+O15+R15</f>
        <v/>
      </c>
      <c r="AQ15" s="1301">
        <f>G15+J15+M15+P15+S15</f>
        <v/>
      </c>
      <c r="AR15" s="1301">
        <f>AQ15/5</f>
        <v/>
      </c>
      <c r="AS15" s="194">
        <f>AR15/$AR$23%</f>
        <v/>
      </c>
    </row>
    <row r="16" ht="20.1" customHeight="1">
      <c r="A16" s="152" t="n">
        <v>12</v>
      </c>
      <c r="B16" s="151" t="inlineStr">
        <is>
          <t>ချယ်ရီကော်ဘူး(0.6 Liter)</t>
        </is>
      </c>
      <c r="C16" s="152" t="n">
        <v>0.6</v>
      </c>
      <c r="D16" s="152" t="inlineStr">
        <is>
          <t>1 * 24</t>
        </is>
      </c>
      <c r="E16" s="153" t="n">
        <v>135</v>
      </c>
      <c r="F16" s="163" t="n">
        <v>3270</v>
      </c>
      <c r="G16" s="153" t="n">
        <v>1962</v>
      </c>
      <c r="H16" s="153" t="n">
        <v>109</v>
      </c>
      <c r="I16" s="153" t="n">
        <v>2616</v>
      </c>
      <c r="J16" s="1294" t="n">
        <v>1569.6</v>
      </c>
      <c r="K16" s="153" t="n">
        <v>157</v>
      </c>
      <c r="L16" s="153" t="n">
        <v>3768</v>
      </c>
      <c r="M16" s="156">
        <f>L16*$C16</f>
        <v/>
      </c>
      <c r="N16" s="153" t="n">
        <v>10</v>
      </c>
      <c r="O16" s="153" t="n">
        <v>240</v>
      </c>
      <c r="P16" s="156">
        <f>O16*$C16</f>
        <v/>
      </c>
      <c r="Q16" s="153" t="n">
        <v>107</v>
      </c>
      <c r="R16" s="153" t="n">
        <v>2568</v>
      </c>
      <c r="S16" s="156">
        <f>R16*$C16</f>
        <v/>
      </c>
      <c r="T16" s="153" t="n"/>
      <c r="U16" s="153" t="n"/>
      <c r="V16" s="153" t="n"/>
      <c r="W16" s="153" t="n"/>
      <c r="X16" s="153" t="n"/>
      <c r="Y16" s="153" t="n"/>
      <c r="Z16" s="153" t="n"/>
      <c r="AA16" s="153" t="n"/>
      <c r="AB16" s="153" t="n"/>
      <c r="AC16" s="153" t="n"/>
      <c r="AD16" s="153" t="n"/>
      <c r="AE16" s="153" t="n"/>
      <c r="AF16" s="153" t="n"/>
      <c r="AG16" s="153" t="n"/>
      <c r="AH16" s="153" t="n"/>
      <c r="AI16" s="153" t="n"/>
      <c r="AJ16" s="153" t="n"/>
      <c r="AK16" s="153" t="n"/>
      <c r="AL16" s="153" t="n"/>
      <c r="AM16" s="153" t="n"/>
      <c r="AN16" s="153" t="n"/>
      <c r="AO16" s="1301">
        <f>E16+H16+K16+N16+Q16</f>
        <v/>
      </c>
      <c r="AP16" s="1301">
        <f>F16+I16+L16+O16+R16</f>
        <v/>
      </c>
      <c r="AQ16" s="1301">
        <f>G16+J16+M16+P16+S16</f>
        <v/>
      </c>
      <c r="AR16" s="1301">
        <f>AQ16/5</f>
        <v/>
      </c>
      <c r="AS16" s="194">
        <f>AR16/$AR$23%</f>
        <v/>
      </c>
    </row>
    <row r="17" ht="20.1" customHeight="1">
      <c r="A17" s="152" t="n">
        <v>13</v>
      </c>
      <c r="B17" s="151" t="inlineStr">
        <is>
          <t>ချယ်ရီအရက်သန့်</t>
        </is>
      </c>
      <c r="C17" s="152" t="n">
        <v>0.64</v>
      </c>
      <c r="D17" s="152" t="inlineStr">
        <is>
          <t>1 * 14</t>
        </is>
      </c>
      <c r="E17" s="153" t="n">
        <v>2</v>
      </c>
      <c r="F17" s="153" t="n">
        <v>28</v>
      </c>
      <c r="G17" s="153" t="n">
        <v>17.92</v>
      </c>
      <c r="H17" s="153" t="n"/>
      <c r="I17" s="153" t="n"/>
      <c r="J17" s="1294">
        <f>I17*$C17</f>
        <v/>
      </c>
      <c r="K17" s="153" t="n"/>
      <c r="L17" s="153" t="n"/>
      <c r="M17" s="156">
        <f>L17*$C17</f>
        <v/>
      </c>
      <c r="N17" s="153" t="n"/>
      <c r="O17" s="153" t="n"/>
      <c r="P17" s="156">
        <f>O17*$C17</f>
        <v/>
      </c>
      <c r="Q17" s="153" t="n"/>
      <c r="R17" s="153" t="n"/>
      <c r="S17" s="156">
        <f>R17*$C17</f>
        <v/>
      </c>
      <c r="T17" s="153" t="n"/>
      <c r="U17" s="153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  <c r="AD17" s="153" t="n"/>
      <c r="AE17" s="153" t="n"/>
      <c r="AF17" s="153" t="n"/>
      <c r="AG17" s="153" t="n"/>
      <c r="AH17" s="153" t="n"/>
      <c r="AI17" s="153" t="n"/>
      <c r="AJ17" s="153" t="n"/>
      <c r="AK17" s="153" t="n"/>
      <c r="AL17" s="153" t="n"/>
      <c r="AM17" s="153" t="n"/>
      <c r="AN17" s="153" t="n"/>
      <c r="AO17" s="1301">
        <f>E17+H17+K17+N17+Q17</f>
        <v/>
      </c>
      <c r="AP17" s="1301">
        <f>F17+I17+L17+O17+R17</f>
        <v/>
      </c>
      <c r="AQ17" s="1301">
        <f>G17+J17+M17+P17+S17</f>
        <v/>
      </c>
      <c r="AR17" s="1301">
        <f>AQ17/5</f>
        <v/>
      </c>
      <c r="AS17" s="194">
        <f>AR17/$AR$23%</f>
        <v/>
      </c>
    </row>
    <row r="18" ht="20.1" customHeight="1">
      <c r="A18" s="152" t="n">
        <v>14</v>
      </c>
      <c r="B18" s="151" t="inlineStr">
        <is>
          <t>ချယ်ရီသံပုရာ (1 Liter )</t>
        </is>
      </c>
      <c r="C18" s="152" t="n">
        <v>1</v>
      </c>
      <c r="D18" s="152" t="inlineStr">
        <is>
          <t>1 * 12</t>
        </is>
      </c>
      <c r="E18" s="153" t="n">
        <v>113</v>
      </c>
      <c r="F18" s="153" t="n">
        <v>1366</v>
      </c>
      <c r="G18" s="153" t="n">
        <v>1366</v>
      </c>
      <c r="H18" s="153" t="n">
        <v>77</v>
      </c>
      <c r="I18" s="153" t="n">
        <v>924</v>
      </c>
      <c r="J18" s="1294" t="n">
        <v>924</v>
      </c>
      <c r="K18" s="153" t="n">
        <v>43</v>
      </c>
      <c r="L18" s="153" t="n">
        <v>516</v>
      </c>
      <c r="M18" s="156">
        <f>L18*$C18</f>
        <v/>
      </c>
      <c r="N18" s="153" t="n">
        <v>49</v>
      </c>
      <c r="O18" s="153" t="n">
        <v>588</v>
      </c>
      <c r="P18" s="156">
        <f>O18*$C18</f>
        <v/>
      </c>
      <c r="Q18" s="153" t="n">
        <v>81</v>
      </c>
      <c r="R18" s="153" t="n">
        <v>972</v>
      </c>
      <c r="S18" s="156">
        <f>R18*$C18</f>
        <v/>
      </c>
      <c r="T18" s="153" t="n"/>
      <c r="U18" s="153" t="n"/>
      <c r="V18" s="153" t="n"/>
      <c r="W18" s="153" t="n"/>
      <c r="X18" s="153" t="n"/>
      <c r="Y18" s="153" t="n"/>
      <c r="Z18" s="153" t="n"/>
      <c r="AA18" s="153" t="n"/>
      <c r="AB18" s="153" t="n"/>
      <c r="AC18" s="153" t="n"/>
      <c r="AD18" s="153" t="n"/>
      <c r="AE18" s="153" t="n"/>
      <c r="AF18" s="153" t="n"/>
      <c r="AG18" s="153" t="n"/>
      <c r="AH18" s="153" t="n"/>
      <c r="AI18" s="153" t="n"/>
      <c r="AJ18" s="153" t="n"/>
      <c r="AK18" s="153" t="n"/>
      <c r="AL18" s="153" t="n"/>
      <c r="AM18" s="153" t="n"/>
      <c r="AN18" s="153" t="n"/>
      <c r="AO18" s="1301">
        <f>E18+H18+K18+N18+Q18</f>
        <v/>
      </c>
      <c r="AP18" s="1301">
        <f>F18+I18+L18+O18+R18</f>
        <v/>
      </c>
      <c r="AQ18" s="1301">
        <f>G18+J18+M18+P18+S18</f>
        <v/>
      </c>
      <c r="AR18" s="1301">
        <f>AQ18/5</f>
        <v/>
      </c>
      <c r="AS18" s="194">
        <f>AR18/$AR$23%</f>
        <v/>
      </c>
    </row>
    <row r="19" ht="20.1" customHeight="1">
      <c r="A19" s="152" t="n">
        <v>15</v>
      </c>
      <c r="B19" s="151" t="inlineStr">
        <is>
          <t>ချယ်ရီသံပုရာ (0.6 Liter )</t>
        </is>
      </c>
      <c r="C19" s="152" t="n">
        <v>0.6</v>
      </c>
      <c r="D19" s="152" t="inlineStr">
        <is>
          <t>1 * 24</t>
        </is>
      </c>
      <c r="E19" s="153" t="n">
        <v>11</v>
      </c>
      <c r="F19" s="153" t="n">
        <v>264</v>
      </c>
      <c r="G19" s="153" t="n">
        <v>158.4</v>
      </c>
      <c r="H19" s="153" t="n">
        <v>27</v>
      </c>
      <c r="I19" s="153" t="n">
        <v>648</v>
      </c>
      <c r="J19" s="1294" t="n">
        <v>388.8</v>
      </c>
      <c r="K19" s="153" t="n">
        <v>31</v>
      </c>
      <c r="L19" s="153" t="n">
        <v>744</v>
      </c>
      <c r="M19" s="156">
        <f>L19*$C19</f>
        <v/>
      </c>
      <c r="N19" s="153" t="n"/>
      <c r="O19" s="153" t="n"/>
      <c r="P19" s="156">
        <f>O19*$C19</f>
        <v/>
      </c>
      <c r="Q19" s="153" t="n">
        <v>6</v>
      </c>
      <c r="R19" s="153" t="n">
        <v>144</v>
      </c>
      <c r="S19" s="156">
        <f>R19*$C19</f>
        <v/>
      </c>
      <c r="T19" s="153" t="n"/>
      <c r="U19" s="153" t="n"/>
      <c r="V19" s="153" t="n"/>
      <c r="W19" s="153" t="n"/>
      <c r="X19" s="153" t="n"/>
      <c r="Y19" s="153" t="n"/>
      <c r="Z19" s="153" t="n"/>
      <c r="AA19" s="153" t="n"/>
      <c r="AB19" s="153" t="n"/>
      <c r="AC19" s="153" t="n"/>
      <c r="AD19" s="153" t="n"/>
      <c r="AE19" s="153" t="n"/>
      <c r="AF19" s="153" t="n"/>
      <c r="AG19" s="153" t="n"/>
      <c r="AH19" s="153" t="n"/>
      <c r="AI19" s="153" t="n"/>
      <c r="AJ19" s="153" t="n"/>
      <c r="AK19" s="153" t="n"/>
      <c r="AL19" s="153" t="n"/>
      <c r="AM19" s="153" t="n"/>
      <c r="AN19" s="153" t="n"/>
      <c r="AO19" s="1301">
        <f>E19+H19+K19+N19+Q19</f>
        <v/>
      </c>
      <c r="AP19" s="1301">
        <f>F19+I19+L19+O19+R19</f>
        <v/>
      </c>
      <c r="AQ19" s="1301">
        <f>G19+J19+M19+P19+S19</f>
        <v/>
      </c>
      <c r="AR19" s="1301">
        <f>AQ19/5</f>
        <v/>
      </c>
      <c r="AS19" s="194">
        <f>AR19/$AR$23%</f>
        <v/>
      </c>
    </row>
    <row r="20" ht="20.1" customHeight="1">
      <c r="A20" s="152" t="n">
        <v>16</v>
      </c>
      <c r="B20" s="151" t="inlineStr">
        <is>
          <t>ရွှေမင်းသားခေါင်ရည်</t>
        </is>
      </c>
      <c r="C20" s="152" t="n">
        <v>0.64</v>
      </c>
      <c r="D20" s="152" t="inlineStr">
        <is>
          <t>1 * 24</t>
        </is>
      </c>
      <c r="E20" s="153" t="n"/>
      <c r="F20" s="153" t="n"/>
      <c r="G20" s="153" t="n"/>
      <c r="H20" s="153" t="n">
        <v>5</v>
      </c>
      <c r="I20" s="153" t="n">
        <v>120</v>
      </c>
      <c r="J20" s="1294" t="n">
        <v>76.8</v>
      </c>
      <c r="K20" s="153" t="n">
        <v>14</v>
      </c>
      <c r="L20" s="153" t="n">
        <v>336</v>
      </c>
      <c r="M20" s="156">
        <f>L20*$C20</f>
        <v/>
      </c>
      <c r="N20" s="153" t="n">
        <v>50</v>
      </c>
      <c r="O20" s="153" t="n">
        <v>1200</v>
      </c>
      <c r="P20" s="156">
        <f>O20*$C20</f>
        <v/>
      </c>
      <c r="Q20" s="153" t="n">
        <v>135</v>
      </c>
      <c r="R20" s="153" t="n">
        <v>3250</v>
      </c>
      <c r="S20" s="156">
        <f>R20*$C20</f>
        <v/>
      </c>
      <c r="T20" s="153" t="n"/>
      <c r="U20" s="153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  <c r="AD20" s="153" t="n"/>
      <c r="AE20" s="153" t="n"/>
      <c r="AF20" s="153" t="n"/>
      <c r="AG20" s="153" t="n"/>
      <c r="AH20" s="153" t="n"/>
      <c r="AI20" s="153" t="n"/>
      <c r="AJ20" s="153" t="n"/>
      <c r="AK20" s="153" t="n"/>
      <c r="AL20" s="153" t="n"/>
      <c r="AM20" s="153" t="n"/>
      <c r="AN20" s="153" t="n"/>
      <c r="AO20" s="1301">
        <f>E20+H20+K20+N20+Q20</f>
        <v/>
      </c>
      <c r="AP20" s="1301">
        <f>F20+I20+L20+O20+R20</f>
        <v/>
      </c>
      <c r="AQ20" s="1301">
        <f>G20+J20+M20+P20+S20</f>
        <v/>
      </c>
      <c r="AR20" s="1301">
        <f>AQ20/5</f>
        <v/>
      </c>
      <c r="AS20" s="194">
        <f>AR20/$AR$23%</f>
        <v/>
      </c>
    </row>
    <row r="21" ht="20.1" customHeight="1">
      <c r="A21" s="152" t="n">
        <v>17</v>
      </c>
      <c r="B21" s="151" t="inlineStr">
        <is>
          <t>ရွှေမင်းသားမန်ကျည်းခေါင်ရည်</t>
        </is>
      </c>
      <c r="C21" s="152" t="n">
        <v>0.64</v>
      </c>
      <c r="D21" s="152" t="n"/>
      <c r="E21" s="153" t="n"/>
      <c r="F21" s="153" t="n"/>
      <c r="G21" s="153" t="n"/>
      <c r="H21" s="153" t="n"/>
      <c r="I21" s="153" t="n"/>
      <c r="J21" s="1294" t="n"/>
      <c r="K21" s="153" t="n"/>
      <c r="L21" s="153" t="n"/>
      <c r="M21" s="156" t="n"/>
      <c r="N21" s="153" t="n">
        <v>12</v>
      </c>
      <c r="O21" s="153" t="n">
        <v>168</v>
      </c>
      <c r="P21" s="156">
        <f>O21*$C21</f>
        <v/>
      </c>
      <c r="Q21" s="153" t="n">
        <v>163</v>
      </c>
      <c r="R21" s="153" t="n">
        <v>2282</v>
      </c>
      <c r="S21" s="156">
        <f>R21*$C21</f>
        <v/>
      </c>
      <c r="T21" s="153" t="n"/>
      <c r="U21" s="153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  <c r="AD21" s="153" t="n"/>
      <c r="AE21" s="153" t="n"/>
      <c r="AF21" s="153" t="n"/>
      <c r="AG21" s="153" t="n"/>
      <c r="AH21" s="153" t="n"/>
      <c r="AI21" s="153" t="n"/>
      <c r="AJ21" s="153" t="n"/>
      <c r="AK21" s="153" t="n"/>
      <c r="AL21" s="153" t="n"/>
      <c r="AM21" s="153" t="n"/>
      <c r="AN21" s="153" t="n"/>
      <c r="AO21" s="1301">
        <f>E21+H21+K21+N21+Q21</f>
        <v/>
      </c>
      <c r="AP21" s="1301">
        <f>F21+I21+L21+O21+R21</f>
        <v/>
      </c>
      <c r="AQ21" s="1301">
        <f>G21+J21+M21+P21+S21</f>
        <v/>
      </c>
      <c r="AR21" s="1301">
        <f>AQ21/5</f>
        <v/>
      </c>
      <c r="AS21" s="194">
        <f>AR21/$AR$23%</f>
        <v/>
      </c>
    </row>
    <row r="22" ht="20.1" customHeight="1">
      <c r="A22" s="152" t="n">
        <v>18</v>
      </c>
      <c r="B22" s="151" t="inlineStr">
        <is>
          <t xml:space="preserve">White Orange </t>
        </is>
      </c>
      <c r="C22" s="152" t="n">
        <v>0.64</v>
      </c>
      <c r="D22" s="152" t="inlineStr">
        <is>
          <t>1 * 24</t>
        </is>
      </c>
      <c r="E22" s="153" t="n">
        <v>873</v>
      </c>
      <c r="F22" s="153" t="n">
        <v>20952</v>
      </c>
      <c r="G22" s="153" t="n">
        <v>13409.28</v>
      </c>
      <c r="H22" s="153" t="n">
        <v>575</v>
      </c>
      <c r="I22" s="153" t="n">
        <v>13800</v>
      </c>
      <c r="J22" s="1294" t="n">
        <v>8832.000000000002</v>
      </c>
      <c r="K22" s="153" t="n">
        <v>970</v>
      </c>
      <c r="L22" s="153" t="n">
        <v>23280</v>
      </c>
      <c r="M22" s="156">
        <f>L22*$C22</f>
        <v/>
      </c>
      <c r="N22" s="153" t="n">
        <v>660</v>
      </c>
      <c r="O22" s="153" t="n">
        <v>15840</v>
      </c>
      <c r="P22" s="156">
        <f>O22*$C22</f>
        <v/>
      </c>
      <c r="Q22" s="153" t="n">
        <v>652</v>
      </c>
      <c r="R22" s="153" t="n">
        <v>15648</v>
      </c>
      <c r="S22" s="156">
        <f>R22*$C22</f>
        <v/>
      </c>
      <c r="T22" s="153" t="n"/>
      <c r="U22" s="153" t="n"/>
      <c r="V22" s="153" t="n"/>
      <c r="W22" s="153" t="n"/>
      <c r="X22" s="153" t="n"/>
      <c r="Y22" s="153" t="n"/>
      <c r="Z22" s="153" t="n"/>
      <c r="AA22" s="153" t="n"/>
      <c r="AB22" s="153" t="n"/>
      <c r="AC22" s="153" t="n"/>
      <c r="AD22" s="153" t="n"/>
      <c r="AE22" s="153" t="n"/>
      <c r="AF22" s="153" t="n"/>
      <c r="AG22" s="153" t="n"/>
      <c r="AH22" s="153" t="n"/>
      <c r="AI22" s="153" t="n"/>
      <c r="AJ22" s="153" t="n"/>
      <c r="AK22" s="153" t="n"/>
      <c r="AL22" s="153" t="n"/>
      <c r="AM22" s="153" t="n"/>
      <c r="AN22" s="153" t="n"/>
      <c r="AO22" s="1301">
        <f>E22+H22+K22+N22+Q22</f>
        <v/>
      </c>
      <c r="AP22" s="1301">
        <f>F22+I22+L22+O22+R22</f>
        <v/>
      </c>
      <c r="AQ22" s="1301">
        <f>G22+J22+M22+P22+S22</f>
        <v/>
      </c>
      <c r="AR22" s="1301">
        <f>AQ22/5</f>
        <v/>
      </c>
      <c r="AS22" s="194">
        <f>AR22/$AR$23%</f>
        <v/>
      </c>
      <c r="AT22" s="162" t="n">
        <v>2</v>
      </c>
    </row>
    <row r="23" ht="20.1" customHeight="1">
      <c r="A23" s="152" t="n"/>
      <c r="B23" s="151" t="inlineStr">
        <is>
          <t>Total</t>
        </is>
      </c>
      <c r="C23" s="152" t="n"/>
      <c r="D23" s="152" t="n"/>
      <c r="E23" s="1297">
        <f>SUM(E5:E22)</f>
        <v/>
      </c>
      <c r="F23" s="1297">
        <f>SUM(F5:F22)</f>
        <v/>
      </c>
      <c r="G23" s="1297">
        <f>SUM(G5:G22)</f>
        <v/>
      </c>
      <c r="H23" s="1297">
        <f>SUM(H5:H22)</f>
        <v/>
      </c>
      <c r="I23" s="1297">
        <f>SUM(I5:I22)</f>
        <v/>
      </c>
      <c r="J23" s="1297">
        <f>SUM(J5:J22)</f>
        <v/>
      </c>
      <c r="K23" s="1297">
        <f>SUM(K5:K22)</f>
        <v/>
      </c>
      <c r="L23" s="1297">
        <f>SUM(L5:L22)</f>
        <v/>
      </c>
      <c r="M23" s="1297">
        <f>SUM(M5:M22)</f>
        <v/>
      </c>
      <c r="N23" s="1297">
        <f>SUM(N5:N22)</f>
        <v/>
      </c>
      <c r="O23" s="1297">
        <f>SUM(O5:O22)</f>
        <v/>
      </c>
      <c r="P23" s="1297">
        <f>SUM(P5:P22)</f>
        <v/>
      </c>
      <c r="Q23" s="1297">
        <f>SUM(Q5:Q22)</f>
        <v/>
      </c>
      <c r="R23" s="1297">
        <f>SUM(R5:R22)</f>
        <v/>
      </c>
      <c r="S23" s="1297">
        <f>SUM(S5:S22)</f>
        <v/>
      </c>
      <c r="T23" s="1297">
        <f>SUM(T5:T22)</f>
        <v/>
      </c>
      <c r="U23" s="1297">
        <f>SUM(U5:U22)</f>
        <v/>
      </c>
      <c r="V23" s="1297">
        <f>SUM(V5:V22)</f>
        <v/>
      </c>
      <c r="W23" s="1297">
        <f>SUM(W5:W22)</f>
        <v/>
      </c>
      <c r="X23" s="1297">
        <f>SUM(X5:X22)</f>
        <v/>
      </c>
      <c r="Y23" s="1297">
        <f>SUM(Y5:Y22)</f>
        <v/>
      </c>
      <c r="Z23" s="1297">
        <f>SUM(Z5:Z22)</f>
        <v/>
      </c>
      <c r="AA23" s="1297">
        <f>SUM(AA5:AA22)</f>
        <v/>
      </c>
      <c r="AB23" s="1297">
        <f>SUM(AB5:AB22)</f>
        <v/>
      </c>
      <c r="AC23" s="1297">
        <f>SUM(AC5:AC22)</f>
        <v/>
      </c>
      <c r="AD23" s="1297">
        <f>SUM(AD5:AD22)</f>
        <v/>
      </c>
      <c r="AE23" s="1297">
        <f>SUM(AE5:AE22)</f>
        <v/>
      </c>
      <c r="AF23" s="1297">
        <f>SUM(AF5:AF22)</f>
        <v/>
      </c>
      <c r="AG23" s="1297">
        <f>SUM(AG5:AG22)</f>
        <v/>
      </c>
      <c r="AH23" s="1297">
        <f>SUM(AH5:AH22)</f>
        <v/>
      </c>
      <c r="AI23" s="1297">
        <f>SUM(AI5:AI22)</f>
        <v/>
      </c>
      <c r="AJ23" s="1297">
        <f>SUM(AJ5:AJ22)</f>
        <v/>
      </c>
      <c r="AK23" s="1297">
        <f>SUM(AK5:AK22)</f>
        <v/>
      </c>
      <c r="AL23" s="1297">
        <f>SUM(AL5:AL22)</f>
        <v/>
      </c>
      <c r="AM23" s="1297">
        <f>SUM(AM5:AM22)</f>
        <v/>
      </c>
      <c r="AN23" s="1297">
        <f>SUM(AN5:AN22)</f>
        <v/>
      </c>
      <c r="AO23" s="1301">
        <f>E23+H23+K23+N23+Q23</f>
        <v/>
      </c>
      <c r="AP23" s="1301">
        <f>F23+I23+L23+O23+R23</f>
        <v/>
      </c>
      <c r="AQ23" s="1301">
        <f>G23+J23+M23+P23+S23</f>
        <v/>
      </c>
      <c r="AR23" s="1301">
        <f>AQ23/5</f>
        <v/>
      </c>
      <c r="AS23" s="194">
        <f>AR23/$AR$23%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  <pageSetup orientation="portrait" horizontalDpi="0" verticalDpi="0"/>
</worksheet>
</file>

<file path=xl/worksheets/sheet18.xml><?xml version="1.0" encoding="utf-8"?>
<worksheet xmlns="http://schemas.openxmlformats.org/spreadsheetml/2006/main">
  <sheetPr>
    <tabColor rgb="FFFF0000"/>
    <outlinePr summaryBelow="1" summaryRight="1"/>
    <pageSetUpPr/>
  </sheetPr>
  <dimension ref="A1:AT30"/>
  <sheetViews>
    <sheetView workbookViewId="0">
      <pane xSplit="4" ySplit="4" topLeftCell="E14" activePane="bottomRight" state="frozen"/>
      <selection activeCell="AP10" sqref="AP10"/>
      <selection pane="topRight" activeCell="AP10" sqref="AP10"/>
      <selection pane="bottomLeft" activeCell="AP10" sqref="AP10"/>
      <selection pane="bottomRight" activeCell="C17" sqref="C17:D17"/>
    </sheetView>
  </sheetViews>
  <sheetFormatPr baseColWidth="8" defaultColWidth="9.109375" defaultRowHeight="13.8"/>
  <cols>
    <col width="4.109375" customWidth="1" style="190" min="1" max="1"/>
    <col width="27.109375" customWidth="1" style="162" min="2" max="2"/>
    <col width="8.88671875" customWidth="1" style="162" min="3" max="3"/>
    <col width="10.88671875" customWidth="1" style="162" min="4" max="4"/>
    <col width="9.5546875" customWidth="1" style="162" min="5" max="5"/>
    <col width="11.5546875" customWidth="1" style="162" min="6" max="6"/>
    <col width="10.5546875" customWidth="1" style="162" min="7" max="7"/>
    <col width="9.33203125" bestFit="1" customWidth="1" style="162" min="8" max="12"/>
    <col width="10.5546875" bestFit="1" customWidth="1" style="162" min="13" max="13"/>
    <col width="9.33203125" bestFit="1" customWidth="1" style="162" min="14" max="15"/>
    <col width="10.5546875" bestFit="1" customWidth="1" style="162" min="16" max="16"/>
    <col width="9.33203125" bestFit="1" customWidth="1" style="162" min="17" max="18"/>
    <col width="10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45" customHeight="1">
      <c r="A1" s="189" t="n"/>
      <c r="B1" s="160" t="inlineStr">
        <is>
          <t>2025 - Sales Details Meiktila (Wantwin Township)</t>
        </is>
      </c>
      <c r="C1" s="161" t="n"/>
      <c r="D1" s="159" t="n"/>
    </row>
    <row r="2" ht="13.5" customHeight="1"/>
    <row r="3" ht="40.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21.75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Litre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Litre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Litre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Litre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Litre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Litre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Litre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Litre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Litre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Litre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Litre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1" customHeight="1">
      <c r="A5" s="152" t="n">
        <v>1</v>
      </c>
      <c r="B5" s="151" t="inlineStr">
        <is>
          <t>"Zay" Vodka 700-ml</t>
        </is>
      </c>
      <c r="C5" s="152" t="n">
        <v>0.7</v>
      </c>
      <c r="D5" s="152" t="inlineStr">
        <is>
          <t>1 * 12</t>
        </is>
      </c>
      <c r="E5" s="164" t="n">
        <v>5</v>
      </c>
      <c r="F5" s="164" t="n">
        <v>60</v>
      </c>
      <c r="G5" s="164" t="n">
        <v>42</v>
      </c>
      <c r="H5" s="164" t="n">
        <v>5</v>
      </c>
      <c r="I5" s="164" t="n">
        <v>60</v>
      </c>
      <c r="J5" s="1302">
        <f>I5*$C5</f>
        <v/>
      </c>
      <c r="K5" s="164" t="n">
        <v>3</v>
      </c>
      <c r="L5" s="164" t="n">
        <v>36</v>
      </c>
      <c r="M5" s="166">
        <f>L5*$C5</f>
        <v/>
      </c>
      <c r="N5" s="164" t="n">
        <v>5</v>
      </c>
      <c r="O5" s="164" t="n">
        <v>60</v>
      </c>
      <c r="P5" s="166">
        <f>O5*$C5</f>
        <v/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  <c r="AI5" s="164" t="n"/>
      <c r="AJ5" s="164" t="n"/>
      <c r="AK5" s="164" t="n"/>
      <c r="AL5" s="164" t="n"/>
      <c r="AM5" s="164" t="n"/>
      <c r="AN5" s="164" t="n"/>
      <c r="AO5" s="1303">
        <f>E5+H5+K5+N5+Q5</f>
        <v/>
      </c>
      <c r="AP5" s="1303">
        <f>F5+I5+L5+O5+R5</f>
        <v/>
      </c>
      <c r="AQ5" s="1303">
        <f>G5+J5+M5+P5+S5</f>
        <v/>
      </c>
      <c r="AR5" s="1303">
        <f>AQ5/5</f>
        <v/>
      </c>
      <c r="AS5" s="188">
        <f>AR5/$AR$30%</f>
        <v/>
      </c>
    </row>
    <row r="6" ht="20.1" customHeight="1">
      <c r="A6" s="152" t="n">
        <v>2</v>
      </c>
      <c r="B6" s="151" t="inlineStr">
        <is>
          <t>"Zay" - 640ml</t>
        </is>
      </c>
      <c r="C6" s="152" t="n">
        <v>0.64</v>
      </c>
      <c r="D6" s="152" t="inlineStr">
        <is>
          <t>1 * 14</t>
        </is>
      </c>
      <c r="E6" s="164" t="n">
        <v>636</v>
      </c>
      <c r="F6" s="164" t="n">
        <v>8904</v>
      </c>
      <c r="G6" s="164" t="n">
        <v>5699</v>
      </c>
      <c r="H6" s="164" t="n">
        <v>473</v>
      </c>
      <c r="I6" s="164" t="n">
        <v>6622</v>
      </c>
      <c r="J6" s="1302">
        <f>I6*$C6</f>
        <v/>
      </c>
      <c r="K6" s="164" t="n">
        <v>1557</v>
      </c>
      <c r="L6" s="164" t="n">
        <v>21807</v>
      </c>
      <c r="M6" s="166">
        <f>L6*$C6</f>
        <v/>
      </c>
      <c r="N6" s="164" t="n">
        <v>449</v>
      </c>
      <c r="O6" s="164" t="n">
        <v>6286</v>
      </c>
      <c r="P6" s="166">
        <f>O6*$C6</f>
        <v/>
      </c>
      <c r="Q6" s="164" t="n">
        <v>814</v>
      </c>
      <c r="R6" s="164" t="n">
        <v>11396</v>
      </c>
      <c r="S6" s="166">
        <f>R6*$C6</f>
        <v/>
      </c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  <c r="AI6" s="164" t="n"/>
      <c r="AJ6" s="164" t="n"/>
      <c r="AK6" s="164" t="n"/>
      <c r="AL6" s="164" t="n"/>
      <c r="AM6" s="164" t="n"/>
      <c r="AN6" s="164" t="n"/>
      <c r="AO6" s="1303">
        <f>E6+H6+K6+N6+Q6</f>
        <v/>
      </c>
      <c r="AP6" s="1303">
        <f>F6+I6+L6+O6+R6</f>
        <v/>
      </c>
      <c r="AQ6" s="1303">
        <f>G6+J6+M6+P6+S6</f>
        <v/>
      </c>
      <c r="AR6" s="1303">
        <f>AQ6/5</f>
        <v/>
      </c>
      <c r="AS6" s="188">
        <f>AR6/$AR$30%</f>
        <v/>
      </c>
      <c r="AT6" s="162" t="n">
        <v>5</v>
      </c>
    </row>
    <row r="7" ht="20.1" customHeight="1">
      <c r="A7" s="152" t="n">
        <v>3</v>
      </c>
      <c r="B7" s="151" t="inlineStr">
        <is>
          <t>Kaung Kyi (1 Liter)_25%</t>
        </is>
      </c>
      <c r="C7" s="152" t="n">
        <v>1</v>
      </c>
      <c r="D7" s="152" t="inlineStr">
        <is>
          <t>1 * 12</t>
        </is>
      </c>
      <c r="E7" s="164" t="n">
        <v>345</v>
      </c>
      <c r="F7" s="164" t="n">
        <v>4140</v>
      </c>
      <c r="G7" s="164" t="n">
        <v>4140</v>
      </c>
      <c r="H7" s="164" t="n">
        <v>310</v>
      </c>
      <c r="I7" s="164" t="n">
        <v>3720</v>
      </c>
      <c r="J7" s="1302" t="n">
        <v>3720</v>
      </c>
      <c r="K7" s="164" t="n">
        <v>359</v>
      </c>
      <c r="L7" s="164" t="n">
        <v>4308</v>
      </c>
      <c r="M7" s="166">
        <f>L7*$C7</f>
        <v/>
      </c>
      <c r="N7" s="164" t="n">
        <v>275</v>
      </c>
      <c r="O7" s="164" t="n">
        <v>3300</v>
      </c>
      <c r="P7" s="166">
        <f>O7*$C7</f>
        <v/>
      </c>
      <c r="Q7" s="164" t="n">
        <v>253</v>
      </c>
      <c r="R7" s="164" t="n">
        <v>3036</v>
      </c>
      <c r="S7" s="166">
        <f>R7*$C7</f>
        <v/>
      </c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  <c r="AI7" s="164" t="n"/>
      <c r="AJ7" s="164" t="n"/>
      <c r="AK7" s="164" t="n"/>
      <c r="AL7" s="164" t="n"/>
      <c r="AM7" s="164" t="n"/>
      <c r="AN7" s="164" t="n"/>
      <c r="AO7" s="1303">
        <f>E7+H7+K7+N7+Q7</f>
        <v/>
      </c>
      <c r="AP7" s="1303">
        <f>F7+I7+L7+O7+R7</f>
        <v/>
      </c>
      <c r="AQ7" s="1303">
        <f>G7+J7+M7+P7+S7</f>
        <v/>
      </c>
      <c r="AR7" s="1303">
        <f>AQ7/5</f>
        <v/>
      </c>
      <c r="AS7" s="188">
        <f>AR7/$AR$30%</f>
        <v/>
      </c>
    </row>
    <row r="8" ht="20.1" customHeight="1">
      <c r="A8" s="152" t="n">
        <v>4</v>
      </c>
      <c r="B8" s="151" t="inlineStr">
        <is>
          <t>Kaung Kyi (0.6 Liter)_25%</t>
        </is>
      </c>
      <c r="C8" s="152" t="n">
        <v>0.6</v>
      </c>
      <c r="D8" s="152" t="inlineStr">
        <is>
          <t>1 * 12</t>
        </is>
      </c>
      <c r="E8" s="164" t="n">
        <v>35</v>
      </c>
      <c r="F8" s="164" t="n">
        <v>420</v>
      </c>
      <c r="G8" s="164" t="n">
        <v>252</v>
      </c>
      <c r="H8" s="164" t="n">
        <v>28</v>
      </c>
      <c r="I8" s="164" t="n">
        <v>336</v>
      </c>
      <c r="J8" s="1302" t="n">
        <v>201.6</v>
      </c>
      <c r="K8" s="164" t="n">
        <v>25</v>
      </c>
      <c r="L8" s="164" t="n">
        <v>300</v>
      </c>
      <c r="M8" s="166">
        <f>L8*$C8</f>
        <v/>
      </c>
      <c r="N8" s="164" t="n">
        <v>48</v>
      </c>
      <c r="O8" s="164" t="n">
        <v>576</v>
      </c>
      <c r="P8" s="166">
        <f>O8*$C8</f>
        <v/>
      </c>
      <c r="Q8" s="164" t="n">
        <v>20</v>
      </c>
      <c r="R8" s="164" t="n">
        <v>240</v>
      </c>
      <c r="S8" s="166">
        <f>R8*$C8</f>
        <v/>
      </c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  <c r="AI8" s="164" t="n"/>
      <c r="AJ8" s="164" t="n"/>
      <c r="AK8" s="164" t="n"/>
      <c r="AL8" s="164" t="n"/>
      <c r="AM8" s="164" t="n"/>
      <c r="AN8" s="164" t="n"/>
      <c r="AO8" s="1303">
        <f>E8+H8+K8+N8+Q8</f>
        <v/>
      </c>
      <c r="AP8" s="1303">
        <f>F8+I8+L8+O8+R8</f>
        <v/>
      </c>
      <c r="AQ8" s="1303">
        <f>G8+J8+M8+P8+S8</f>
        <v/>
      </c>
      <c r="AR8" s="1303">
        <f>AQ8/5</f>
        <v/>
      </c>
      <c r="AS8" s="188">
        <f>AR8/$AR$30%</f>
        <v/>
      </c>
    </row>
    <row r="9" ht="20.1" customHeight="1">
      <c r="A9" s="152" t="n">
        <v>5</v>
      </c>
      <c r="B9" s="151" t="inlineStr">
        <is>
          <t xml:space="preserve">Kaung Kyi </t>
        </is>
      </c>
      <c r="C9" s="152" t="n">
        <v>0.64</v>
      </c>
      <c r="D9" s="152" t="inlineStr">
        <is>
          <t>1 * 14</t>
        </is>
      </c>
      <c r="E9" s="164" t="n">
        <v>1227</v>
      </c>
      <c r="F9" s="164" t="n">
        <v>17178</v>
      </c>
      <c r="G9" s="164" t="n">
        <v>10994</v>
      </c>
      <c r="H9" s="164" t="n">
        <v>1135</v>
      </c>
      <c r="I9" s="164" t="n">
        <v>15890</v>
      </c>
      <c r="J9" s="1302" t="n">
        <v>10169.6</v>
      </c>
      <c r="K9" s="164" t="n">
        <v>1240</v>
      </c>
      <c r="L9" s="164" t="n">
        <v>17360</v>
      </c>
      <c r="M9" s="166">
        <f>L9*$C9</f>
        <v/>
      </c>
      <c r="N9" s="164" t="n">
        <v>669</v>
      </c>
      <c r="O9" s="164" t="n">
        <v>9366</v>
      </c>
      <c r="P9" s="166">
        <f>O9*$C9</f>
        <v/>
      </c>
      <c r="Q9" s="164" t="n">
        <v>944</v>
      </c>
      <c r="R9" s="164" t="n">
        <v>13216</v>
      </c>
      <c r="S9" s="166">
        <f>R9*$C9</f>
        <v/>
      </c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64" t="n"/>
      <c r="AJ9" s="164" t="n"/>
      <c r="AK9" s="164" t="n"/>
      <c r="AL9" s="164" t="n"/>
      <c r="AM9" s="164" t="n"/>
      <c r="AN9" s="164" t="n"/>
      <c r="AO9" s="1303">
        <f>E9+H9+K9+N9+Q9</f>
        <v/>
      </c>
      <c r="AP9" s="1303">
        <f>F9+I9+L9+O9+R9</f>
        <v/>
      </c>
      <c r="AQ9" s="1303">
        <f>G9+J9+M9+P9+S9</f>
        <v/>
      </c>
      <c r="AR9" s="1303">
        <f>AQ9/5</f>
        <v/>
      </c>
      <c r="AS9" s="188">
        <f>AR9/$AR$30%</f>
        <v/>
      </c>
      <c r="AT9" s="162" t="n">
        <v>3</v>
      </c>
    </row>
    <row r="10" ht="20.1" customHeight="1">
      <c r="A10" s="152" t="n">
        <v>6</v>
      </c>
      <c r="B10" s="151" t="inlineStr">
        <is>
          <t>မိုးနဲကွန်ကီကော်ဘူး(1 Liter)</t>
        </is>
      </c>
      <c r="C10" s="152" t="n">
        <v>1</v>
      </c>
      <c r="D10" s="152" t="inlineStr">
        <is>
          <t>1 * 12</t>
        </is>
      </c>
      <c r="E10" s="164" t="n"/>
      <c r="F10" s="164" t="n"/>
      <c r="G10" s="164" t="n"/>
      <c r="H10" s="164" t="n"/>
      <c r="I10" s="164" t="n"/>
      <c r="J10" s="1302">
        <f>I10*$C10</f>
        <v/>
      </c>
      <c r="K10" s="164" t="n">
        <v>1</v>
      </c>
      <c r="L10" s="164" t="n">
        <v>24</v>
      </c>
      <c r="M10" s="166">
        <f>L10*$C10</f>
        <v/>
      </c>
      <c r="N10" s="164" t="n">
        <v>4</v>
      </c>
      <c r="O10" s="164" t="n">
        <v>48</v>
      </c>
      <c r="P10" s="166">
        <f>O10*$C10</f>
        <v/>
      </c>
      <c r="Q10" s="164" t="n">
        <v>5</v>
      </c>
      <c r="R10" s="164" t="n">
        <v>60</v>
      </c>
      <c r="S10" s="166">
        <f>R10*$C10</f>
        <v/>
      </c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I10" s="164" t="n"/>
      <c r="AJ10" s="164" t="n"/>
      <c r="AK10" s="164" t="n"/>
      <c r="AL10" s="164" t="n"/>
      <c r="AM10" s="164" t="n"/>
      <c r="AN10" s="164" t="n"/>
      <c r="AO10" s="1303">
        <f>E10+H10+K10+N10+Q10</f>
        <v/>
      </c>
      <c r="AP10" s="1303">
        <f>F10+I10+L10+O10+R10</f>
        <v/>
      </c>
      <c r="AQ10" s="1303">
        <f>G10+J10+M10+P10+S10</f>
        <v/>
      </c>
      <c r="AR10" s="1303">
        <f>AQ10/5</f>
        <v/>
      </c>
      <c r="AS10" s="188">
        <f>AR10/$AR$30%</f>
        <v/>
      </c>
    </row>
    <row r="11" ht="20.1" customHeight="1">
      <c r="A11" s="152" t="n">
        <v>7</v>
      </c>
      <c r="B11" s="151" t="inlineStr">
        <is>
          <t xml:space="preserve">Moe Nae Kon Ki </t>
        </is>
      </c>
      <c r="C11" s="152" t="n">
        <v>0.64</v>
      </c>
      <c r="D11" s="152" t="inlineStr">
        <is>
          <t>1 * 14</t>
        </is>
      </c>
      <c r="E11" s="164" t="n">
        <v>29</v>
      </c>
      <c r="F11" s="164" t="n">
        <v>406</v>
      </c>
      <c r="G11" s="164" t="n">
        <v>260</v>
      </c>
      <c r="H11" s="164" t="n">
        <v>31</v>
      </c>
      <c r="I11" s="164" t="n">
        <v>434</v>
      </c>
      <c r="J11" s="1302" t="n">
        <v>277.76</v>
      </c>
      <c r="K11" s="164" t="n">
        <v>35</v>
      </c>
      <c r="L11" s="164" t="n">
        <v>490</v>
      </c>
      <c r="M11" s="166">
        <f>L11*$C11</f>
        <v/>
      </c>
      <c r="N11" s="164" t="n">
        <v>18</v>
      </c>
      <c r="O11" s="164" t="n">
        <v>252</v>
      </c>
      <c r="P11" s="166">
        <f>O11*$C11</f>
        <v/>
      </c>
      <c r="Q11" s="164" t="n">
        <v>38</v>
      </c>
      <c r="R11" s="164" t="n">
        <v>532</v>
      </c>
      <c r="S11" s="166">
        <f>R11*$C11</f>
        <v/>
      </c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I11" s="164" t="n"/>
      <c r="AJ11" s="164" t="n"/>
      <c r="AK11" s="164" t="n"/>
      <c r="AL11" s="164" t="n"/>
      <c r="AM11" s="164" t="n"/>
      <c r="AN11" s="164" t="n"/>
      <c r="AO11" s="1303">
        <f>E11+H11+K11+N11+Q11</f>
        <v/>
      </c>
      <c r="AP11" s="1303">
        <f>F11+I11+L11+O11+R11</f>
        <v/>
      </c>
      <c r="AQ11" s="1303">
        <f>G11+J11+M11+P11+S11</f>
        <v/>
      </c>
      <c r="AR11" s="1303">
        <f>AQ11/5</f>
        <v/>
      </c>
      <c r="AS11" s="188">
        <f>AR11/$AR$30%</f>
        <v/>
      </c>
    </row>
    <row r="12" ht="20.1" customHeight="1">
      <c r="A12" s="152" t="n">
        <v>8</v>
      </c>
      <c r="B12" s="151" t="inlineStr">
        <is>
          <t>Zeyawaddy Rum (43%)</t>
        </is>
      </c>
      <c r="C12" s="152" t="n">
        <v>0.68</v>
      </c>
      <c r="D12" s="152" t="inlineStr">
        <is>
          <t>1 * 12</t>
        </is>
      </c>
      <c r="E12" s="164" t="n"/>
      <c r="F12" s="164" t="n"/>
      <c r="G12" s="164" t="n"/>
      <c r="H12" s="164" t="n"/>
      <c r="I12" s="164" t="n"/>
      <c r="J12" s="1302">
        <f>I12*$C12</f>
        <v/>
      </c>
      <c r="K12" s="164" t="n"/>
      <c r="L12" s="164" t="n"/>
      <c r="M12" s="166">
        <f>L12*$C12</f>
        <v/>
      </c>
      <c r="N12" s="164" t="n">
        <v>75</v>
      </c>
      <c r="O12" s="164" t="n">
        <v>900</v>
      </c>
      <c r="P12" s="166">
        <f>O12*$C12</f>
        <v/>
      </c>
      <c r="Q12" s="164" t="n">
        <v>20</v>
      </c>
      <c r="R12" s="164" t="n">
        <v>240</v>
      </c>
      <c r="S12" s="166">
        <f>R12*$C12</f>
        <v/>
      </c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  <c r="AI12" s="164" t="n"/>
      <c r="AJ12" s="164" t="n"/>
      <c r="AK12" s="164" t="n"/>
      <c r="AL12" s="164" t="n"/>
      <c r="AM12" s="164" t="n"/>
      <c r="AN12" s="164" t="n"/>
      <c r="AO12" s="1303">
        <f>E12+H12+K12+N12+Q12</f>
        <v/>
      </c>
      <c r="AP12" s="1303">
        <f>F12+I12+L12+O12+R12</f>
        <v/>
      </c>
      <c r="AQ12" s="1303">
        <f>G12+J12+M12+P12+S12</f>
        <v/>
      </c>
      <c r="AR12" s="1303">
        <f>AQ12/5</f>
        <v/>
      </c>
      <c r="AS12" s="188">
        <f>AR12/$AR$30%</f>
        <v/>
      </c>
    </row>
    <row r="13" ht="20.1" customHeight="1">
      <c r="A13" s="152" t="n">
        <v>9</v>
      </c>
      <c r="B13" s="151" t="inlineStr">
        <is>
          <t xml:space="preserve">Zayawaddy Red </t>
        </is>
      </c>
      <c r="C13" s="152" t="n">
        <v>0.64</v>
      </c>
      <c r="D13" s="152" t="inlineStr">
        <is>
          <t>1 * 14</t>
        </is>
      </c>
      <c r="E13" s="164" t="n"/>
      <c r="F13" s="164" t="n"/>
      <c r="G13" s="164" t="n"/>
      <c r="H13" s="164" t="n"/>
      <c r="I13" s="164" t="n"/>
      <c r="J13" s="1302">
        <f>I13*$C13</f>
        <v/>
      </c>
      <c r="K13" s="164" t="n">
        <v>50</v>
      </c>
      <c r="L13" s="164" t="n">
        <v>700</v>
      </c>
      <c r="M13" s="166">
        <f>L13*$C13</f>
        <v/>
      </c>
      <c r="N13" s="164" t="n"/>
      <c r="O13" s="164" t="n"/>
      <c r="P13" s="166">
        <f>O13*$C13</f>
        <v/>
      </c>
      <c r="Q13" s="164" t="n"/>
      <c r="R13" s="164" t="n"/>
      <c r="S13" s="166">
        <f>R13*$C13</f>
        <v/>
      </c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  <c r="AI13" s="164" t="n"/>
      <c r="AJ13" s="164" t="n"/>
      <c r="AK13" s="164" t="n"/>
      <c r="AL13" s="164" t="n"/>
      <c r="AM13" s="164" t="n"/>
      <c r="AN13" s="164" t="n"/>
      <c r="AO13" s="1303">
        <f>E13+H13+K13+N13+Q13</f>
        <v/>
      </c>
      <c r="AP13" s="1303">
        <f>F13+I13+L13+O13+R13</f>
        <v/>
      </c>
      <c r="AQ13" s="1303">
        <f>G13+J13+M13+P13+S13</f>
        <v/>
      </c>
      <c r="AR13" s="1303">
        <f>AQ13/5</f>
        <v/>
      </c>
      <c r="AS13" s="188">
        <f>AR13/$AR$30%</f>
        <v/>
      </c>
    </row>
    <row r="14" ht="20.1" customHeight="1">
      <c r="A14" s="152" t="n">
        <v>10</v>
      </c>
      <c r="B14" s="151" t="inlineStr">
        <is>
          <t>ဇေယျဝတီ Red (ပု)</t>
        </is>
      </c>
      <c r="C14" s="152" t="n">
        <v>0.64</v>
      </c>
      <c r="D14" s="152" t="inlineStr">
        <is>
          <t>1 * 14</t>
        </is>
      </c>
      <c r="E14" s="164" t="n">
        <v>60</v>
      </c>
      <c r="F14" s="164" t="n">
        <v>840</v>
      </c>
      <c r="G14" s="164" t="n">
        <v>538</v>
      </c>
      <c r="H14" s="164" t="n">
        <v>75</v>
      </c>
      <c r="I14" s="164" t="n">
        <v>1050</v>
      </c>
      <c r="J14" s="1302">
        <f>I14*$C14</f>
        <v/>
      </c>
      <c r="K14" s="164" t="n">
        <v>105</v>
      </c>
      <c r="L14" s="164" t="n">
        <v>1470</v>
      </c>
      <c r="M14" s="166">
        <f>L14*$C14</f>
        <v/>
      </c>
      <c r="N14" s="164" t="n">
        <v>36</v>
      </c>
      <c r="O14" s="164" t="n">
        <v>504</v>
      </c>
      <c r="P14" s="166">
        <f>O14*$C14</f>
        <v/>
      </c>
      <c r="Q14" s="164" t="n">
        <v>100</v>
      </c>
      <c r="R14" s="164" t="n">
        <v>1400</v>
      </c>
      <c r="S14" s="166">
        <f>R14*$C14</f>
        <v/>
      </c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  <c r="AI14" s="164" t="n"/>
      <c r="AJ14" s="164" t="n"/>
      <c r="AK14" s="164" t="n"/>
      <c r="AL14" s="164" t="n"/>
      <c r="AM14" s="164" t="n"/>
      <c r="AN14" s="164" t="n"/>
      <c r="AO14" s="1303">
        <f>E14+H14+K14+N14+Q14</f>
        <v/>
      </c>
      <c r="AP14" s="1303">
        <f>F14+I14+L14+O14+R14</f>
        <v/>
      </c>
      <c r="AQ14" s="1303">
        <f>G14+J14+M14+P14+S14</f>
        <v/>
      </c>
      <c r="AR14" s="1303">
        <f>AQ14/5</f>
        <v/>
      </c>
      <c r="AS14" s="188">
        <f>AR14/$AR$30%</f>
        <v/>
      </c>
    </row>
    <row r="15" ht="20.1" customHeight="1">
      <c r="A15" s="152" t="n">
        <v>11</v>
      </c>
      <c r="B15" s="151" t="inlineStr">
        <is>
          <t>မြန်မာရှောက်ပျား</t>
        </is>
      </c>
      <c r="C15" s="152" t="n">
        <v>0.64</v>
      </c>
      <c r="D15" s="152" t="inlineStr">
        <is>
          <t>1 * 14</t>
        </is>
      </c>
      <c r="E15" s="164" t="n">
        <v>1796</v>
      </c>
      <c r="F15" s="164" t="n">
        <v>25144</v>
      </c>
      <c r="G15" s="164" t="n">
        <v>16092</v>
      </c>
      <c r="H15" s="164" t="n">
        <v>1845</v>
      </c>
      <c r="I15" s="164" t="n">
        <v>25830</v>
      </c>
      <c r="J15" s="1302">
        <f>I15*$C15</f>
        <v/>
      </c>
      <c r="K15" s="164" t="n">
        <v>3601</v>
      </c>
      <c r="L15" s="164" t="n">
        <v>50414</v>
      </c>
      <c r="M15" s="166">
        <f>L15*$C15</f>
        <v/>
      </c>
      <c r="N15" s="164" t="n">
        <v>1532</v>
      </c>
      <c r="O15" s="164" t="n">
        <v>21448</v>
      </c>
      <c r="P15" s="166">
        <f>O15*$C15</f>
        <v/>
      </c>
      <c r="Q15" s="164" t="n">
        <v>1492</v>
      </c>
      <c r="R15" s="164" t="n">
        <v>20888</v>
      </c>
      <c r="S15" s="166">
        <f>R15*$C15</f>
        <v/>
      </c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I15" s="164" t="n"/>
      <c r="AJ15" s="164" t="n"/>
      <c r="AK15" s="164" t="n"/>
      <c r="AL15" s="164" t="n"/>
      <c r="AM15" s="164" t="n"/>
      <c r="AN15" s="164" t="n"/>
      <c r="AO15" s="1303">
        <f>E15+H15+K15+N15+Q15</f>
        <v/>
      </c>
      <c r="AP15" s="1303">
        <f>F15+I15+L15+O15+R15</f>
        <v/>
      </c>
      <c r="AQ15" s="1303">
        <f>G15+J15+M15+P15+S15</f>
        <v/>
      </c>
      <c r="AR15" s="1303">
        <f>AQ15/5</f>
        <v/>
      </c>
      <c r="AS15" s="188">
        <f>AR15/$AR$30%</f>
        <v/>
      </c>
      <c r="AT15" s="162" t="n">
        <v>1</v>
      </c>
    </row>
    <row r="16" ht="20.1" customHeight="1">
      <c r="A16" s="152" t="n">
        <v>12</v>
      </c>
      <c r="B16" s="151" t="inlineStr">
        <is>
          <t>သံပုရာအရက်</t>
        </is>
      </c>
      <c r="C16" s="152" t="n">
        <v>0.64</v>
      </c>
      <c r="D16" s="152" t="inlineStr">
        <is>
          <t>1 * 14</t>
        </is>
      </c>
      <c r="E16" s="164" t="n">
        <v>1298</v>
      </c>
      <c r="F16" s="164" t="n">
        <v>18172</v>
      </c>
      <c r="G16" s="164" t="n">
        <v>11630</v>
      </c>
      <c r="H16" s="164" t="n">
        <v>1116</v>
      </c>
      <c r="I16" s="164" t="n">
        <v>15624</v>
      </c>
      <c r="J16" s="1302" t="n">
        <v>9999.359999999999</v>
      </c>
      <c r="K16" s="164" t="n">
        <v>1614</v>
      </c>
      <c r="L16" s="164" t="n">
        <v>22605</v>
      </c>
      <c r="M16" s="166">
        <f>L16*$C16</f>
        <v/>
      </c>
      <c r="N16" s="164" t="n">
        <v>780</v>
      </c>
      <c r="O16" s="164" t="n">
        <v>10920</v>
      </c>
      <c r="P16" s="166">
        <f>O16*$C16</f>
        <v/>
      </c>
      <c r="Q16" s="164" t="n">
        <v>1124</v>
      </c>
      <c r="R16" s="164" t="n">
        <v>15747</v>
      </c>
      <c r="S16" s="166">
        <f>R16*$C16</f>
        <v/>
      </c>
      <c r="T16" s="164" t="n"/>
      <c r="U16" s="164" t="n"/>
      <c r="V16" s="164" t="n"/>
      <c r="W16" s="164" t="n"/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I16" s="164" t="n"/>
      <c r="AJ16" s="164" t="n"/>
      <c r="AK16" s="164" t="n"/>
      <c r="AL16" s="164" t="n"/>
      <c r="AM16" s="164" t="n"/>
      <c r="AN16" s="164" t="n"/>
      <c r="AO16" s="1303">
        <f>E16+H16+K16+N16+Q16</f>
        <v/>
      </c>
      <c r="AP16" s="1303">
        <f>F16+I16+L16+O16+R16</f>
        <v/>
      </c>
      <c r="AQ16" s="1303">
        <f>G16+J16+M16+P16+S16</f>
        <v/>
      </c>
      <c r="AR16" s="1303">
        <f>AQ16/5</f>
        <v/>
      </c>
      <c r="AS16" s="188">
        <f>AR16/$AR$30%</f>
        <v/>
      </c>
      <c r="AT16" s="162" t="n">
        <v>2</v>
      </c>
    </row>
    <row r="17" ht="20.1" customHeight="1">
      <c r="A17" s="152" t="n">
        <v>13</v>
      </c>
      <c r="B17" s="151" t="inlineStr">
        <is>
          <t>2 in 1 မန်ကျည်း</t>
        </is>
      </c>
      <c r="C17" s="152" t="n">
        <v>0.64</v>
      </c>
      <c r="D17" s="152" t="inlineStr">
        <is>
          <t>1 * 14</t>
        </is>
      </c>
      <c r="E17" s="164" t="n">
        <v>180</v>
      </c>
      <c r="F17" s="164" t="n">
        <v>2520</v>
      </c>
      <c r="G17" s="164" t="n">
        <v>1613</v>
      </c>
      <c r="H17" s="164" t="n">
        <v>170</v>
      </c>
      <c r="I17" s="164" t="n">
        <v>2380</v>
      </c>
      <c r="J17" s="1302" t="n">
        <v>1523.2</v>
      </c>
      <c r="K17" s="164" t="n">
        <v>278</v>
      </c>
      <c r="L17" s="164" t="n">
        <v>3892</v>
      </c>
      <c r="M17" s="166">
        <f>L17*$C17</f>
        <v/>
      </c>
      <c r="N17" s="164" t="n">
        <v>151</v>
      </c>
      <c r="O17" s="164" t="n">
        <v>2114</v>
      </c>
      <c r="P17" s="166">
        <f>O17*$C17</f>
        <v/>
      </c>
      <c r="Q17" s="164" t="n">
        <v>235</v>
      </c>
      <c r="R17" s="164" t="n">
        <v>3290</v>
      </c>
      <c r="S17" s="166">
        <f>R17*$C17</f>
        <v/>
      </c>
      <c r="T17" s="164" t="n"/>
      <c r="U17" s="164" t="n"/>
      <c r="V17" s="164" t="n"/>
      <c r="W17" s="164" t="n"/>
      <c r="X17" s="164" t="n"/>
      <c r="Y17" s="164" t="n"/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n"/>
      <c r="AI17" s="164" t="n"/>
      <c r="AJ17" s="164" t="n"/>
      <c r="AK17" s="164" t="n"/>
      <c r="AL17" s="164" t="n"/>
      <c r="AM17" s="164" t="n"/>
      <c r="AN17" s="164" t="n"/>
      <c r="AO17" s="1303">
        <f>E17+H17+K17+N17+Q17</f>
        <v/>
      </c>
      <c r="AP17" s="1303">
        <f>F17+I17+L17+O17+R17</f>
        <v/>
      </c>
      <c r="AQ17" s="1303">
        <f>G17+J17+M17+P17+S17</f>
        <v/>
      </c>
      <c r="AR17" s="1303">
        <f>AQ17/5</f>
        <v/>
      </c>
      <c r="AS17" s="188">
        <f>AR17/$AR$30%</f>
        <v/>
      </c>
    </row>
    <row r="18" ht="20.1" customHeight="1">
      <c r="A18" s="152" t="n">
        <v>14</v>
      </c>
      <c r="B18" s="151" t="inlineStr">
        <is>
          <t xml:space="preserve">Dagon Tamarind </t>
        </is>
      </c>
      <c r="C18" s="152" t="n">
        <v>0.64</v>
      </c>
      <c r="D18" s="152" t="inlineStr">
        <is>
          <t>1 * 14</t>
        </is>
      </c>
      <c r="E18" s="164" t="n">
        <v>7</v>
      </c>
      <c r="F18" s="164" t="n">
        <v>98</v>
      </c>
      <c r="G18" s="164" t="n">
        <v>63</v>
      </c>
      <c r="H18" s="164" t="n">
        <v>12</v>
      </c>
      <c r="I18" s="164" t="n">
        <v>168</v>
      </c>
      <c r="J18" s="1302" t="n">
        <v>107.52</v>
      </c>
      <c r="K18" s="164" t="n">
        <v>9</v>
      </c>
      <c r="L18" s="164" t="n">
        <v>126</v>
      </c>
      <c r="M18" s="166">
        <f>L18*$C18</f>
        <v/>
      </c>
      <c r="N18" s="164" t="n">
        <v>8</v>
      </c>
      <c r="O18" s="164" t="n">
        <v>112</v>
      </c>
      <c r="P18" s="166">
        <f>O18*$C18</f>
        <v/>
      </c>
      <c r="Q18" s="164" t="n">
        <v>21</v>
      </c>
      <c r="R18" s="164" t="n">
        <v>294</v>
      </c>
      <c r="S18" s="166">
        <f>R18*$C18</f>
        <v/>
      </c>
      <c r="T18" s="164" t="n"/>
      <c r="U18" s="164" t="n"/>
      <c r="V18" s="164" t="n"/>
      <c r="W18" s="164" t="n"/>
      <c r="X18" s="164" t="n"/>
      <c r="Y18" s="164" t="n"/>
      <c r="Z18" s="164" t="n"/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164" t="n"/>
      <c r="AL18" s="164" t="n"/>
      <c r="AM18" s="164" t="n"/>
      <c r="AN18" s="164" t="n"/>
      <c r="AO18" s="1303">
        <f>E18+H18+K18+N18+Q18</f>
        <v/>
      </c>
      <c r="AP18" s="1303">
        <f>F18+I18+L18+O18+R18</f>
        <v/>
      </c>
      <c r="AQ18" s="1303">
        <f>G18+J18+M18+P18+S18</f>
        <v/>
      </c>
      <c r="AR18" s="1303">
        <f>AQ18/5</f>
        <v/>
      </c>
      <c r="AS18" s="188">
        <f>AR18/$AR$30%</f>
        <v/>
      </c>
    </row>
    <row r="19" ht="20.1" customHeight="1">
      <c r="A19" s="152" t="n">
        <v>15</v>
      </c>
      <c r="B19" s="151" t="inlineStr">
        <is>
          <t xml:space="preserve">Dagon Pineapple </t>
        </is>
      </c>
      <c r="C19" s="152" t="n">
        <v>0.64</v>
      </c>
      <c r="D19" s="152" t="inlineStr">
        <is>
          <t>1 * 24</t>
        </is>
      </c>
      <c r="E19" s="164" t="n">
        <v>319</v>
      </c>
      <c r="F19" s="164" t="n">
        <v>7656</v>
      </c>
      <c r="G19" s="164" t="n">
        <v>4900</v>
      </c>
      <c r="H19" s="164" t="n">
        <v>295</v>
      </c>
      <c r="I19" s="164" t="n">
        <v>7080</v>
      </c>
      <c r="J19" s="1302" t="n">
        <v>4531.200000000001</v>
      </c>
      <c r="K19" s="164" t="n">
        <v>332</v>
      </c>
      <c r="L19" s="164" t="n">
        <v>7968</v>
      </c>
      <c r="M19" s="166">
        <f>L19*$C19</f>
        <v/>
      </c>
      <c r="N19" s="164" t="n">
        <v>292</v>
      </c>
      <c r="O19" s="164" t="n">
        <v>7008</v>
      </c>
      <c r="P19" s="166">
        <f>O19*$C19</f>
        <v/>
      </c>
      <c r="Q19" s="164" t="n">
        <v>268</v>
      </c>
      <c r="R19" s="164" t="n">
        <v>6432</v>
      </c>
      <c r="S19" s="166">
        <f>R19*$C19</f>
        <v/>
      </c>
      <c r="T19" s="164" t="n"/>
      <c r="U19" s="164" t="n"/>
      <c r="V19" s="164" t="n"/>
      <c r="W19" s="164" t="n"/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I19" s="164" t="n"/>
      <c r="AJ19" s="164" t="n"/>
      <c r="AK19" s="164" t="n"/>
      <c r="AL19" s="164" t="n"/>
      <c r="AM19" s="164" t="n"/>
      <c r="AN19" s="164" t="n"/>
      <c r="AO19" s="1303">
        <f>E19+H19+K19+N19+Q19</f>
        <v/>
      </c>
      <c r="AP19" s="1303">
        <f>F19+I19+L19+O19+R19</f>
        <v/>
      </c>
      <c r="AQ19" s="1303">
        <f>G19+J19+M19+P19+S19</f>
        <v/>
      </c>
      <c r="AR19" s="1303">
        <f>AQ19/5</f>
        <v/>
      </c>
      <c r="AS19" s="188">
        <f>AR19/$AR$30%</f>
        <v/>
      </c>
    </row>
    <row r="20" ht="20.1" customHeight="1">
      <c r="A20" s="152" t="n">
        <v>16</v>
      </c>
      <c r="B20" s="151" t="inlineStr">
        <is>
          <t>ချယ်ရီကော်ဘူး(0.6 Liter)</t>
        </is>
      </c>
      <c r="C20" s="152" t="n">
        <v>0.6</v>
      </c>
      <c r="D20" s="152" t="inlineStr">
        <is>
          <t>1 * 24</t>
        </is>
      </c>
      <c r="E20" s="164" t="n">
        <v>579</v>
      </c>
      <c r="F20" s="164" t="n">
        <v>13896</v>
      </c>
      <c r="G20" s="164" t="n">
        <v>8338</v>
      </c>
      <c r="H20" s="164" t="n">
        <v>252</v>
      </c>
      <c r="I20" s="164" t="n">
        <v>6048</v>
      </c>
      <c r="J20" s="1302" t="n">
        <v>3628.800000000001</v>
      </c>
      <c r="K20" s="164" t="n">
        <v>493</v>
      </c>
      <c r="L20" s="164" t="n">
        <v>11832</v>
      </c>
      <c r="M20" s="166">
        <f>L20*$C20</f>
        <v/>
      </c>
      <c r="N20" s="164" t="n">
        <v>428</v>
      </c>
      <c r="O20" s="164" t="n">
        <v>10272</v>
      </c>
      <c r="P20" s="166">
        <f>O20*$C20</f>
        <v/>
      </c>
      <c r="Q20" s="164" t="n">
        <v>481</v>
      </c>
      <c r="R20" s="164" t="n">
        <v>11544</v>
      </c>
      <c r="S20" s="166">
        <f>R20*$C20</f>
        <v/>
      </c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  <c r="AD20" s="164" t="n"/>
      <c r="AE20" s="164" t="n"/>
      <c r="AF20" s="164" t="n"/>
      <c r="AG20" s="164" t="n"/>
      <c r="AH20" s="164" t="n"/>
      <c r="AI20" s="164" t="n"/>
      <c r="AJ20" s="164" t="n"/>
      <c r="AK20" s="164" t="n"/>
      <c r="AL20" s="164" t="n"/>
      <c r="AM20" s="164" t="n"/>
      <c r="AN20" s="164" t="n"/>
      <c r="AO20" s="1303">
        <f>E20+H20+K20+N20+Q20</f>
        <v/>
      </c>
      <c r="AP20" s="1303">
        <f>F20+I20+L20+O20+R20</f>
        <v/>
      </c>
      <c r="AQ20" s="1303">
        <f>G20+J20+M20+P20+S20</f>
        <v/>
      </c>
      <c r="AR20" s="1303">
        <f>AQ20/5</f>
        <v/>
      </c>
      <c r="AS20" s="188">
        <f>AR20/$AR$30%</f>
        <v/>
      </c>
    </row>
    <row r="21" ht="20.1" customHeight="1">
      <c r="A21" s="152" t="n">
        <v>17</v>
      </c>
      <c r="B21" s="151" t="inlineStr">
        <is>
          <t>ချယ်ရီသံပုရာ (1 Liter )</t>
        </is>
      </c>
      <c r="C21" s="152" t="n">
        <v>1</v>
      </c>
      <c r="D21" s="152" t="inlineStr">
        <is>
          <t>1 * 12</t>
        </is>
      </c>
      <c r="E21" s="164" t="n">
        <v>205</v>
      </c>
      <c r="F21" s="164" t="n">
        <v>2457</v>
      </c>
      <c r="G21" s="164" t="n">
        <v>2457</v>
      </c>
      <c r="H21" s="164" t="n">
        <v>148</v>
      </c>
      <c r="I21" s="164" t="n">
        <v>1782</v>
      </c>
      <c r="J21" s="1302" t="n">
        <v>1782</v>
      </c>
      <c r="K21" s="164" t="n">
        <v>115</v>
      </c>
      <c r="L21" s="164" t="n">
        <v>1389</v>
      </c>
      <c r="M21" s="166">
        <f>L21*$C21</f>
        <v/>
      </c>
      <c r="N21" s="164" t="n">
        <v>176</v>
      </c>
      <c r="O21" s="164" t="n">
        <v>2112</v>
      </c>
      <c r="P21" s="166">
        <f>O21*$C21</f>
        <v/>
      </c>
      <c r="Q21" s="164" t="n">
        <v>160</v>
      </c>
      <c r="R21" s="164" t="n">
        <v>1931</v>
      </c>
      <c r="S21" s="166">
        <f>R21*$C21</f>
        <v/>
      </c>
      <c r="T21" s="164" t="n"/>
      <c r="U21" s="164" t="n"/>
      <c r="V21" s="164" t="n"/>
      <c r="W21" s="164" t="n"/>
      <c r="X21" s="164" t="n"/>
      <c r="Y21" s="164" t="n"/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64" t="n"/>
      <c r="AI21" s="164" t="n"/>
      <c r="AJ21" s="164" t="n"/>
      <c r="AK21" s="164" t="n"/>
      <c r="AL21" s="164" t="n"/>
      <c r="AM21" s="164" t="n"/>
      <c r="AN21" s="164" t="n"/>
      <c r="AO21" s="1303">
        <f>E21+H21+K21+N21+Q21</f>
        <v/>
      </c>
      <c r="AP21" s="1303">
        <f>F21+I21+L21+O21+R21</f>
        <v/>
      </c>
      <c r="AQ21" s="1303">
        <f>G21+J21+M21+P21+S21</f>
        <v/>
      </c>
      <c r="AR21" s="1303">
        <f>AQ21/5</f>
        <v/>
      </c>
      <c r="AS21" s="188">
        <f>AR21/$AR$30%</f>
        <v/>
      </c>
    </row>
    <row r="22" ht="20.1" customHeight="1">
      <c r="A22" s="152" t="n">
        <v>18</v>
      </c>
      <c r="B22" s="151" t="inlineStr">
        <is>
          <t>ချယ်ရီသံပုရာ (0.6 Liter )</t>
        </is>
      </c>
      <c r="C22" s="152" t="n">
        <v>0.6</v>
      </c>
      <c r="D22" s="152" t="inlineStr">
        <is>
          <t>1 * 24</t>
        </is>
      </c>
      <c r="E22" s="164" t="n">
        <v>30</v>
      </c>
      <c r="F22" s="164" t="n">
        <v>720</v>
      </c>
      <c r="G22" s="164" t="n">
        <v>432</v>
      </c>
      <c r="H22" s="164" t="n">
        <v>3</v>
      </c>
      <c r="I22" s="164" t="n">
        <v>72</v>
      </c>
      <c r="J22" s="1302" t="n">
        <v>43.2</v>
      </c>
      <c r="K22" s="164" t="n">
        <v>30</v>
      </c>
      <c r="L22" s="164" t="n">
        <v>720</v>
      </c>
      <c r="M22" s="166">
        <f>L22*$C22</f>
        <v/>
      </c>
      <c r="N22" s="164" t="n">
        <v>23</v>
      </c>
      <c r="O22" s="164" t="n">
        <v>552</v>
      </c>
      <c r="P22" s="166">
        <f>O22*$C22</f>
        <v/>
      </c>
      <c r="Q22" s="164" t="n"/>
      <c r="R22" s="164" t="n"/>
      <c r="S22" s="166">
        <f>R22*$C22</f>
        <v/>
      </c>
      <c r="T22" s="164" t="n"/>
      <c r="U22" s="164" t="n"/>
      <c r="V22" s="164" t="n"/>
      <c r="W22" s="164" t="n"/>
      <c r="X22" s="164" t="n"/>
      <c r="Y22" s="164" t="n"/>
      <c r="Z22" s="164" t="n"/>
      <c r="AA22" s="164" t="n"/>
      <c r="AB22" s="164" t="n"/>
      <c r="AC22" s="164" t="n"/>
      <c r="AD22" s="164" t="n"/>
      <c r="AE22" s="164" t="n"/>
      <c r="AF22" s="164" t="n"/>
      <c r="AG22" s="164" t="n"/>
      <c r="AH22" s="164" t="n"/>
      <c r="AI22" s="164" t="n"/>
      <c r="AJ22" s="164" t="n"/>
      <c r="AK22" s="164" t="n"/>
      <c r="AL22" s="164" t="n"/>
      <c r="AM22" s="164" t="n"/>
      <c r="AN22" s="164" t="n"/>
      <c r="AO22" s="1303">
        <f>E22+H22+K22+N22+Q22</f>
        <v/>
      </c>
      <c r="AP22" s="1303">
        <f>F22+I22+L22+O22+R22</f>
        <v/>
      </c>
      <c r="AQ22" s="1303">
        <f>G22+J22+M22+P22+S22</f>
        <v/>
      </c>
      <c r="AR22" s="1303">
        <f>AQ22/5</f>
        <v/>
      </c>
      <c r="AS22" s="188">
        <f>AR22/$AR$30%</f>
        <v/>
      </c>
    </row>
    <row r="23" ht="20.1" customHeight="1">
      <c r="A23" s="152" t="n">
        <v>19</v>
      </c>
      <c r="B23" s="151" t="inlineStr">
        <is>
          <t>ရွှေမင်းသားခေါင်ရည်</t>
        </is>
      </c>
      <c r="C23" s="152" t="n">
        <v>0.64</v>
      </c>
      <c r="D23" s="152" t="inlineStr">
        <is>
          <t>1*24</t>
        </is>
      </c>
      <c r="E23" s="164" t="n">
        <v>42</v>
      </c>
      <c r="F23" s="164" t="n">
        <v>1008</v>
      </c>
      <c r="G23" s="164" t="n">
        <v>645</v>
      </c>
      <c r="H23" s="164" t="n">
        <v>22</v>
      </c>
      <c r="I23" s="164" t="n">
        <v>528</v>
      </c>
      <c r="J23" s="1302" t="n">
        <v>337.92</v>
      </c>
      <c r="K23" s="164" t="n">
        <v>42</v>
      </c>
      <c r="L23" s="164" t="n">
        <v>1008</v>
      </c>
      <c r="M23" s="166">
        <f>L23*$C23</f>
        <v/>
      </c>
      <c r="N23" s="164" t="n">
        <v>60</v>
      </c>
      <c r="O23" s="164" t="n">
        <v>1440</v>
      </c>
      <c r="P23" s="166">
        <f>O23*$C23</f>
        <v/>
      </c>
      <c r="Q23" s="164" t="n">
        <v>66</v>
      </c>
      <c r="R23" s="164" t="n">
        <v>1584</v>
      </c>
      <c r="S23" s="166">
        <f>R23*$C23</f>
        <v/>
      </c>
      <c r="T23" s="164" t="n"/>
      <c r="U23" s="164" t="n"/>
      <c r="V23" s="164" t="n"/>
      <c r="W23" s="164" t="n"/>
      <c r="X23" s="164" t="n"/>
      <c r="Y23" s="164" t="n"/>
      <c r="Z23" s="164" t="n"/>
      <c r="AA23" s="164" t="n"/>
      <c r="AB23" s="164" t="n"/>
      <c r="AC23" s="164" t="n"/>
      <c r="AD23" s="164" t="n"/>
      <c r="AE23" s="164" t="n"/>
      <c r="AF23" s="164" t="n"/>
      <c r="AG23" s="164" t="n"/>
      <c r="AH23" s="164" t="n"/>
      <c r="AI23" s="164" t="n"/>
      <c r="AJ23" s="164" t="n"/>
      <c r="AK23" s="164" t="n"/>
      <c r="AL23" s="164" t="n"/>
      <c r="AM23" s="164" t="n"/>
      <c r="AN23" s="164" t="n"/>
      <c r="AO23" s="1303">
        <f>E23+H23+K23+N23+Q23</f>
        <v/>
      </c>
      <c r="AP23" s="1303">
        <f>F23+I23+L23+O23+R23</f>
        <v/>
      </c>
      <c r="AQ23" s="1303">
        <f>G23+J23+M23+P23+S23</f>
        <v/>
      </c>
      <c r="AR23" s="1303">
        <f>AQ23/5</f>
        <v/>
      </c>
      <c r="AS23" s="188">
        <f>AR23/$AR$30%</f>
        <v/>
      </c>
    </row>
    <row r="24" ht="20.1" customHeight="1">
      <c r="A24" s="152" t="n">
        <v>20</v>
      </c>
      <c r="B24" s="151" t="inlineStr">
        <is>
          <t>ရွှေမင်းသားမန်ကျည်းခေါင်ရည်</t>
        </is>
      </c>
      <c r="C24" s="152" t="n">
        <v>0.64</v>
      </c>
      <c r="D24" s="152" t="n"/>
      <c r="E24" s="164" t="n"/>
      <c r="F24" s="164" t="n"/>
      <c r="G24" s="164" t="n"/>
      <c r="H24" s="164" t="n"/>
      <c r="I24" s="164" t="n"/>
      <c r="J24" s="1302" t="n"/>
      <c r="K24" s="164" t="n"/>
      <c r="L24" s="164" t="n"/>
      <c r="M24" s="166" t="n"/>
      <c r="N24" s="164" t="n">
        <v>24</v>
      </c>
      <c r="O24" s="164" t="n">
        <v>336</v>
      </c>
      <c r="P24" s="166">
        <f>O24*$C24</f>
        <v/>
      </c>
      <c r="Q24" s="164" t="n">
        <v>60</v>
      </c>
      <c r="R24" s="164" t="n">
        <v>852</v>
      </c>
      <c r="S24" s="166">
        <f>R24*$C24</f>
        <v/>
      </c>
      <c r="T24" s="164" t="n"/>
      <c r="U24" s="164" t="n"/>
      <c r="V24" s="164" t="n"/>
      <c r="W24" s="164" t="n"/>
      <c r="X24" s="164" t="n"/>
      <c r="Y24" s="164" t="n"/>
      <c r="Z24" s="164" t="n"/>
      <c r="AA24" s="164" t="n"/>
      <c r="AB24" s="164" t="n"/>
      <c r="AC24" s="164" t="n"/>
      <c r="AD24" s="164" t="n"/>
      <c r="AE24" s="164" t="n"/>
      <c r="AF24" s="164" t="n"/>
      <c r="AG24" s="164" t="n"/>
      <c r="AH24" s="164" t="n"/>
      <c r="AI24" s="164" t="n"/>
      <c r="AJ24" s="164" t="n"/>
      <c r="AK24" s="164" t="n"/>
      <c r="AL24" s="164" t="n"/>
      <c r="AM24" s="164" t="n"/>
      <c r="AN24" s="164" t="n"/>
      <c r="AO24" s="1303">
        <f>E24+H24+K24+N24+Q24</f>
        <v/>
      </c>
      <c r="AP24" s="1303">
        <f>F24+I24+L24+O24+R24</f>
        <v/>
      </c>
      <c r="AQ24" s="1303">
        <f>G24+J24+M24+P24+S24</f>
        <v/>
      </c>
      <c r="AR24" s="1303">
        <f>AQ24/5</f>
        <v/>
      </c>
      <c r="AS24" s="188">
        <f>AR24/$AR$30%</f>
        <v/>
      </c>
    </row>
    <row r="25" ht="20.1" customHeight="1">
      <c r="A25" s="152" t="n">
        <v>21</v>
      </c>
      <c r="B25" s="151" t="inlineStr">
        <is>
          <t>Formula Rum 700ml</t>
        </is>
      </c>
      <c r="C25" s="152" t="n">
        <v>0.7</v>
      </c>
      <c r="D25" s="152" t="inlineStr">
        <is>
          <t>1 * 12</t>
        </is>
      </c>
      <c r="E25" s="164" t="n">
        <v>1</v>
      </c>
      <c r="F25" s="164" t="n">
        <v>12</v>
      </c>
      <c r="G25" s="164" t="n">
        <v>8</v>
      </c>
      <c r="H25" s="164" t="n"/>
      <c r="I25" s="164" t="n"/>
      <c r="J25" s="1302">
        <f>I25*$C25</f>
        <v/>
      </c>
      <c r="K25" s="164" t="n">
        <v>1</v>
      </c>
      <c r="L25" s="164" t="n">
        <v>12</v>
      </c>
      <c r="M25" s="166">
        <f>L25*$C25</f>
        <v/>
      </c>
      <c r="N25" s="164" t="n"/>
      <c r="O25" s="164" t="n">
        <v>3</v>
      </c>
      <c r="P25" s="166">
        <f>O25*$C25</f>
        <v/>
      </c>
      <c r="Q25" s="164" t="n"/>
      <c r="R25" s="164" t="n"/>
      <c r="S25" s="166">
        <f>R25*$C25</f>
        <v/>
      </c>
      <c r="T25" s="164" t="n"/>
      <c r="U25" s="164" t="n"/>
      <c r="V25" s="164" t="n"/>
      <c r="W25" s="164" t="n"/>
      <c r="X25" s="164" t="n"/>
      <c r="Y25" s="164" t="n"/>
      <c r="Z25" s="164" t="n"/>
      <c r="AA25" s="164" t="n"/>
      <c r="AB25" s="164" t="n"/>
      <c r="AC25" s="164" t="n"/>
      <c r="AD25" s="164" t="n"/>
      <c r="AE25" s="164" t="n"/>
      <c r="AF25" s="164" t="n"/>
      <c r="AG25" s="164" t="n"/>
      <c r="AH25" s="164" t="n"/>
      <c r="AI25" s="164" t="n"/>
      <c r="AJ25" s="164" t="n"/>
      <c r="AK25" s="164" t="n"/>
      <c r="AL25" s="164" t="n"/>
      <c r="AM25" s="164" t="n"/>
      <c r="AN25" s="164" t="n"/>
      <c r="AO25" s="1303">
        <f>E25+H25+K25+N25+Q25</f>
        <v/>
      </c>
      <c r="AP25" s="1303">
        <f>F25+I25+L25+O25+R25</f>
        <v/>
      </c>
      <c r="AQ25" s="1303">
        <f>G25+J25+M25+P25+S25</f>
        <v/>
      </c>
      <c r="AR25" s="1303">
        <f>AQ25/5</f>
        <v/>
      </c>
      <c r="AS25" s="188">
        <f>AR25/$AR$30%</f>
        <v/>
      </c>
    </row>
    <row r="26" ht="20.1" customHeight="1">
      <c r="A26" s="152" t="n">
        <v>22</v>
      </c>
      <c r="B26" s="151" t="inlineStr">
        <is>
          <t>Formula Rum 350ml</t>
        </is>
      </c>
      <c r="C26" s="152" t="n">
        <v>0.35</v>
      </c>
      <c r="D26" s="152" t="inlineStr">
        <is>
          <t>1 * 24</t>
        </is>
      </c>
      <c r="E26" s="164" t="n">
        <v>1</v>
      </c>
      <c r="F26" s="164" t="n">
        <v>24</v>
      </c>
      <c r="G26" s="164" t="n">
        <v>8</v>
      </c>
      <c r="H26" s="164" t="n"/>
      <c r="I26" s="164" t="n"/>
      <c r="J26" s="1302">
        <f>I26*$C26</f>
        <v/>
      </c>
      <c r="K26" s="164" t="n">
        <v>1</v>
      </c>
      <c r="L26" s="164" t="n">
        <v>24</v>
      </c>
      <c r="M26" s="166">
        <f>L26*$C26</f>
        <v/>
      </c>
      <c r="N26" s="164" t="n">
        <v>2</v>
      </c>
      <c r="O26" s="164" t="n">
        <v>60</v>
      </c>
      <c r="P26" s="166">
        <f>O26*$C26</f>
        <v/>
      </c>
      <c r="Q26" s="164" t="n"/>
      <c r="R26" s="164" t="n">
        <v>6</v>
      </c>
      <c r="S26" s="166">
        <f>R26*$C26</f>
        <v/>
      </c>
      <c r="T26" s="164" t="n"/>
      <c r="U26" s="164" t="n"/>
      <c r="V26" s="164" t="n"/>
      <c r="W26" s="164" t="n"/>
      <c r="X26" s="164" t="n"/>
      <c r="Y26" s="164" t="n"/>
      <c r="Z26" s="164" t="n"/>
      <c r="AA26" s="164" t="n"/>
      <c r="AB26" s="164" t="n"/>
      <c r="AC26" s="164" t="n"/>
      <c r="AD26" s="164" t="n"/>
      <c r="AE26" s="164" t="n"/>
      <c r="AF26" s="164" t="n"/>
      <c r="AG26" s="164" t="n"/>
      <c r="AH26" s="164" t="n"/>
      <c r="AI26" s="164" t="n"/>
      <c r="AJ26" s="164" t="n"/>
      <c r="AK26" s="164" t="n"/>
      <c r="AL26" s="164" t="n"/>
      <c r="AM26" s="164" t="n"/>
      <c r="AN26" s="164" t="n"/>
      <c r="AO26" s="1303">
        <f>E26+H26+K26+N26+Q26</f>
        <v/>
      </c>
      <c r="AP26" s="1303">
        <f>F26+I26+L26+O26+R26</f>
        <v/>
      </c>
      <c r="AQ26" s="1303">
        <f>G26+J26+M26+P26+S26</f>
        <v/>
      </c>
      <c r="AR26" s="1303">
        <f>AQ26/5</f>
        <v/>
      </c>
      <c r="AS26" s="188">
        <f>AR26/$AR$30%</f>
        <v/>
      </c>
    </row>
    <row r="27" ht="20.1" customHeight="1">
      <c r="A27" s="152" t="n">
        <v>23</v>
      </c>
      <c r="B27" s="151" t="inlineStr">
        <is>
          <t xml:space="preserve">White Orange </t>
        </is>
      </c>
      <c r="C27" s="152" t="n">
        <v>0.64</v>
      </c>
      <c r="D27" s="152" t="inlineStr">
        <is>
          <t>1 * 24</t>
        </is>
      </c>
      <c r="E27" s="164" t="n">
        <v>552</v>
      </c>
      <c r="F27" s="164" t="n">
        <v>13248</v>
      </c>
      <c r="G27" s="164" t="n">
        <v>8479</v>
      </c>
      <c r="H27" s="164" t="n">
        <v>495</v>
      </c>
      <c r="I27" s="164" t="n">
        <v>11880</v>
      </c>
      <c r="J27" s="1302">
        <f>I27*$C27</f>
        <v/>
      </c>
      <c r="K27" s="164" t="n">
        <v>837</v>
      </c>
      <c r="L27" s="164" t="n">
        <v>20088</v>
      </c>
      <c r="M27" s="166">
        <f>L27*$C27</f>
        <v/>
      </c>
      <c r="N27" s="164" t="n">
        <v>475</v>
      </c>
      <c r="O27" s="164" t="n">
        <v>11400</v>
      </c>
      <c r="P27" s="166">
        <f>O27*$C27</f>
        <v/>
      </c>
      <c r="Q27" s="164" t="n">
        <v>510</v>
      </c>
      <c r="R27" s="164" t="n">
        <v>12240</v>
      </c>
      <c r="S27" s="166">
        <f>R27*$C27</f>
        <v/>
      </c>
      <c r="T27" s="164" t="n"/>
      <c r="U27" s="164" t="n"/>
      <c r="V27" s="164" t="n"/>
      <c r="W27" s="164" t="n"/>
      <c r="X27" s="164" t="n"/>
      <c r="Y27" s="164" t="n"/>
      <c r="Z27" s="164" t="n"/>
      <c r="AA27" s="164" t="n"/>
      <c r="AB27" s="164" t="n"/>
      <c r="AC27" s="164" t="n"/>
      <c r="AD27" s="164" t="n"/>
      <c r="AE27" s="164" t="n"/>
      <c r="AF27" s="164" t="n"/>
      <c r="AG27" s="164" t="n"/>
      <c r="AH27" s="164" t="n"/>
      <c r="AI27" s="164" t="n"/>
      <c r="AJ27" s="164" t="n"/>
      <c r="AK27" s="164" t="n"/>
      <c r="AL27" s="164" t="n"/>
      <c r="AM27" s="164" t="n"/>
      <c r="AN27" s="164" t="n"/>
      <c r="AO27" s="1303">
        <f>E27+H27+K27+N27+Q27</f>
        <v/>
      </c>
      <c r="AP27" s="1303">
        <f>F27+I27+L27+O27+R27</f>
        <v/>
      </c>
      <c r="AQ27" s="1303">
        <f>G27+J27+M27+P27+S27</f>
        <v/>
      </c>
      <c r="AR27" s="1303">
        <f>AQ27/5</f>
        <v/>
      </c>
      <c r="AS27" s="188">
        <f>AR27/$AR$30%</f>
        <v/>
      </c>
      <c r="AT27" s="162" t="n">
        <v>4</v>
      </c>
    </row>
    <row r="28" ht="20.1" customHeight="1">
      <c r="A28" s="152" t="n">
        <v>24</v>
      </c>
      <c r="B28" s="151" t="inlineStr">
        <is>
          <t xml:space="preserve">Dagon </t>
        </is>
      </c>
      <c r="C28" s="152" t="n">
        <v>0.64</v>
      </c>
      <c r="D28" s="152" t="inlineStr">
        <is>
          <t>1 * 14</t>
        </is>
      </c>
      <c r="E28" s="164" t="n">
        <v>296</v>
      </c>
      <c r="F28" s="164" t="n">
        <v>4144</v>
      </c>
      <c r="G28" s="164" t="n">
        <v>2652</v>
      </c>
      <c r="H28" s="164" t="n">
        <v>205</v>
      </c>
      <c r="I28" s="164" t="n">
        <v>2870</v>
      </c>
      <c r="J28" s="1302" t="n">
        <v>1836.8</v>
      </c>
      <c r="K28" s="164" t="n">
        <v>405</v>
      </c>
      <c r="L28" s="164" t="n">
        <v>5670</v>
      </c>
      <c r="M28" s="166">
        <f>L28*$C28</f>
        <v/>
      </c>
      <c r="N28" s="164" t="n">
        <v>605</v>
      </c>
      <c r="O28" s="164" t="n">
        <v>8470</v>
      </c>
      <c r="P28" s="166">
        <f>O28*$C28</f>
        <v/>
      </c>
      <c r="Q28" s="164" t="n">
        <v>245</v>
      </c>
      <c r="R28" s="164" t="n">
        <v>3430</v>
      </c>
      <c r="S28" s="166">
        <f>R28*$C28</f>
        <v/>
      </c>
      <c r="T28" s="164" t="n"/>
      <c r="U28" s="164" t="n"/>
      <c r="V28" s="164" t="n"/>
      <c r="W28" s="164" t="n"/>
      <c r="X28" s="164" t="n"/>
      <c r="Y28" s="164" t="n"/>
      <c r="Z28" s="164" t="n"/>
      <c r="AA28" s="164" t="n"/>
      <c r="AB28" s="164" t="n"/>
      <c r="AC28" s="164" t="n"/>
      <c r="AD28" s="164" t="n"/>
      <c r="AE28" s="164" t="n"/>
      <c r="AF28" s="164" t="n"/>
      <c r="AG28" s="164" t="n"/>
      <c r="AH28" s="164" t="n"/>
      <c r="AI28" s="164" t="n"/>
      <c r="AJ28" s="164" t="n"/>
      <c r="AK28" s="164" t="n"/>
      <c r="AL28" s="164" t="n"/>
      <c r="AM28" s="164" t="n"/>
      <c r="AN28" s="164" t="n"/>
      <c r="AO28" s="1303">
        <f>E28+H28+K28+N28+Q28</f>
        <v/>
      </c>
      <c r="AP28" s="1303">
        <f>F28+I28+L28+O28+R28</f>
        <v/>
      </c>
      <c r="AQ28" s="1303">
        <f>G28+J28+M28+P28+S28</f>
        <v/>
      </c>
      <c r="AR28" s="1303">
        <f>AQ28/5</f>
        <v/>
      </c>
      <c r="AS28" s="188">
        <f>AR28/$AR$30%</f>
        <v/>
      </c>
    </row>
    <row r="29" ht="20.1" customHeight="1">
      <c r="A29" s="152" t="n">
        <v>25</v>
      </c>
      <c r="B29" s="151" t="inlineStr">
        <is>
          <t>ကင်းမြီးကောက်</t>
        </is>
      </c>
      <c r="C29" s="152" t="n">
        <v>0.64</v>
      </c>
      <c r="D29" s="152" t="inlineStr">
        <is>
          <t>1 * 14</t>
        </is>
      </c>
      <c r="E29" s="164" t="n">
        <v>15</v>
      </c>
      <c r="F29" s="164" t="n">
        <v>210</v>
      </c>
      <c r="G29" s="164" t="n">
        <v>132</v>
      </c>
      <c r="H29" s="164" t="n">
        <v>43</v>
      </c>
      <c r="I29" s="164" t="n">
        <v>602</v>
      </c>
      <c r="J29" s="1302" t="n">
        <v>385.28</v>
      </c>
      <c r="K29" s="164" t="n">
        <v>33</v>
      </c>
      <c r="L29" s="164" t="n">
        <v>462</v>
      </c>
      <c r="M29" s="166">
        <f>L29*$C29</f>
        <v/>
      </c>
      <c r="N29" s="164" t="n">
        <v>45</v>
      </c>
      <c r="O29" s="164" t="n">
        <v>630</v>
      </c>
      <c r="P29" s="166">
        <f>O29*$C29</f>
        <v/>
      </c>
      <c r="Q29" s="164" t="n">
        <v>51</v>
      </c>
      <c r="R29" s="164" t="n">
        <v>714</v>
      </c>
      <c r="S29" s="166">
        <f>R29*$C29</f>
        <v/>
      </c>
      <c r="T29" s="164" t="n"/>
      <c r="U29" s="164" t="n"/>
      <c r="V29" s="164" t="n"/>
      <c r="W29" s="164" t="n"/>
      <c r="X29" s="164" t="n"/>
      <c r="Y29" s="164" t="n"/>
      <c r="Z29" s="164" t="n"/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I29" s="164" t="n"/>
      <c r="AJ29" s="164" t="n"/>
      <c r="AK29" s="164" t="n"/>
      <c r="AL29" s="164" t="n"/>
      <c r="AM29" s="164" t="n"/>
      <c r="AN29" s="164" t="n"/>
      <c r="AO29" s="1303">
        <f>E29+H29+K29+N29+Q29</f>
        <v/>
      </c>
      <c r="AP29" s="1303">
        <f>F29+I29+L29+O29+R29</f>
        <v/>
      </c>
      <c r="AQ29" s="1303">
        <f>G29+J29+M29+P29+S29</f>
        <v/>
      </c>
      <c r="AR29" s="1303">
        <f>AQ29/5</f>
        <v/>
      </c>
      <c r="AS29" s="188">
        <f>AR29/$AR$30%</f>
        <v/>
      </c>
    </row>
    <row r="30" ht="20.1" customHeight="1">
      <c r="A30" s="152" t="n"/>
      <c r="B30" s="151" t="inlineStr">
        <is>
          <t>Total</t>
        </is>
      </c>
      <c r="C30" s="152" t="n"/>
      <c r="D30" s="152" t="n"/>
      <c r="E30" s="1304">
        <f>SUM(E5:E29)</f>
        <v/>
      </c>
      <c r="F30" s="1304">
        <f>SUM(F5:F29)</f>
        <v/>
      </c>
      <c r="G30" s="1304">
        <f>SUM(G5:G29)</f>
        <v/>
      </c>
      <c r="H30" s="1304">
        <f>SUM(H5:H29)</f>
        <v/>
      </c>
      <c r="I30" s="1304">
        <f>SUM(I5:I29)</f>
        <v/>
      </c>
      <c r="J30" s="1304">
        <f>SUM(J5:J29)</f>
        <v/>
      </c>
      <c r="K30" s="1304">
        <f>SUM(K5:K29)</f>
        <v/>
      </c>
      <c r="L30" s="1304">
        <f>SUM(L5:L29)</f>
        <v/>
      </c>
      <c r="M30" s="1304">
        <f>SUM(M5:M29)</f>
        <v/>
      </c>
      <c r="N30" s="1304">
        <f>SUM(N5:N29)</f>
        <v/>
      </c>
      <c r="O30" s="1304">
        <f>SUM(O5:O29)</f>
        <v/>
      </c>
      <c r="P30" s="1304">
        <f>SUM(P5:P29)</f>
        <v/>
      </c>
      <c r="Q30" s="1304">
        <f>SUM(Q5:Q29)</f>
        <v/>
      </c>
      <c r="R30" s="1304">
        <f>SUM(R5:R29)</f>
        <v/>
      </c>
      <c r="S30" s="1304">
        <f>SUM(S5:S29)</f>
        <v/>
      </c>
      <c r="T30" s="1304">
        <f>SUM(T5:T29)</f>
        <v/>
      </c>
      <c r="U30" s="1304">
        <f>SUM(U5:U29)</f>
        <v/>
      </c>
      <c r="V30" s="1304">
        <f>SUM(V5:V29)</f>
        <v/>
      </c>
      <c r="W30" s="1304">
        <f>SUM(W5:W29)</f>
        <v/>
      </c>
      <c r="X30" s="1304">
        <f>SUM(X5:X29)</f>
        <v/>
      </c>
      <c r="Y30" s="1304">
        <f>SUM(Y5:Y29)</f>
        <v/>
      </c>
      <c r="Z30" s="1304">
        <f>SUM(Z5:Z29)</f>
        <v/>
      </c>
      <c r="AA30" s="1304">
        <f>SUM(AA5:AA29)</f>
        <v/>
      </c>
      <c r="AB30" s="1304">
        <f>SUM(AB5:AB29)</f>
        <v/>
      </c>
      <c r="AC30" s="1304">
        <f>SUM(AC5:AC29)</f>
        <v/>
      </c>
      <c r="AD30" s="1304">
        <f>SUM(AD5:AD29)</f>
        <v/>
      </c>
      <c r="AE30" s="1304">
        <f>SUM(AE5:AE29)</f>
        <v/>
      </c>
      <c r="AF30" s="1304">
        <f>SUM(AF5:AF29)</f>
        <v/>
      </c>
      <c r="AG30" s="1304">
        <f>SUM(AG5:AG29)</f>
        <v/>
      </c>
      <c r="AH30" s="1304">
        <f>SUM(AH5:AH29)</f>
        <v/>
      </c>
      <c r="AI30" s="1304">
        <f>SUM(AI5:AI29)</f>
        <v/>
      </c>
      <c r="AJ30" s="1304">
        <f>SUM(AJ5:AJ29)</f>
        <v/>
      </c>
      <c r="AK30" s="1304">
        <f>SUM(AK5:AK29)</f>
        <v/>
      </c>
      <c r="AL30" s="1304">
        <f>SUM(AL5:AL29)</f>
        <v/>
      </c>
      <c r="AM30" s="1304">
        <f>SUM(AM5:AM29)</f>
        <v/>
      </c>
      <c r="AN30" s="1304">
        <f>SUM(AN5:AN29)</f>
        <v/>
      </c>
      <c r="AO30" s="1303">
        <f>E30+H30+K30+N30+Q30</f>
        <v/>
      </c>
      <c r="AP30" s="1303">
        <f>F30+I30+L30+O30+R30</f>
        <v/>
      </c>
      <c r="AQ30" s="1303">
        <f>G30+J30+M30+P30+S30</f>
        <v/>
      </c>
      <c r="AR30" s="1303">
        <f>AQ30/5</f>
        <v/>
      </c>
      <c r="AS30" s="188">
        <f>AR30/$AR$30%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FF0000"/>
    <outlinePr summaryBelow="1" summaryRight="1"/>
    <pageSetUpPr/>
  </sheetPr>
  <dimension ref="A1:AT21"/>
  <sheetViews>
    <sheetView workbookViewId="0">
      <pane xSplit="4" ySplit="4" topLeftCell="K18" activePane="bottomRight" state="frozen"/>
      <selection activeCell="AU7" sqref="AU7"/>
      <selection pane="topRight" activeCell="AU7" sqref="AU7"/>
      <selection pane="bottomLeft" activeCell="AU7" sqref="AU7"/>
      <selection pane="bottomRight" activeCell="AR5" sqref="AR5:AR21"/>
    </sheetView>
  </sheetViews>
  <sheetFormatPr baseColWidth="8" defaultColWidth="9.109375" defaultRowHeight="13.8"/>
  <cols>
    <col width="5.109375" customWidth="1" style="162" min="1" max="1"/>
    <col width="26.44140625" customWidth="1" style="162" min="2" max="2"/>
    <col width="9.109375" customWidth="1" style="162" min="3" max="4"/>
    <col width="9.5546875" bestFit="1" customWidth="1" style="162" min="5" max="5"/>
    <col width="10.5546875" bestFit="1" customWidth="1" style="162" min="6" max="7"/>
    <col width="9.33203125" bestFit="1" customWidth="1" style="162" min="8" max="12"/>
    <col width="10.5546875" bestFit="1" customWidth="1" style="162" min="13" max="13"/>
    <col width="9.33203125" bestFit="1" customWidth="1" style="162" min="14" max="15"/>
    <col width="10.5546875" bestFit="1" customWidth="1" style="162" min="16" max="16"/>
    <col width="9.33203125" bestFit="1" customWidth="1" style="162" min="17" max="18"/>
    <col width="10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24.6" customHeight="1">
      <c r="A1" s="159" t="n"/>
      <c r="B1" s="160" t="inlineStr">
        <is>
          <t>2025 - Sales Details Meiktila (Mahlaing Township)</t>
        </is>
      </c>
      <c r="C1" s="161" t="n"/>
      <c r="D1" s="161" t="n"/>
    </row>
    <row r="2"/>
    <row r="3" ht="41.2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0" t="inlineStr">
        <is>
          <t>Average</t>
        </is>
      </c>
      <c r="AS3" s="181" t="inlineStr">
        <is>
          <t>Contribution</t>
        </is>
      </c>
      <c r="AT3" s="196" t="n"/>
    </row>
    <row r="4" ht="54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0" t="inlineStr">
        <is>
          <t>CASES</t>
        </is>
      </c>
      <c r="AP4" s="1290" t="inlineStr">
        <is>
          <t>BOTTLES</t>
        </is>
      </c>
      <c r="AQ4" s="1290" t="inlineStr">
        <is>
          <t>Liter</t>
        </is>
      </c>
      <c r="AR4" s="1290" t="inlineStr">
        <is>
          <t>Liter</t>
        </is>
      </c>
      <c r="AS4" s="1290" t="inlineStr">
        <is>
          <t>Liter</t>
        </is>
      </c>
      <c r="AT4" s="196" t="n"/>
    </row>
    <row r="5" ht="20.1" customHeight="1">
      <c r="A5" s="151" t="n">
        <v>1</v>
      </c>
      <c r="B5" s="151" t="inlineStr">
        <is>
          <t>"Zay" Vodka 700-ml</t>
        </is>
      </c>
      <c r="C5" s="152" t="n">
        <v>0.7</v>
      </c>
      <c r="D5" s="152" t="inlineStr">
        <is>
          <t>1 * 12</t>
        </is>
      </c>
      <c r="E5" s="164" t="n">
        <v>54</v>
      </c>
      <c r="F5" s="164" t="n">
        <v>648</v>
      </c>
      <c r="G5" s="166">
        <f>F5*$C5</f>
        <v/>
      </c>
      <c r="H5" s="164" t="n"/>
      <c r="I5" s="164" t="n"/>
      <c r="J5" s="1302">
        <f>I5*$C5</f>
        <v/>
      </c>
      <c r="K5" s="164" t="n">
        <v>37</v>
      </c>
      <c r="L5" s="164" t="n">
        <v>444</v>
      </c>
      <c r="M5" s="166">
        <f>L5*$C5</f>
        <v/>
      </c>
      <c r="N5" s="164" t="n">
        <v>24</v>
      </c>
      <c r="O5" s="164" t="n">
        <v>298</v>
      </c>
      <c r="P5" s="166">
        <f>O5*$C5</f>
        <v/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  <c r="AI5" s="164" t="n"/>
      <c r="AJ5" s="164" t="n"/>
      <c r="AK5" s="164" t="n"/>
      <c r="AL5" s="164" t="n"/>
      <c r="AM5" s="164" t="n"/>
      <c r="AN5" s="164" t="n"/>
      <c r="AO5" s="1301">
        <f>E5+H5+K5+N5+Q5</f>
        <v/>
      </c>
      <c r="AP5" s="1301">
        <f>F5+I5+L5+O5+R5</f>
        <v/>
      </c>
      <c r="AQ5" s="1301">
        <f>G5+J5+M5+P5+S5</f>
        <v/>
      </c>
      <c r="AR5" s="1301">
        <f>AQ5/5</f>
        <v/>
      </c>
      <c r="AS5" s="194">
        <f>AR5/$AR$21%</f>
        <v/>
      </c>
      <c r="AT5" s="196" t="n"/>
    </row>
    <row r="6" ht="20.1" customHeight="1">
      <c r="A6" s="151" t="n">
        <v>2</v>
      </c>
      <c r="B6" s="151" t="inlineStr">
        <is>
          <t>"Zay" - 640ml</t>
        </is>
      </c>
      <c r="C6" s="152" t="n">
        <v>0.64</v>
      </c>
      <c r="D6" s="152" t="inlineStr">
        <is>
          <t>1 * 14</t>
        </is>
      </c>
      <c r="E6" s="164" t="n">
        <v>995</v>
      </c>
      <c r="F6" s="164" t="n">
        <v>13930</v>
      </c>
      <c r="G6" s="166">
        <f>F6*$C6</f>
        <v/>
      </c>
      <c r="H6" s="164" t="n">
        <v>1030</v>
      </c>
      <c r="I6" s="164" t="n">
        <v>14420</v>
      </c>
      <c r="J6" s="1302">
        <f>I6*$C6</f>
        <v/>
      </c>
      <c r="K6" s="164" t="n">
        <v>1525</v>
      </c>
      <c r="L6" s="164" t="n">
        <v>21350</v>
      </c>
      <c r="M6" s="166">
        <f>L6*$C6</f>
        <v/>
      </c>
      <c r="N6" s="164" t="n">
        <v>1245</v>
      </c>
      <c r="O6" s="164" t="n">
        <v>17430</v>
      </c>
      <c r="P6" s="166">
        <f>O6*$C6</f>
        <v/>
      </c>
      <c r="Q6" s="164" t="n">
        <v>1050</v>
      </c>
      <c r="R6" s="164" t="n">
        <v>14700</v>
      </c>
      <c r="S6" s="166">
        <f>R6*$C6</f>
        <v/>
      </c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  <c r="AI6" s="164" t="n"/>
      <c r="AJ6" s="164" t="n"/>
      <c r="AK6" s="164" t="n"/>
      <c r="AL6" s="164" t="n"/>
      <c r="AM6" s="164" t="n"/>
      <c r="AN6" s="164" t="n"/>
      <c r="AO6" s="1301">
        <f>E6+H6+K6+N6+Q6</f>
        <v/>
      </c>
      <c r="AP6" s="1301">
        <f>F6+I6+L6+O6+R6</f>
        <v/>
      </c>
      <c r="AQ6" s="1301">
        <f>G6+J6+M6+P6+S6</f>
        <v/>
      </c>
      <c r="AR6" s="1301">
        <f>AQ6/5</f>
        <v/>
      </c>
      <c r="AS6" s="194">
        <f>AR6/$AR$21%</f>
        <v/>
      </c>
      <c r="AT6" s="196" t="n">
        <v>2</v>
      </c>
    </row>
    <row r="7" ht="20.1" customHeight="1">
      <c r="A7" s="151" t="n">
        <v>3</v>
      </c>
      <c r="B7" s="151" t="inlineStr">
        <is>
          <t>Kaung Kyi (1 Liter)_25%</t>
        </is>
      </c>
      <c r="C7" s="152" t="n">
        <v>1</v>
      </c>
      <c r="D7" s="152" t="inlineStr">
        <is>
          <t>1 * 12</t>
        </is>
      </c>
      <c r="E7" s="164" t="n">
        <v>180</v>
      </c>
      <c r="F7" s="164" t="n">
        <v>2160</v>
      </c>
      <c r="G7" s="166">
        <f>F7*$C7</f>
        <v/>
      </c>
      <c r="H7" s="164" t="n">
        <v>195</v>
      </c>
      <c r="I7" s="164" t="n">
        <v>2340</v>
      </c>
      <c r="J7" s="1302">
        <f>I7*$C7</f>
        <v/>
      </c>
      <c r="K7" s="164" t="n">
        <v>495</v>
      </c>
      <c r="L7" s="164" t="n">
        <v>5940</v>
      </c>
      <c r="M7" s="166">
        <f>L7*$C7</f>
        <v/>
      </c>
      <c r="N7" s="164" t="n">
        <v>40</v>
      </c>
      <c r="O7" s="164" t="n">
        <v>480</v>
      </c>
      <c r="P7" s="166">
        <f>O7*$C7</f>
        <v/>
      </c>
      <c r="Q7" s="164" t="n">
        <v>65</v>
      </c>
      <c r="R7" s="164" t="n">
        <v>780</v>
      </c>
      <c r="S7" s="166">
        <f>R7*$C7</f>
        <v/>
      </c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  <c r="AI7" s="164" t="n"/>
      <c r="AJ7" s="164" t="n"/>
      <c r="AK7" s="164" t="n"/>
      <c r="AL7" s="164" t="n"/>
      <c r="AM7" s="164" t="n"/>
      <c r="AN7" s="164" t="n"/>
      <c r="AO7" s="1301">
        <f>E7+H7+K7+N7+Q7</f>
        <v/>
      </c>
      <c r="AP7" s="1301">
        <f>F7+I7+L7+O7+R7</f>
        <v/>
      </c>
      <c r="AQ7" s="1301">
        <f>G7+J7+M7+P7+S7</f>
        <v/>
      </c>
      <c r="AR7" s="1301">
        <f>AQ7/5</f>
        <v/>
      </c>
      <c r="AS7" s="194">
        <f>AR7/$AR$21%</f>
        <v/>
      </c>
      <c r="AT7" s="196" t="n"/>
    </row>
    <row r="8" ht="20.1" customHeight="1">
      <c r="A8" s="151" t="n">
        <v>4</v>
      </c>
      <c r="B8" s="151" t="inlineStr">
        <is>
          <t xml:space="preserve">Kaung Kyi </t>
        </is>
      </c>
      <c r="C8" s="152" t="n">
        <v>0.64</v>
      </c>
      <c r="D8" s="152" t="inlineStr">
        <is>
          <t>1 * 14</t>
        </is>
      </c>
      <c r="E8" s="164" t="n">
        <v>335</v>
      </c>
      <c r="F8" s="164" t="n">
        <v>4690</v>
      </c>
      <c r="G8" s="166">
        <f>F8*$C8</f>
        <v/>
      </c>
      <c r="H8" s="164" t="n">
        <v>250</v>
      </c>
      <c r="I8" s="164" t="n">
        <v>3500</v>
      </c>
      <c r="J8" s="1302">
        <f>I8*$C8</f>
        <v/>
      </c>
      <c r="K8" s="164" t="n">
        <v>420</v>
      </c>
      <c r="L8" s="164" t="n">
        <v>5880</v>
      </c>
      <c r="M8" s="166">
        <f>L8*$C8</f>
        <v/>
      </c>
      <c r="N8" s="164" t="n">
        <v>345</v>
      </c>
      <c r="O8" s="164" t="n">
        <v>4830</v>
      </c>
      <c r="P8" s="166">
        <f>O8*$C8</f>
        <v/>
      </c>
      <c r="Q8" s="164" t="n">
        <v>165</v>
      </c>
      <c r="R8" s="164" t="n">
        <v>2310</v>
      </c>
      <c r="S8" s="166">
        <f>R8*$C8</f>
        <v/>
      </c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  <c r="AI8" s="164" t="n"/>
      <c r="AJ8" s="164" t="n"/>
      <c r="AK8" s="164" t="n"/>
      <c r="AL8" s="164" t="n"/>
      <c r="AM8" s="164" t="n"/>
      <c r="AN8" s="164" t="n"/>
      <c r="AO8" s="1301">
        <f>E8+H8+K8+N8+Q8</f>
        <v/>
      </c>
      <c r="AP8" s="1301">
        <f>F8+I8+L8+O8+R8</f>
        <v/>
      </c>
      <c r="AQ8" s="1301">
        <f>G8+J8+M8+P8+S8</f>
        <v/>
      </c>
      <c r="AR8" s="1301">
        <f>AQ8/5</f>
        <v/>
      </c>
      <c r="AS8" s="194">
        <f>AR8/$AR$21%</f>
        <v/>
      </c>
      <c r="AT8" s="196" t="n">
        <v>4</v>
      </c>
    </row>
    <row r="9" ht="20.1" customHeight="1">
      <c r="A9" s="151" t="n">
        <v>5</v>
      </c>
      <c r="B9" s="151" t="inlineStr">
        <is>
          <t xml:space="preserve">Moe Nae Kon Ki </t>
        </is>
      </c>
      <c r="C9" s="152" t="n">
        <v>0.64</v>
      </c>
      <c r="D9" s="152" t="inlineStr">
        <is>
          <t>1 * 14</t>
        </is>
      </c>
      <c r="E9" s="164" t="n">
        <v>152</v>
      </c>
      <c r="F9" s="164" t="n">
        <v>2128</v>
      </c>
      <c r="G9" s="166">
        <f>F9*$C9</f>
        <v/>
      </c>
      <c r="H9" s="164" t="n">
        <v>280</v>
      </c>
      <c r="I9" s="164" t="n">
        <v>3920</v>
      </c>
      <c r="J9" s="1302">
        <f>I9*$C9</f>
        <v/>
      </c>
      <c r="K9" s="164" t="n">
        <v>153</v>
      </c>
      <c r="L9" s="164" t="n">
        <v>2142</v>
      </c>
      <c r="M9" s="166">
        <f>L9*$C9</f>
        <v/>
      </c>
      <c r="N9" s="164" t="n"/>
      <c r="O9" s="164" t="n"/>
      <c r="P9" s="166">
        <f>O9*$C9</f>
        <v/>
      </c>
      <c r="Q9" s="164" t="n">
        <v>5</v>
      </c>
      <c r="R9" s="164" t="n">
        <v>70</v>
      </c>
      <c r="S9" s="166">
        <f>R9*$C9</f>
        <v/>
      </c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64" t="n"/>
      <c r="AJ9" s="164" t="n"/>
      <c r="AK9" s="164" t="n"/>
      <c r="AL9" s="164" t="n"/>
      <c r="AM9" s="164" t="n"/>
      <c r="AN9" s="164" t="n"/>
      <c r="AO9" s="1301">
        <f>E9+H9+K9+N9+Q9</f>
        <v/>
      </c>
      <c r="AP9" s="1301">
        <f>F9+I9+L9+O9+R9</f>
        <v/>
      </c>
      <c r="AQ9" s="1301">
        <f>G9+J9+M9+P9+S9</f>
        <v/>
      </c>
      <c r="AR9" s="1301">
        <f>AQ9/5</f>
        <v/>
      </c>
      <c r="AS9" s="194">
        <f>AR9/$AR$21%</f>
        <v/>
      </c>
      <c r="AT9" s="196" t="n"/>
    </row>
    <row r="10" ht="20.1" customHeight="1">
      <c r="A10" s="151" t="n">
        <v>6</v>
      </c>
      <c r="B10" s="151" t="inlineStr">
        <is>
          <t xml:space="preserve">Zayawaddy Red </t>
        </is>
      </c>
      <c r="C10" s="152" t="n">
        <v>0.7</v>
      </c>
      <c r="D10" s="152" t="inlineStr">
        <is>
          <t>1 * 12</t>
        </is>
      </c>
      <c r="E10" s="164" t="n">
        <v>2</v>
      </c>
      <c r="F10" s="164" t="n">
        <v>24</v>
      </c>
      <c r="G10" s="166">
        <f>F10*$C10</f>
        <v/>
      </c>
      <c r="H10" s="164" t="n">
        <v>2</v>
      </c>
      <c r="I10" s="164" t="n">
        <v>24</v>
      </c>
      <c r="J10" s="1302">
        <f>I10*$C10</f>
        <v/>
      </c>
      <c r="K10" s="164" t="n">
        <v>8</v>
      </c>
      <c r="L10" s="164" t="n">
        <v>96</v>
      </c>
      <c r="M10" s="166">
        <f>L10*$C10</f>
        <v/>
      </c>
      <c r="N10" s="164" t="n">
        <v>3</v>
      </c>
      <c r="O10" s="164" t="n">
        <v>36</v>
      </c>
      <c r="P10" s="166">
        <f>O10*$C10</f>
        <v/>
      </c>
      <c r="Q10" s="164" t="n"/>
      <c r="R10" s="164" t="n"/>
      <c r="S10" s="166">
        <f>R10*$C10</f>
        <v/>
      </c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I10" s="164" t="n"/>
      <c r="AJ10" s="164" t="n"/>
      <c r="AK10" s="164" t="n"/>
      <c r="AL10" s="164" t="n"/>
      <c r="AM10" s="164" t="n"/>
      <c r="AN10" s="164" t="n"/>
      <c r="AO10" s="1301">
        <f>E10+H10+K10+N10+Q10</f>
        <v/>
      </c>
      <c r="AP10" s="1301">
        <f>F10+I10+L10+O10+R10</f>
        <v/>
      </c>
      <c r="AQ10" s="1301">
        <f>G10+J10+M10+P10+S10</f>
        <v/>
      </c>
      <c r="AR10" s="1301">
        <f>AQ10/5</f>
        <v/>
      </c>
      <c r="AS10" s="194">
        <f>AR10/$AR$21%</f>
        <v/>
      </c>
      <c r="AT10" s="196" t="n"/>
    </row>
    <row r="11" ht="20.1" customHeight="1">
      <c r="A11" s="151" t="n">
        <v>7</v>
      </c>
      <c r="B11" s="151" t="inlineStr">
        <is>
          <t xml:space="preserve">Zayawaddy Red </t>
        </is>
      </c>
      <c r="C11" s="152" t="n">
        <v>0.64</v>
      </c>
      <c r="D11" s="152" t="inlineStr">
        <is>
          <t>1 * 14</t>
        </is>
      </c>
      <c r="E11" s="164" t="n">
        <v>341</v>
      </c>
      <c r="F11" s="164" t="n">
        <v>4774</v>
      </c>
      <c r="G11" s="166">
        <f>F11*$C11</f>
        <v/>
      </c>
      <c r="H11" s="164" t="n">
        <v>195</v>
      </c>
      <c r="I11" s="164" t="n">
        <v>2730</v>
      </c>
      <c r="J11" s="1302">
        <f>I11*$C11</f>
        <v/>
      </c>
      <c r="K11" s="164" t="n">
        <v>425</v>
      </c>
      <c r="L11" s="164" t="n">
        <v>5950</v>
      </c>
      <c r="M11" s="166">
        <f>L11*$C11</f>
        <v/>
      </c>
      <c r="N11" s="164" t="n">
        <v>315</v>
      </c>
      <c r="O11" s="164" t="n">
        <v>4410</v>
      </c>
      <c r="P11" s="166">
        <f>O11*$C11</f>
        <v/>
      </c>
      <c r="Q11" s="164" t="n">
        <v>184</v>
      </c>
      <c r="R11" s="164" t="n">
        <v>2576</v>
      </c>
      <c r="S11" s="166">
        <f>R11*$C11</f>
        <v/>
      </c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I11" s="164" t="n"/>
      <c r="AJ11" s="164" t="n"/>
      <c r="AK11" s="164" t="n"/>
      <c r="AL11" s="164" t="n"/>
      <c r="AM11" s="164" t="n"/>
      <c r="AN11" s="164" t="n"/>
      <c r="AO11" s="1301">
        <f>E11+H11+K11+N11+Q11</f>
        <v/>
      </c>
      <c r="AP11" s="1301">
        <f>F11+I11+L11+O11+R11</f>
        <v/>
      </c>
      <c r="AQ11" s="1301">
        <f>G11+J11+M11+P11+S11</f>
        <v/>
      </c>
      <c r="AR11" s="1301">
        <f>AQ11/5</f>
        <v/>
      </c>
      <c r="AS11" s="194">
        <f>AR11/$AR$21%</f>
        <v/>
      </c>
      <c r="AT11" s="196" t="n">
        <v>5</v>
      </c>
    </row>
    <row r="12" ht="20.1" customHeight="1">
      <c r="A12" s="151" t="n">
        <v>8</v>
      </c>
      <c r="B12" s="151" t="inlineStr">
        <is>
          <t>မြန်မာရှောက်ပျား</t>
        </is>
      </c>
      <c r="C12" s="152" t="n">
        <v>0.64</v>
      </c>
      <c r="D12" s="152" t="inlineStr">
        <is>
          <t>1 * 14</t>
        </is>
      </c>
      <c r="E12" s="164" t="n">
        <v>115</v>
      </c>
      <c r="F12" s="164" t="n">
        <v>1610</v>
      </c>
      <c r="G12" s="166">
        <f>F12*$C12</f>
        <v/>
      </c>
      <c r="H12" s="164" t="n">
        <v>130</v>
      </c>
      <c r="I12" s="164" t="n">
        <v>1820</v>
      </c>
      <c r="J12" s="1302">
        <f>I12*$C12</f>
        <v/>
      </c>
      <c r="K12" s="164" t="n">
        <v>85</v>
      </c>
      <c r="L12" s="164" t="n">
        <v>1190</v>
      </c>
      <c r="M12" s="166">
        <f>L12*$C12</f>
        <v/>
      </c>
      <c r="N12" s="164" t="n">
        <v>135</v>
      </c>
      <c r="O12" s="164" t="n">
        <v>1890</v>
      </c>
      <c r="P12" s="166">
        <f>O12*$C12</f>
        <v/>
      </c>
      <c r="Q12" s="164" t="n">
        <v>45</v>
      </c>
      <c r="R12" s="164" t="n">
        <v>630</v>
      </c>
      <c r="S12" s="166">
        <f>R12*$C12</f>
        <v/>
      </c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  <c r="AI12" s="164" t="n"/>
      <c r="AJ12" s="164" t="n"/>
      <c r="AK12" s="164" t="n"/>
      <c r="AL12" s="164" t="n"/>
      <c r="AM12" s="164" t="n"/>
      <c r="AN12" s="164" t="n"/>
      <c r="AO12" s="1301">
        <f>E12+H12+K12+N12+Q12</f>
        <v/>
      </c>
      <c r="AP12" s="1301">
        <f>F12+I12+L12+O12+R12</f>
        <v/>
      </c>
      <c r="AQ12" s="1301">
        <f>G12+J12+M12+P12+S12</f>
        <v/>
      </c>
      <c r="AR12" s="1301">
        <f>AQ12/5</f>
        <v/>
      </c>
      <c r="AS12" s="194">
        <f>AR12/$AR$21%</f>
        <v/>
      </c>
      <c r="AT12" s="196" t="n"/>
    </row>
    <row r="13" ht="20.1" customHeight="1">
      <c r="A13" s="151" t="n">
        <v>9</v>
      </c>
      <c r="B13" s="195" t="inlineStr">
        <is>
          <t>သံပုရာအရက်</t>
        </is>
      </c>
      <c r="C13" s="152" t="n">
        <v>0.64</v>
      </c>
      <c r="D13" s="152" t="inlineStr">
        <is>
          <t>1 * 14</t>
        </is>
      </c>
      <c r="E13" s="164" t="n">
        <v>985</v>
      </c>
      <c r="F13" s="164" t="n">
        <v>13790</v>
      </c>
      <c r="G13" s="166">
        <f>F13*$C13</f>
        <v/>
      </c>
      <c r="H13" s="164" t="n">
        <v>1015</v>
      </c>
      <c r="I13" s="164" t="n">
        <v>14210</v>
      </c>
      <c r="J13" s="1302">
        <f>I13*$C13</f>
        <v/>
      </c>
      <c r="K13" s="164" t="n">
        <v>1054</v>
      </c>
      <c r="L13" s="164" t="n">
        <v>14756</v>
      </c>
      <c r="M13" s="166">
        <f>L13*$C13</f>
        <v/>
      </c>
      <c r="N13" s="164" t="n">
        <v>980</v>
      </c>
      <c r="O13" s="164" t="n">
        <v>13720</v>
      </c>
      <c r="P13" s="166">
        <f>O13*$C13</f>
        <v/>
      </c>
      <c r="Q13" s="164" t="n">
        <v>855</v>
      </c>
      <c r="R13" s="164" t="n">
        <v>11970</v>
      </c>
      <c r="S13" s="166">
        <f>R13*$C13</f>
        <v/>
      </c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  <c r="AI13" s="164" t="n"/>
      <c r="AJ13" s="164" t="n"/>
      <c r="AK13" s="164" t="n"/>
      <c r="AL13" s="164" t="n"/>
      <c r="AM13" s="164" t="n"/>
      <c r="AN13" s="164" t="n"/>
      <c r="AO13" s="1301">
        <f>E13+H13+K13+N13+Q13</f>
        <v/>
      </c>
      <c r="AP13" s="1301">
        <f>F13+I13+L13+O13+R13</f>
        <v/>
      </c>
      <c r="AQ13" s="1301">
        <f>G13+J13+M13+P13+S13</f>
        <v/>
      </c>
      <c r="AR13" s="1301">
        <f>AQ13/5</f>
        <v/>
      </c>
      <c r="AS13" s="194">
        <f>AR13/$AR$21%</f>
        <v/>
      </c>
      <c r="AT13" s="196" t="n">
        <v>3</v>
      </c>
    </row>
    <row r="14" ht="20.1" customHeight="1">
      <c r="A14" s="151" t="n">
        <v>10</v>
      </c>
      <c r="B14" s="151" t="inlineStr">
        <is>
          <t>ချယ်ရီသံပုရာ (1 Liter )</t>
        </is>
      </c>
      <c r="C14" s="152" t="n">
        <v>1</v>
      </c>
      <c r="D14" s="152" t="inlineStr">
        <is>
          <t>1 * 12</t>
        </is>
      </c>
      <c r="E14" s="164" t="n">
        <v>10</v>
      </c>
      <c r="F14" s="164" t="n">
        <v>120</v>
      </c>
      <c r="G14" s="166">
        <f>F14*$C14</f>
        <v/>
      </c>
      <c r="H14" s="164" t="n">
        <v>25</v>
      </c>
      <c r="I14" s="164" t="n">
        <v>300</v>
      </c>
      <c r="J14" s="1302">
        <f>I14*$C14</f>
        <v/>
      </c>
      <c r="K14" s="164" t="n"/>
      <c r="L14" s="164" t="n"/>
      <c r="M14" s="166">
        <f>L14*$C14</f>
        <v/>
      </c>
      <c r="N14" s="164" t="n">
        <v>15</v>
      </c>
      <c r="O14" s="164" t="n">
        <v>180</v>
      </c>
      <c r="P14" s="166">
        <f>O14*$C14</f>
        <v/>
      </c>
      <c r="Q14" s="164" t="n"/>
      <c r="R14" s="164" t="n"/>
      <c r="S14" s="166">
        <f>R14*$C14</f>
        <v/>
      </c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  <c r="AI14" s="164" t="n"/>
      <c r="AJ14" s="164" t="n"/>
      <c r="AK14" s="164" t="n"/>
      <c r="AL14" s="164" t="n"/>
      <c r="AM14" s="164" t="n"/>
      <c r="AN14" s="164" t="n"/>
      <c r="AO14" s="1301">
        <f>E14+H14+K14+N14+Q14</f>
        <v/>
      </c>
      <c r="AP14" s="1301">
        <f>F14+I14+L14+O14+R14</f>
        <v/>
      </c>
      <c r="AQ14" s="1301">
        <f>G14+J14+M14+P14+S14</f>
        <v/>
      </c>
      <c r="AR14" s="1301">
        <f>AQ14/5</f>
        <v/>
      </c>
      <c r="AS14" s="194">
        <f>AR14/$AR$21%</f>
        <v/>
      </c>
      <c r="AT14" s="196" t="n"/>
    </row>
    <row r="15" ht="20.1" customHeight="1">
      <c r="A15" s="151" t="n">
        <v>11</v>
      </c>
      <c r="B15" s="151" t="inlineStr">
        <is>
          <t>ချယ်ရီသံပုရာ (0.6 Liter )</t>
        </is>
      </c>
      <c r="C15" s="152" t="n">
        <v>0.6</v>
      </c>
      <c r="D15" s="152" t="inlineStr">
        <is>
          <t>1 * 24</t>
        </is>
      </c>
      <c r="E15" s="164" t="n"/>
      <c r="F15" s="164" t="n"/>
      <c r="G15" s="166">
        <f>F15*$C15</f>
        <v/>
      </c>
      <c r="H15" s="164" t="n"/>
      <c r="I15" s="164" t="n"/>
      <c r="J15" s="1302">
        <f>I15*$C15</f>
        <v/>
      </c>
      <c r="K15" s="164" t="n">
        <v>10</v>
      </c>
      <c r="L15" s="164" t="n">
        <v>240</v>
      </c>
      <c r="M15" s="166">
        <f>L15*$C15</f>
        <v/>
      </c>
      <c r="N15" s="164" t="n"/>
      <c r="O15" s="164" t="n"/>
      <c r="P15" s="166">
        <f>O15*$C15</f>
        <v/>
      </c>
      <c r="Q15" s="164" t="n"/>
      <c r="R15" s="164" t="n"/>
      <c r="S15" s="166">
        <f>R15*$C15</f>
        <v/>
      </c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I15" s="164" t="n"/>
      <c r="AJ15" s="164" t="n"/>
      <c r="AK15" s="164" t="n"/>
      <c r="AL15" s="164" t="n"/>
      <c r="AM15" s="164" t="n"/>
      <c r="AN15" s="164" t="n"/>
      <c r="AO15" s="1301">
        <f>E15+H15+K15+N15+Q15</f>
        <v/>
      </c>
      <c r="AP15" s="1301">
        <f>F15+I15+L15+O15+R15</f>
        <v/>
      </c>
      <c r="AQ15" s="1301">
        <f>G15+J15+M15+P15+S15</f>
        <v/>
      </c>
      <c r="AR15" s="1301">
        <f>AQ15/5</f>
        <v/>
      </c>
      <c r="AS15" s="194">
        <f>AR15/$AR$21%</f>
        <v/>
      </c>
      <c r="AT15" s="196" t="n"/>
    </row>
    <row r="16" ht="20.1" customHeight="1">
      <c r="A16" s="151" t="n">
        <v>12</v>
      </c>
      <c r="B16" s="151" t="inlineStr">
        <is>
          <t>ရွှေမင်းသားမန်ကျည်းခေါင်ရည်</t>
        </is>
      </c>
      <c r="C16" s="152" t="n">
        <v>0.64</v>
      </c>
      <c r="D16" s="152" t="n"/>
      <c r="E16" s="164" t="n"/>
      <c r="F16" s="164" t="n"/>
      <c r="G16" s="166">
        <f>F16*$C16</f>
        <v/>
      </c>
      <c r="H16" s="164" t="n"/>
      <c r="I16" s="164" t="n"/>
      <c r="J16" s="1302" t="n"/>
      <c r="K16" s="164" t="n"/>
      <c r="L16" s="164" t="n"/>
      <c r="M16" s="166">
        <f>L16*$C16</f>
        <v/>
      </c>
      <c r="N16" s="164" t="n"/>
      <c r="O16" s="164" t="n"/>
      <c r="P16" s="166">
        <f>O16*$C16</f>
        <v/>
      </c>
      <c r="Q16" s="164" t="n">
        <v>1</v>
      </c>
      <c r="R16" s="164" t="n">
        <v>14</v>
      </c>
      <c r="S16" s="166">
        <f>R16*$C16</f>
        <v/>
      </c>
      <c r="T16" s="164" t="n"/>
      <c r="U16" s="164" t="n"/>
      <c r="V16" s="164" t="n"/>
      <c r="W16" s="164" t="n"/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I16" s="164" t="n"/>
      <c r="AJ16" s="164" t="n"/>
      <c r="AK16" s="164" t="n"/>
      <c r="AL16" s="164" t="n"/>
      <c r="AM16" s="164" t="n"/>
      <c r="AN16" s="164" t="n"/>
      <c r="AO16" s="1301">
        <f>E16+H16+K16+N16+Q16</f>
        <v/>
      </c>
      <c r="AP16" s="1301">
        <f>F16+I16+L16+O16+R16</f>
        <v/>
      </c>
      <c r="AQ16" s="1301">
        <f>G16+J16+M16+P16+S16</f>
        <v/>
      </c>
      <c r="AR16" s="1301">
        <f>AQ16/5</f>
        <v/>
      </c>
      <c r="AS16" s="194">
        <f>AR16/$AR$21%</f>
        <v/>
      </c>
      <c r="AT16" s="196" t="n"/>
    </row>
    <row r="17" ht="20.1" customHeight="1">
      <c r="A17" s="151" t="n">
        <v>13</v>
      </c>
      <c r="B17" s="151" t="inlineStr">
        <is>
          <t xml:space="preserve">White Orange </t>
        </is>
      </c>
      <c r="C17" s="152" t="n">
        <v>0.64</v>
      </c>
      <c r="D17" s="152" t="inlineStr">
        <is>
          <t>1 * 24</t>
        </is>
      </c>
      <c r="E17" s="164" t="n">
        <v>980</v>
      </c>
      <c r="F17" s="164" t="n">
        <v>23520</v>
      </c>
      <c r="G17" s="166">
        <f>F17*$C17</f>
        <v/>
      </c>
      <c r="H17" s="164" t="n">
        <v>975</v>
      </c>
      <c r="I17" s="164" t="n">
        <v>23400</v>
      </c>
      <c r="J17" s="1302">
        <f>I17*$C17</f>
        <v/>
      </c>
      <c r="K17" s="164" t="n">
        <v>1185</v>
      </c>
      <c r="L17" s="164" t="n">
        <v>28440</v>
      </c>
      <c r="M17" s="166">
        <f>L17*$C17</f>
        <v/>
      </c>
      <c r="N17" s="164" t="n">
        <v>960</v>
      </c>
      <c r="O17" s="164" t="n">
        <v>23040</v>
      </c>
      <c r="P17" s="166">
        <f>O17*$C17</f>
        <v/>
      </c>
      <c r="Q17" s="164" t="n">
        <v>785</v>
      </c>
      <c r="R17" s="164" t="n">
        <v>18840</v>
      </c>
      <c r="S17" s="166">
        <f>R17*$C17</f>
        <v/>
      </c>
      <c r="T17" s="164" t="n"/>
      <c r="U17" s="164" t="n"/>
      <c r="V17" s="164" t="n"/>
      <c r="W17" s="164" t="n"/>
      <c r="X17" s="164" t="n"/>
      <c r="Y17" s="164" t="n"/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n"/>
      <c r="AI17" s="164" t="n"/>
      <c r="AJ17" s="164" t="n"/>
      <c r="AK17" s="164" t="n"/>
      <c r="AL17" s="164" t="n"/>
      <c r="AM17" s="164" t="n"/>
      <c r="AN17" s="164" t="n"/>
      <c r="AO17" s="1301">
        <f>E17+H17+K17+N17+Q17</f>
        <v/>
      </c>
      <c r="AP17" s="1301">
        <f>F17+I17+L17+O17+R17</f>
        <v/>
      </c>
      <c r="AQ17" s="1301">
        <f>G17+J17+M17+P17+S17</f>
        <v/>
      </c>
      <c r="AR17" s="1301">
        <f>AQ17/5</f>
        <v/>
      </c>
      <c r="AS17" s="194">
        <f>AR17/$AR$21%</f>
        <v/>
      </c>
      <c r="AT17" s="196" t="n">
        <v>1</v>
      </c>
    </row>
    <row r="18" ht="20.1" customHeight="1">
      <c r="A18" s="151" t="n">
        <v>14</v>
      </c>
      <c r="B18" s="151" t="inlineStr">
        <is>
          <t xml:space="preserve">Dagon </t>
        </is>
      </c>
      <c r="C18" s="152" t="n">
        <v>0.64</v>
      </c>
      <c r="D18" s="152" t="inlineStr">
        <is>
          <t>1 * 14</t>
        </is>
      </c>
      <c r="E18" s="164" t="n">
        <v>205</v>
      </c>
      <c r="F18" s="164" t="n">
        <v>2870</v>
      </c>
      <c r="G18" s="166">
        <f>F18*$C18</f>
        <v/>
      </c>
      <c r="H18" s="164" t="n">
        <v>310</v>
      </c>
      <c r="I18" s="164" t="n">
        <v>4340</v>
      </c>
      <c r="J18" s="1302">
        <f>I18*$C18</f>
        <v/>
      </c>
      <c r="K18" s="164" t="n">
        <v>190</v>
      </c>
      <c r="L18" s="164" t="n">
        <v>2660</v>
      </c>
      <c r="M18" s="166">
        <f>L18*$C18</f>
        <v/>
      </c>
      <c r="N18" s="164" t="n">
        <v>415</v>
      </c>
      <c r="O18" s="164" t="n">
        <v>5810</v>
      </c>
      <c r="P18" s="166">
        <f>O18*$C18</f>
        <v/>
      </c>
      <c r="Q18" s="164" t="n">
        <v>55</v>
      </c>
      <c r="R18" s="164" t="n">
        <v>770</v>
      </c>
      <c r="S18" s="166">
        <f>R18*$C18</f>
        <v/>
      </c>
      <c r="T18" s="164" t="n"/>
      <c r="U18" s="164" t="n"/>
      <c r="V18" s="164" t="n"/>
      <c r="W18" s="164" t="n"/>
      <c r="X18" s="164" t="n"/>
      <c r="Y18" s="164" t="n"/>
      <c r="Z18" s="164" t="n"/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I18" s="164" t="n"/>
      <c r="AJ18" s="164" t="n"/>
      <c r="AK18" s="164" t="n"/>
      <c r="AL18" s="164" t="n"/>
      <c r="AM18" s="164" t="n"/>
      <c r="AN18" s="164" t="n"/>
      <c r="AO18" s="1301">
        <f>E18+H18+K18+N18+Q18</f>
        <v/>
      </c>
      <c r="AP18" s="1301">
        <f>F18+I18+L18+O18+R18</f>
        <v/>
      </c>
      <c r="AQ18" s="1301">
        <f>G18+J18+M18+P18+S18</f>
        <v/>
      </c>
      <c r="AR18" s="1301">
        <f>AQ18/5</f>
        <v/>
      </c>
      <c r="AS18" s="194">
        <f>AR18/$AR$21%</f>
        <v/>
      </c>
      <c r="AT18" s="196" t="n"/>
    </row>
    <row r="19" ht="20.1" customHeight="1">
      <c r="A19" s="151" t="n">
        <v>15</v>
      </c>
      <c r="B19" s="151" t="inlineStr">
        <is>
          <t>Black - Cat</t>
        </is>
      </c>
      <c r="C19" s="152" t="n">
        <v>0.64</v>
      </c>
      <c r="D19" s="152" t="inlineStr">
        <is>
          <t>1 * 24</t>
        </is>
      </c>
      <c r="E19" s="164" t="n">
        <v>30</v>
      </c>
      <c r="F19" s="164" t="n">
        <v>720</v>
      </c>
      <c r="G19" s="166">
        <f>F19*$C19</f>
        <v/>
      </c>
      <c r="H19" s="164" t="n">
        <v>50</v>
      </c>
      <c r="I19" s="164" t="n">
        <v>1200</v>
      </c>
      <c r="J19" s="1302">
        <f>I19*$C19</f>
        <v/>
      </c>
      <c r="K19" s="164" t="n">
        <v>5</v>
      </c>
      <c r="L19" s="164" t="n">
        <v>120</v>
      </c>
      <c r="M19" s="166">
        <f>L19*$C19</f>
        <v/>
      </c>
      <c r="N19" s="164" t="n">
        <v>40</v>
      </c>
      <c r="O19" s="164" t="n">
        <v>960</v>
      </c>
      <c r="P19" s="166">
        <f>O19*$C19</f>
        <v/>
      </c>
      <c r="Q19" s="164" t="n"/>
      <c r="R19" s="164" t="n"/>
      <c r="S19" s="166">
        <f>R19*$C19</f>
        <v/>
      </c>
      <c r="T19" s="164" t="n"/>
      <c r="U19" s="164" t="n"/>
      <c r="V19" s="164" t="n"/>
      <c r="W19" s="164" t="n"/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I19" s="164" t="n"/>
      <c r="AJ19" s="164" t="n"/>
      <c r="AK19" s="164" t="n"/>
      <c r="AL19" s="164" t="n"/>
      <c r="AM19" s="164" t="n"/>
      <c r="AN19" s="164" t="n"/>
      <c r="AO19" s="1301">
        <f>E19+H19+K19+N19+Q19</f>
        <v/>
      </c>
      <c r="AP19" s="1301">
        <f>F19+I19+L19+O19+R19</f>
        <v/>
      </c>
      <c r="AQ19" s="1301">
        <f>G19+J19+M19+P19+S19</f>
        <v/>
      </c>
      <c r="AR19" s="1301">
        <f>AQ19/5</f>
        <v/>
      </c>
      <c r="AS19" s="194">
        <f>AR19/$AR$21%</f>
        <v/>
      </c>
      <c r="AT19" s="196" t="n"/>
    </row>
    <row r="20" ht="20.1" customHeight="1">
      <c r="A20" s="151" t="n">
        <v>16</v>
      </c>
      <c r="B20" s="151" t="inlineStr">
        <is>
          <t>ကင်းမြီးကောက်</t>
        </is>
      </c>
      <c r="C20" s="152" t="n">
        <v>0.64</v>
      </c>
      <c r="D20" s="152" t="inlineStr">
        <is>
          <t>1 * 14</t>
        </is>
      </c>
      <c r="E20" s="164" t="n">
        <v>100</v>
      </c>
      <c r="F20" s="164" t="n">
        <v>1400</v>
      </c>
      <c r="G20" s="166">
        <f>F20*$C20</f>
        <v/>
      </c>
      <c r="H20" s="164" t="n">
        <v>100</v>
      </c>
      <c r="I20" s="164" t="n">
        <v>1400</v>
      </c>
      <c r="J20" s="1302">
        <f>I20*$C20</f>
        <v/>
      </c>
      <c r="K20" s="164" t="n">
        <v>20</v>
      </c>
      <c r="L20" s="164" t="n">
        <v>280</v>
      </c>
      <c r="M20" s="166">
        <f>L20*$C20</f>
        <v/>
      </c>
      <c r="N20" s="164" t="n">
        <v>50</v>
      </c>
      <c r="O20" s="164" t="n">
        <v>700</v>
      </c>
      <c r="P20" s="166">
        <f>O20*$C20</f>
        <v/>
      </c>
      <c r="Q20" s="164" t="n"/>
      <c r="R20" s="164" t="n"/>
      <c r="S20" s="166">
        <f>R20*$C20</f>
        <v/>
      </c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  <c r="AD20" s="164" t="n"/>
      <c r="AE20" s="164" t="n"/>
      <c r="AF20" s="164" t="n"/>
      <c r="AG20" s="164" t="n"/>
      <c r="AH20" s="164" t="n"/>
      <c r="AI20" s="164" t="n"/>
      <c r="AJ20" s="164" t="n"/>
      <c r="AK20" s="164" t="n"/>
      <c r="AL20" s="164" t="n"/>
      <c r="AM20" s="164" t="n"/>
      <c r="AN20" s="164" t="n"/>
      <c r="AO20" s="1301">
        <f>E20+H20+K20+N20+Q20</f>
        <v/>
      </c>
      <c r="AP20" s="1301">
        <f>F20+I20+L20+O20+R20</f>
        <v/>
      </c>
      <c r="AQ20" s="1301">
        <f>G20+J20+M20+P20+S20</f>
        <v/>
      </c>
      <c r="AR20" s="1301">
        <f>AQ20/5</f>
        <v/>
      </c>
      <c r="AS20" s="194">
        <f>AR20/$AR$21%</f>
        <v/>
      </c>
      <c r="AT20" s="196" t="n"/>
    </row>
    <row r="21" ht="20.1" customHeight="1">
      <c r="A21" s="151" t="n"/>
      <c r="B21" s="151" t="inlineStr">
        <is>
          <t>Total</t>
        </is>
      </c>
      <c r="C21" s="152" t="n"/>
      <c r="D21" s="152" t="n"/>
      <c r="E21" s="1304">
        <f>SUM(E5:E20)</f>
        <v/>
      </c>
      <c r="F21" s="1304">
        <f>SUM(F5:F20)</f>
        <v/>
      </c>
      <c r="G21" s="1304">
        <f>SUM(G5:G20)</f>
        <v/>
      </c>
      <c r="H21" s="1304">
        <f>SUM(H5:H20)</f>
        <v/>
      </c>
      <c r="I21" s="1304">
        <f>SUM(I5:I20)</f>
        <v/>
      </c>
      <c r="J21" s="1304">
        <f>SUM(J5:J20)</f>
        <v/>
      </c>
      <c r="K21" s="1304">
        <f>SUM(K5:K20)</f>
        <v/>
      </c>
      <c r="L21" s="1304">
        <f>SUM(L5:L20)</f>
        <v/>
      </c>
      <c r="M21" s="1304">
        <f>SUM(M5:M20)</f>
        <v/>
      </c>
      <c r="N21" s="1304">
        <f>SUM(N5:N20)</f>
        <v/>
      </c>
      <c r="O21" s="1304">
        <f>SUM(O5:O20)</f>
        <v/>
      </c>
      <c r="P21" s="1304">
        <f>SUM(P5:P20)</f>
        <v/>
      </c>
      <c r="Q21" s="1304">
        <f>SUM(Q5:Q20)</f>
        <v/>
      </c>
      <c r="R21" s="1304">
        <f>SUM(R5:R20)</f>
        <v/>
      </c>
      <c r="S21" s="1304">
        <f>SUM(S5:S20)</f>
        <v/>
      </c>
      <c r="T21" s="1304">
        <f>SUM(T5:T20)</f>
        <v/>
      </c>
      <c r="U21" s="1304">
        <f>SUM(U5:U20)</f>
        <v/>
      </c>
      <c r="V21" s="1304">
        <f>SUM(V5:V20)</f>
        <v/>
      </c>
      <c r="W21" s="1304">
        <f>SUM(W5:W20)</f>
        <v/>
      </c>
      <c r="X21" s="1304">
        <f>SUM(X5:X20)</f>
        <v/>
      </c>
      <c r="Y21" s="1304">
        <f>SUM(Y5:Y20)</f>
        <v/>
      </c>
      <c r="Z21" s="1304">
        <f>SUM(Z5:Z20)</f>
        <v/>
      </c>
      <c r="AA21" s="1304">
        <f>SUM(AA5:AA20)</f>
        <v/>
      </c>
      <c r="AB21" s="1304">
        <f>SUM(AB5:AB20)</f>
        <v/>
      </c>
      <c r="AC21" s="1304">
        <f>SUM(AC5:AC20)</f>
        <v/>
      </c>
      <c r="AD21" s="1304">
        <f>SUM(AD5:AD20)</f>
        <v/>
      </c>
      <c r="AE21" s="1304">
        <f>SUM(AE5:AE20)</f>
        <v/>
      </c>
      <c r="AF21" s="1304">
        <f>SUM(AF5:AF20)</f>
        <v/>
      </c>
      <c r="AG21" s="1304">
        <f>SUM(AG5:AG20)</f>
        <v/>
      </c>
      <c r="AH21" s="1304">
        <f>SUM(AH5:AH20)</f>
        <v/>
      </c>
      <c r="AI21" s="1304">
        <f>SUM(AI5:AI20)</f>
        <v/>
      </c>
      <c r="AJ21" s="1304">
        <f>SUM(AJ5:AJ20)</f>
        <v/>
      </c>
      <c r="AK21" s="1304">
        <f>SUM(AK5:AK20)</f>
        <v/>
      </c>
      <c r="AL21" s="1304">
        <f>SUM(AL5:AL20)</f>
        <v/>
      </c>
      <c r="AM21" s="1304">
        <f>SUM(AM5:AM20)</f>
        <v/>
      </c>
      <c r="AN21" s="1304">
        <f>SUM(AN5:AN20)</f>
        <v/>
      </c>
      <c r="AO21" s="1301">
        <f>E21+H21+K21+N21+Q21</f>
        <v/>
      </c>
      <c r="AP21" s="1301">
        <f>F21+I21+L21+O21+R21</f>
        <v/>
      </c>
      <c r="AQ21" s="1301">
        <f>G21+J21+M21+P21+S21</f>
        <v/>
      </c>
      <c r="AR21" s="1301">
        <f>AQ21/5</f>
        <v/>
      </c>
      <c r="AS21" s="194">
        <f>AR21/$AR$21%</f>
        <v/>
      </c>
      <c r="AT21" s="196" t="n"/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AT23"/>
  <sheetViews>
    <sheetView workbookViewId="0">
      <pane xSplit="4" ySplit="4" topLeftCell="K1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3"/>
    </sheetView>
  </sheetViews>
  <sheetFormatPr baseColWidth="8" defaultColWidth="9.109375" defaultRowHeight="13.8"/>
  <cols>
    <col width="7.109375" customWidth="1" style="162" min="1" max="1"/>
    <col width="30.33203125" customWidth="1" style="162" min="2" max="2"/>
    <col width="9.109375" customWidth="1" style="162" min="3" max="4"/>
    <col width="9.5546875" bestFit="1" customWidth="1" style="162" min="5" max="5"/>
    <col width="10.5546875" bestFit="1" customWidth="1" style="162" min="6" max="7"/>
    <col width="9.33203125" bestFit="1" customWidth="1" style="162" min="8" max="12"/>
    <col width="9.5546875" bestFit="1" customWidth="1" style="162" min="13" max="13"/>
    <col width="9.33203125" bestFit="1" customWidth="1" style="162" min="14" max="15"/>
    <col width="9.5546875" bestFit="1" customWidth="1" style="162" min="16" max="16"/>
    <col width="9.33203125" bestFit="1" customWidth="1" style="162" min="17" max="18"/>
    <col width="9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43.5" customHeight="1">
      <c r="B1" s="148" t="inlineStr">
        <is>
          <t>2025 - Sales Details Meiktila (Yamethin Township)</t>
        </is>
      </c>
      <c r="C1" s="149" t="n"/>
      <c r="D1" s="149" t="n"/>
    </row>
    <row r="2" ht="35.25" customHeight="1"/>
    <row r="3" ht="58.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5" t="inlineStr">
        <is>
          <t>January</t>
        </is>
      </c>
      <c r="F3" s="970" t="n"/>
      <c r="G3" s="971" t="n"/>
      <c r="H3" s="965" t="inlineStr">
        <is>
          <t>February</t>
        </is>
      </c>
      <c r="I3" s="970" t="n"/>
      <c r="J3" s="971" t="n"/>
      <c r="K3" s="965" t="inlineStr">
        <is>
          <t>March</t>
        </is>
      </c>
      <c r="L3" s="970" t="n"/>
      <c r="M3" s="971" t="n"/>
      <c r="N3" s="965" t="inlineStr">
        <is>
          <t>April</t>
        </is>
      </c>
      <c r="O3" s="970" t="n"/>
      <c r="P3" s="971" t="n"/>
      <c r="Q3" s="965" t="inlineStr">
        <is>
          <t>May</t>
        </is>
      </c>
      <c r="R3" s="970" t="n"/>
      <c r="S3" s="971" t="n"/>
      <c r="T3" s="965" t="inlineStr">
        <is>
          <t>June</t>
        </is>
      </c>
      <c r="U3" s="970" t="n"/>
      <c r="V3" s="971" t="n"/>
      <c r="W3" s="965" t="inlineStr">
        <is>
          <t>July</t>
        </is>
      </c>
      <c r="X3" s="970" t="n"/>
      <c r="Y3" s="971" t="n"/>
      <c r="Z3" s="965" t="inlineStr">
        <is>
          <t>August</t>
        </is>
      </c>
      <c r="AA3" s="970" t="n"/>
      <c r="AB3" s="971" t="n"/>
      <c r="AC3" s="965" t="inlineStr">
        <is>
          <t>September</t>
        </is>
      </c>
      <c r="AD3" s="970" t="n"/>
      <c r="AE3" s="971" t="n"/>
      <c r="AF3" s="965" t="inlineStr">
        <is>
          <t>October</t>
        </is>
      </c>
      <c r="AG3" s="970" t="n"/>
      <c r="AH3" s="971" t="n"/>
      <c r="AI3" s="965" t="inlineStr">
        <is>
          <t>November</t>
        </is>
      </c>
      <c r="AJ3" s="970" t="n"/>
      <c r="AK3" s="971" t="n"/>
      <c r="AL3" s="965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0" t="inlineStr">
        <is>
          <t>Average</t>
        </is>
      </c>
      <c r="AS3" s="181" t="inlineStr">
        <is>
          <t>Contribution</t>
        </is>
      </c>
    </row>
    <row r="4" ht="39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0" t="inlineStr">
        <is>
          <t>CASES</t>
        </is>
      </c>
      <c r="AP4" s="1290" t="inlineStr">
        <is>
          <t>BOTTLES</t>
        </is>
      </c>
      <c r="AQ4" s="1290" t="inlineStr">
        <is>
          <t>Liter</t>
        </is>
      </c>
      <c r="AR4" s="1290" t="inlineStr">
        <is>
          <t>Liter</t>
        </is>
      </c>
      <c r="AS4" s="1290" t="inlineStr">
        <is>
          <t>Liter</t>
        </is>
      </c>
    </row>
    <row r="5" ht="20.4" customHeight="1">
      <c r="A5" s="152" t="n">
        <v>1</v>
      </c>
      <c r="B5" s="151" t="inlineStr">
        <is>
          <t>"Zay" Vodka 700-ml</t>
        </is>
      </c>
      <c r="C5" s="151" t="n">
        <v>0.7</v>
      </c>
      <c r="D5" s="151" t="inlineStr">
        <is>
          <t>1 * 12</t>
        </is>
      </c>
      <c r="E5" s="151" t="n">
        <v>25</v>
      </c>
      <c r="F5" s="151" t="n">
        <v>300</v>
      </c>
      <c r="G5" s="151" t="n">
        <v>210</v>
      </c>
      <c r="H5" s="151" t="n"/>
      <c r="I5" s="151" t="n"/>
      <c r="J5" s="1305">
        <f>I5*$C5</f>
        <v/>
      </c>
      <c r="K5" s="151" t="n"/>
      <c r="L5" s="151" t="n"/>
      <c r="M5" s="151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301">
        <f>E5+H5+K5+N5+Q5</f>
        <v/>
      </c>
      <c r="AP5" s="1301">
        <f>F5+I5+L5+O5+R5</f>
        <v/>
      </c>
      <c r="AQ5" s="1301">
        <f>G5+J5+M5+P5+S5</f>
        <v/>
      </c>
      <c r="AR5" s="1301">
        <f>AQ5/5</f>
        <v/>
      </c>
      <c r="AS5" s="194">
        <f>AR5/$AR$23%</f>
        <v/>
      </c>
    </row>
    <row r="6" ht="20.4" customHeight="1">
      <c r="A6" s="152" t="n">
        <v>2</v>
      </c>
      <c r="B6" s="151" t="inlineStr">
        <is>
          <t>"Zay" - 640ml</t>
        </is>
      </c>
      <c r="C6" s="151" t="n">
        <v>0.64</v>
      </c>
      <c r="D6" s="151" t="inlineStr">
        <is>
          <t>1 * 14</t>
        </is>
      </c>
      <c r="E6" s="151" t="n">
        <v>227</v>
      </c>
      <c r="F6" s="151" t="n">
        <v>3178</v>
      </c>
      <c r="G6" s="151" t="n">
        <v>2033.92</v>
      </c>
      <c r="H6" s="151" t="n">
        <v>452</v>
      </c>
      <c r="I6" s="151" t="n">
        <v>6328</v>
      </c>
      <c r="J6" s="1305">
        <f>I6*$C6</f>
        <v/>
      </c>
      <c r="K6" s="151" t="n">
        <v>280</v>
      </c>
      <c r="L6" s="151" t="n">
        <v>3920</v>
      </c>
      <c r="M6" s="169">
        <f>L6*$C6</f>
        <v/>
      </c>
      <c r="N6" s="151" t="n">
        <v>290</v>
      </c>
      <c r="O6" s="151" t="n">
        <v>4060</v>
      </c>
      <c r="P6" s="169">
        <f>O6*$C6</f>
        <v/>
      </c>
      <c r="Q6" s="151" t="n">
        <v>420</v>
      </c>
      <c r="R6" s="151" t="n">
        <v>5880</v>
      </c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301">
        <f>E6+H6+K6+N6+Q6</f>
        <v/>
      </c>
      <c r="AP6" s="1301">
        <f>F6+I6+L6+O6+R6</f>
        <v/>
      </c>
      <c r="AQ6" s="1301">
        <f>G6+J6+M6+P6+S6</f>
        <v/>
      </c>
      <c r="AR6" s="1301">
        <f>AQ6/5</f>
        <v/>
      </c>
      <c r="AS6" s="194">
        <f>AR6/$AR$23%</f>
        <v/>
      </c>
      <c r="AT6" s="162" t="n">
        <v>2</v>
      </c>
    </row>
    <row r="7" ht="20.4" customHeight="1">
      <c r="A7" s="152" t="n">
        <v>3</v>
      </c>
      <c r="B7" s="151" t="inlineStr">
        <is>
          <t>Kaung Kyi (1 Liter)_25%</t>
        </is>
      </c>
      <c r="C7" s="151" t="n">
        <v>1</v>
      </c>
      <c r="D7" s="151" t="inlineStr">
        <is>
          <t>1 * 12</t>
        </is>
      </c>
      <c r="E7" s="151" t="n"/>
      <c r="F7" s="151" t="n"/>
      <c r="G7" s="151" t="n"/>
      <c r="H7" s="151" t="n">
        <v>30</v>
      </c>
      <c r="I7" s="151" t="n">
        <v>360</v>
      </c>
      <c r="J7" s="1305">
        <f>I7*$C7</f>
        <v/>
      </c>
      <c r="K7" s="151" t="n"/>
      <c r="L7" s="151" t="n"/>
      <c r="M7" s="169">
        <f>L7*$C7</f>
        <v/>
      </c>
      <c r="N7" s="151" t="n">
        <v>50</v>
      </c>
      <c r="O7" s="151" t="n">
        <v>600</v>
      </c>
      <c r="P7" s="169">
        <f>O7*$C7</f>
        <v/>
      </c>
      <c r="Q7" s="151" t="n"/>
      <c r="R7" s="151" t="n"/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301">
        <f>E7+H7+K7+N7+Q7</f>
        <v/>
      </c>
      <c r="AP7" s="1301">
        <f>F7+I7+L7+O7+R7</f>
        <v/>
      </c>
      <c r="AQ7" s="1301">
        <f>G7+J7+M7+P7+S7</f>
        <v/>
      </c>
      <c r="AR7" s="1301">
        <f>AQ7/5</f>
        <v/>
      </c>
      <c r="AS7" s="194">
        <f>AR7/$AR$23%</f>
        <v/>
      </c>
    </row>
    <row r="8" ht="20.4" customHeight="1">
      <c r="A8" s="152" t="n">
        <v>4</v>
      </c>
      <c r="B8" s="151" t="inlineStr">
        <is>
          <t xml:space="preserve">Kaung Kyi </t>
        </is>
      </c>
      <c r="C8" s="151" t="n">
        <v>0.64</v>
      </c>
      <c r="D8" s="151" t="inlineStr">
        <is>
          <t>1 * 14</t>
        </is>
      </c>
      <c r="E8" s="151" t="n">
        <v>50</v>
      </c>
      <c r="F8" s="151" t="n">
        <v>700</v>
      </c>
      <c r="G8" s="151" t="n">
        <v>448</v>
      </c>
      <c r="H8" s="151" t="n"/>
      <c r="I8" s="151" t="n"/>
      <c r="J8" s="1305">
        <f>I8*$C8</f>
        <v/>
      </c>
      <c r="K8" s="151" t="n">
        <v>50</v>
      </c>
      <c r="L8" s="151" t="n">
        <v>700</v>
      </c>
      <c r="M8" s="169">
        <f>L8*$C8</f>
        <v/>
      </c>
      <c r="N8" s="151" t="n">
        <v>5</v>
      </c>
      <c r="O8" s="151" t="n">
        <v>70</v>
      </c>
      <c r="P8" s="169">
        <f>O8*$C8</f>
        <v/>
      </c>
      <c r="Q8" s="151" t="n"/>
      <c r="R8" s="151" t="n"/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301">
        <f>E8+H8+K8+N8+Q8</f>
        <v/>
      </c>
      <c r="AP8" s="1301">
        <f>F8+I8+L8+O8+R8</f>
        <v/>
      </c>
      <c r="AQ8" s="1301">
        <f>G8+J8+M8+P8+S8</f>
        <v/>
      </c>
      <c r="AR8" s="1301">
        <f>AQ8/5</f>
        <v/>
      </c>
      <c r="AS8" s="194">
        <f>AR8/$AR$23%</f>
        <v/>
      </c>
    </row>
    <row r="9" ht="20.4" customHeight="1">
      <c r="A9" s="152" t="n">
        <v>5</v>
      </c>
      <c r="B9" s="151" t="inlineStr">
        <is>
          <t>မိုးနဲကွန်ကီကော်ဘူး(1 Liter)</t>
        </is>
      </c>
      <c r="C9" s="151" t="n">
        <v>1</v>
      </c>
      <c r="D9" s="151" t="inlineStr">
        <is>
          <t>1 * 12</t>
        </is>
      </c>
      <c r="E9" s="151" t="n"/>
      <c r="F9" s="151" t="n"/>
      <c r="G9" s="151" t="n"/>
      <c r="H9" s="151" t="n"/>
      <c r="I9" s="151" t="n"/>
      <c r="J9" s="1305">
        <f>I9*$C9</f>
        <v/>
      </c>
      <c r="K9" s="151" t="n">
        <v>250</v>
      </c>
      <c r="L9" s="151" t="n">
        <v>6000</v>
      </c>
      <c r="M9" s="169">
        <f>L9*$C9</f>
        <v/>
      </c>
      <c r="N9" s="151" t="n">
        <v>6</v>
      </c>
      <c r="O9" s="151" t="n">
        <v>144</v>
      </c>
      <c r="P9" s="169">
        <f>O9*$C9</f>
        <v/>
      </c>
      <c r="Q9" s="151" t="n">
        <v>10</v>
      </c>
      <c r="R9" s="151" t="n">
        <v>120</v>
      </c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301">
        <f>E9+H9+K9+N9+Q9</f>
        <v/>
      </c>
      <c r="AP9" s="1301">
        <f>F9+I9+L9+O9+R9</f>
        <v/>
      </c>
      <c r="AQ9" s="1301">
        <f>G9+J9+M9+P9+S9</f>
        <v/>
      </c>
      <c r="AR9" s="1301">
        <f>AQ9/5</f>
        <v/>
      </c>
      <c r="AS9" s="194">
        <f>AR9/$AR$23%</f>
        <v/>
      </c>
    </row>
    <row r="10" ht="20.4" customHeight="1">
      <c r="A10" s="152" t="n">
        <v>6</v>
      </c>
      <c r="B10" s="151" t="inlineStr">
        <is>
          <t xml:space="preserve">Moe Nae Kon Ki </t>
        </is>
      </c>
      <c r="C10" s="151" t="n">
        <v>0.64</v>
      </c>
      <c r="D10" s="151" t="inlineStr">
        <is>
          <t>1 * 14</t>
        </is>
      </c>
      <c r="E10" s="151" t="n">
        <v>667</v>
      </c>
      <c r="F10" s="151" t="n">
        <v>9338</v>
      </c>
      <c r="G10" s="151" t="n">
        <v>5976.32</v>
      </c>
      <c r="H10" s="151" t="n">
        <v>2</v>
      </c>
      <c r="I10" s="151" t="n">
        <v>28</v>
      </c>
      <c r="J10" s="1305">
        <f>I10*$C10</f>
        <v/>
      </c>
      <c r="K10" s="151" t="n">
        <v>156</v>
      </c>
      <c r="L10" s="151" t="n">
        <v>2184</v>
      </c>
      <c r="M10" s="169">
        <f>L10*$C10</f>
        <v/>
      </c>
      <c r="N10" s="151" t="n"/>
      <c r="O10" s="151" t="n"/>
      <c r="P10" s="169">
        <f>O10*$C10</f>
        <v/>
      </c>
      <c r="Q10" s="151" t="n">
        <v>1</v>
      </c>
      <c r="R10" s="151" t="n">
        <v>14</v>
      </c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301">
        <f>E10+H10+K10+N10+Q10</f>
        <v/>
      </c>
      <c r="AP10" s="1301">
        <f>F10+I10+L10+O10+R10</f>
        <v/>
      </c>
      <c r="AQ10" s="1301">
        <f>G10+J10+M10+P10+S10</f>
        <v/>
      </c>
      <c r="AR10" s="1301">
        <f>AQ10/5</f>
        <v/>
      </c>
      <c r="AS10" s="194">
        <f>AR10/$AR$23%</f>
        <v/>
      </c>
      <c r="AT10" s="162" t="n">
        <v>5</v>
      </c>
    </row>
    <row r="11" ht="20.4" customHeight="1">
      <c r="A11" s="152" t="n">
        <v>7</v>
      </c>
      <c r="B11" s="151" t="inlineStr">
        <is>
          <t xml:space="preserve">Zayawaddy Red </t>
        </is>
      </c>
      <c r="C11" s="151" t="n">
        <v>0.7</v>
      </c>
      <c r="D11" s="151" t="inlineStr">
        <is>
          <t>1 * 12</t>
        </is>
      </c>
      <c r="E11" s="151" t="n">
        <v>1</v>
      </c>
      <c r="F11" s="151" t="n">
        <v>12</v>
      </c>
      <c r="G11" s="151" t="n">
        <v>8.399999999999999</v>
      </c>
      <c r="H11" s="151" t="n"/>
      <c r="I11" s="151" t="n"/>
      <c r="J11" s="1305">
        <f>I11*$C11</f>
        <v/>
      </c>
      <c r="K11" s="151" t="n"/>
      <c r="L11" s="151" t="n"/>
      <c r="M11" s="169">
        <f>L11*$C11</f>
        <v/>
      </c>
      <c r="N11" s="151" t="n"/>
      <c r="O11" s="151" t="n"/>
      <c r="P11" s="169">
        <f>O11*$C11</f>
        <v/>
      </c>
      <c r="Q11" s="151" t="n"/>
      <c r="R11" s="151" t="n"/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301">
        <f>E11+H11+K11+N11+Q11</f>
        <v/>
      </c>
      <c r="AP11" s="1301">
        <f>F11+I11+L11+O11+R11</f>
        <v/>
      </c>
      <c r="AQ11" s="1301">
        <f>G11+J11+M11+P11+S11</f>
        <v/>
      </c>
      <c r="AR11" s="1301">
        <f>AQ11/5</f>
        <v/>
      </c>
      <c r="AS11" s="194">
        <f>AR11/$AR$23%</f>
        <v/>
      </c>
    </row>
    <row r="12" ht="20.4" customHeight="1">
      <c r="A12" s="152" t="n">
        <v>8</v>
      </c>
      <c r="B12" s="151" t="inlineStr">
        <is>
          <t>Zeyawaddy Rum (43%)</t>
        </is>
      </c>
      <c r="C12" s="151" t="n">
        <v>0.68</v>
      </c>
      <c r="D12" s="151" t="inlineStr">
        <is>
          <t>1 * 12</t>
        </is>
      </c>
      <c r="E12" s="151" t="n"/>
      <c r="F12" s="151" t="n"/>
      <c r="G12" s="151" t="n"/>
      <c r="H12" s="151" t="n"/>
      <c r="I12" s="151" t="n"/>
      <c r="J12" s="1305">
        <f>I12*$C12</f>
        <v/>
      </c>
      <c r="K12" s="151" t="n"/>
      <c r="L12" s="151" t="n"/>
      <c r="M12" s="169">
        <f>L12*$C12</f>
        <v/>
      </c>
      <c r="N12" s="151" t="n"/>
      <c r="O12" s="151" t="n"/>
      <c r="P12" s="169">
        <f>O12*$C12</f>
        <v/>
      </c>
      <c r="Q12" s="151" t="n">
        <v>20</v>
      </c>
      <c r="R12" s="151" t="n">
        <v>240</v>
      </c>
      <c r="S12" s="169">
        <f>R12*$C12</f>
        <v/>
      </c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1301">
        <f>E12+H12+K12+N12+Q12</f>
        <v/>
      </c>
      <c r="AP12" s="1301">
        <f>F12+I12+L12+O12+R12</f>
        <v/>
      </c>
      <c r="AQ12" s="1301">
        <f>G12+J12+M12+P12+S12</f>
        <v/>
      </c>
      <c r="AR12" s="1301">
        <f>AQ12/5</f>
        <v/>
      </c>
      <c r="AS12" s="194">
        <f>AR12/$AR$23%</f>
        <v/>
      </c>
    </row>
    <row r="13" ht="20.4" customHeight="1">
      <c r="A13" s="152" t="n">
        <v>9</v>
      </c>
      <c r="B13" s="151" t="inlineStr">
        <is>
          <t xml:space="preserve">Zayawaddy Red </t>
        </is>
      </c>
      <c r="C13" s="151" t="n">
        <v>0.64</v>
      </c>
      <c r="D13" s="151" t="inlineStr">
        <is>
          <t>1 * 14</t>
        </is>
      </c>
      <c r="E13" s="151" t="n"/>
      <c r="F13" s="151" t="n"/>
      <c r="G13" s="151" t="n"/>
      <c r="H13" s="151" t="n"/>
      <c r="I13" s="151" t="n"/>
      <c r="J13" s="1305">
        <f>I13*$C13</f>
        <v/>
      </c>
      <c r="K13" s="151" t="n">
        <v>50</v>
      </c>
      <c r="L13" s="151" t="n">
        <v>700</v>
      </c>
      <c r="M13" s="169">
        <f>L13*$C13</f>
        <v/>
      </c>
      <c r="N13" s="151" t="n"/>
      <c r="O13" s="151" t="n"/>
      <c r="P13" s="169">
        <f>O13*$C13</f>
        <v/>
      </c>
      <c r="Q13" s="151" t="n">
        <v>3</v>
      </c>
      <c r="R13" s="151" t="n">
        <v>42</v>
      </c>
      <c r="S13" s="169">
        <f>R13*$C13</f>
        <v/>
      </c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301">
        <f>E13+H13+K13+N13+Q13</f>
        <v/>
      </c>
      <c r="AP13" s="1301">
        <f>F13+I13+L13+O13+R13</f>
        <v/>
      </c>
      <c r="AQ13" s="1301">
        <f>G13+J13+M13+P13+S13</f>
        <v/>
      </c>
      <c r="AR13" s="1301">
        <f>AQ13/5</f>
        <v/>
      </c>
      <c r="AS13" s="194">
        <f>AR13/$AR$23%</f>
        <v/>
      </c>
    </row>
    <row r="14" ht="20.4" customHeight="1">
      <c r="A14" s="152" t="n">
        <v>10</v>
      </c>
      <c r="B14" s="151" t="inlineStr">
        <is>
          <t>မြန်မာရှောက်ပျား</t>
        </is>
      </c>
      <c r="C14" s="151" t="n">
        <v>0.64</v>
      </c>
      <c r="D14" s="151" t="inlineStr">
        <is>
          <t>1 * 14</t>
        </is>
      </c>
      <c r="E14" s="151" t="n">
        <v>200</v>
      </c>
      <c r="F14" s="151" t="n">
        <v>2800</v>
      </c>
      <c r="G14" s="151" t="n">
        <v>1792</v>
      </c>
      <c r="H14" s="151" t="n">
        <v>223</v>
      </c>
      <c r="I14" s="151" t="n">
        <v>3122</v>
      </c>
      <c r="J14" s="1305">
        <f>I14*$C14</f>
        <v/>
      </c>
      <c r="K14" s="151" t="n">
        <v>410</v>
      </c>
      <c r="L14" s="151" t="n">
        <v>5740</v>
      </c>
      <c r="M14" s="169">
        <f>L14*$C14</f>
        <v/>
      </c>
      <c r="N14" s="151" t="n">
        <v>200</v>
      </c>
      <c r="O14" s="151" t="n">
        <v>2800</v>
      </c>
      <c r="P14" s="169">
        <f>O14*$C14</f>
        <v/>
      </c>
      <c r="Q14" s="151" t="n">
        <v>82</v>
      </c>
      <c r="R14" s="151" t="n">
        <v>1148</v>
      </c>
      <c r="S14" s="169">
        <f>R14*$C14</f>
        <v/>
      </c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1301">
        <f>E14+H14+K14+N14+Q14</f>
        <v/>
      </c>
      <c r="AP14" s="1301">
        <f>F14+I14+L14+O14+R14</f>
        <v/>
      </c>
      <c r="AQ14" s="1301">
        <f>G14+J14+M14+P14+S14</f>
        <v/>
      </c>
      <c r="AR14" s="1301">
        <f>AQ14/5</f>
        <v/>
      </c>
      <c r="AS14" s="194">
        <f>AR14/$AR$23%</f>
        <v/>
      </c>
      <c r="AT14" s="162" t="n">
        <v>4</v>
      </c>
    </row>
    <row r="15" ht="20.4" customHeight="1">
      <c r="A15" s="152" t="n">
        <v>11</v>
      </c>
      <c r="B15" s="151" t="inlineStr">
        <is>
          <t>သံပုရာအရက်</t>
        </is>
      </c>
      <c r="C15" s="151" t="n">
        <v>0.64</v>
      </c>
      <c r="D15" s="151" t="inlineStr">
        <is>
          <t>1 * 14</t>
        </is>
      </c>
      <c r="E15" s="151" t="n">
        <v>500</v>
      </c>
      <c r="F15" s="151" t="n">
        <v>7000</v>
      </c>
      <c r="G15" s="151" t="n">
        <v>4480</v>
      </c>
      <c r="H15" s="151" t="n">
        <v>785</v>
      </c>
      <c r="I15" s="151" t="n">
        <v>10990</v>
      </c>
      <c r="J15" s="1305">
        <f>I15*$C15</f>
        <v/>
      </c>
      <c r="K15" s="151" t="n">
        <v>525</v>
      </c>
      <c r="L15" s="151" t="n">
        <v>7350</v>
      </c>
      <c r="M15" s="169">
        <f>L15*$C15</f>
        <v/>
      </c>
      <c r="N15" s="151" t="n">
        <v>425</v>
      </c>
      <c r="O15" s="151" t="n">
        <v>5950</v>
      </c>
      <c r="P15" s="169">
        <f>O15*$C15</f>
        <v/>
      </c>
      <c r="Q15" s="151" t="n">
        <v>475</v>
      </c>
      <c r="R15" s="151" t="n">
        <v>6650</v>
      </c>
      <c r="S15" s="169">
        <f>R15*$C15</f>
        <v/>
      </c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301">
        <f>E15+H15+K15+N15+Q15</f>
        <v/>
      </c>
      <c r="AP15" s="1301">
        <f>F15+I15+L15+O15+R15</f>
        <v/>
      </c>
      <c r="AQ15" s="1301">
        <f>G15+J15+M15+P15+S15</f>
        <v/>
      </c>
      <c r="AR15" s="1301">
        <f>AQ15/5</f>
        <v/>
      </c>
      <c r="AS15" s="194">
        <f>AR15/$AR$23%</f>
        <v/>
      </c>
      <c r="AT15" s="162" t="n">
        <v>1</v>
      </c>
    </row>
    <row r="16" ht="20.4" customHeight="1">
      <c r="A16" s="152" t="n">
        <v>12</v>
      </c>
      <c r="B16" s="151" t="inlineStr">
        <is>
          <t xml:space="preserve">Dagon Tamarind </t>
        </is>
      </c>
      <c r="C16" s="151" t="n">
        <v>0.64</v>
      </c>
      <c r="D16" s="151" t="inlineStr">
        <is>
          <t>1 * 14</t>
        </is>
      </c>
      <c r="E16" s="151" t="n">
        <v>1</v>
      </c>
      <c r="F16" s="151" t="n">
        <v>14</v>
      </c>
      <c r="G16" s="151" t="n">
        <v>8.960000000000001</v>
      </c>
      <c r="H16" s="151" t="n"/>
      <c r="I16" s="151" t="n"/>
      <c r="J16" s="1305">
        <f>I16*$C16</f>
        <v/>
      </c>
      <c r="K16" s="151" t="n">
        <v>20</v>
      </c>
      <c r="L16" s="151" t="n">
        <v>280</v>
      </c>
      <c r="M16" s="169">
        <f>L16*$C16</f>
        <v/>
      </c>
      <c r="N16" s="151" t="n"/>
      <c r="O16" s="151" t="n"/>
      <c r="P16" s="169">
        <f>O16*$C16</f>
        <v/>
      </c>
      <c r="Q16" s="151" t="n"/>
      <c r="R16" s="151" t="n"/>
      <c r="S16" s="169">
        <f>R16*$C16</f>
        <v/>
      </c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301">
        <f>E16+H16+K16+N16+Q16</f>
        <v/>
      </c>
      <c r="AP16" s="1301">
        <f>F16+I16+L16+O16+R16</f>
        <v/>
      </c>
      <c r="AQ16" s="1301">
        <f>G16+J16+M16+P16+S16</f>
        <v/>
      </c>
      <c r="AR16" s="1301">
        <f>AQ16/5</f>
        <v/>
      </c>
      <c r="AS16" s="194">
        <f>AR16/$AR$23%</f>
        <v/>
      </c>
    </row>
    <row r="17" ht="20.4" customHeight="1">
      <c r="A17" s="152" t="n">
        <v>13</v>
      </c>
      <c r="B17" s="151" t="inlineStr">
        <is>
          <t xml:space="preserve">Dagon Pineapple </t>
        </is>
      </c>
      <c r="C17" s="151" t="n">
        <v>0.64</v>
      </c>
      <c r="D17" s="151" t="inlineStr">
        <is>
          <t>1 * 24</t>
        </is>
      </c>
      <c r="E17" s="151" t="n">
        <v>25</v>
      </c>
      <c r="F17" s="151" t="n">
        <v>600</v>
      </c>
      <c r="G17" s="151" t="n">
        <v>384</v>
      </c>
      <c r="H17" s="151" t="n">
        <v>5</v>
      </c>
      <c r="I17" s="151" t="n">
        <v>120</v>
      </c>
      <c r="J17" s="1305">
        <f>I17*$C17</f>
        <v/>
      </c>
      <c r="K17" s="151" t="n">
        <v>15</v>
      </c>
      <c r="L17" s="151" t="n">
        <v>360</v>
      </c>
      <c r="M17" s="169">
        <f>L17*$C17</f>
        <v/>
      </c>
      <c r="N17" s="151" t="n">
        <v>15</v>
      </c>
      <c r="O17" s="151" t="n">
        <v>360</v>
      </c>
      <c r="P17" s="169">
        <f>O17*$C17</f>
        <v/>
      </c>
      <c r="Q17" s="151" t="n">
        <v>15</v>
      </c>
      <c r="R17" s="151" t="n">
        <v>360</v>
      </c>
      <c r="S17" s="169">
        <f>R17*$C17</f>
        <v/>
      </c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  <c r="AO17" s="1301">
        <f>E17+H17+K17+N17+Q17</f>
        <v/>
      </c>
      <c r="AP17" s="1301">
        <f>F17+I17+L17+O17+R17</f>
        <v/>
      </c>
      <c r="AQ17" s="1301">
        <f>G17+J17+M17+P17+S17</f>
        <v/>
      </c>
      <c r="AR17" s="1301">
        <f>AQ17/5</f>
        <v/>
      </c>
      <c r="AS17" s="194">
        <f>AR17/$AR$23%</f>
        <v/>
      </c>
    </row>
    <row r="18" ht="20.4" customHeight="1">
      <c r="A18" s="152" t="n">
        <v>14</v>
      </c>
      <c r="B18" s="151" t="inlineStr">
        <is>
          <t>ချယ်ရီကော်ဘူး(0.6 Liter)</t>
        </is>
      </c>
      <c r="C18" s="151" t="n">
        <v>0.6</v>
      </c>
      <c r="D18" s="151" t="inlineStr">
        <is>
          <t>1 * 24</t>
        </is>
      </c>
      <c r="E18" s="151" t="n">
        <v>63</v>
      </c>
      <c r="F18" s="151" t="n">
        <v>1512</v>
      </c>
      <c r="G18" s="151" t="n">
        <v>907.1999999999999</v>
      </c>
      <c r="H18" s="151" t="n">
        <v>212</v>
      </c>
      <c r="I18" s="151" t="n">
        <v>5091</v>
      </c>
      <c r="J18" s="1305">
        <f>I18*$C18</f>
        <v/>
      </c>
      <c r="K18" s="151" t="n">
        <v>64</v>
      </c>
      <c r="L18" s="151" t="n">
        <v>1536</v>
      </c>
      <c r="M18" s="169">
        <f>L18*$C18</f>
        <v/>
      </c>
      <c r="N18" s="151" t="n">
        <v>153</v>
      </c>
      <c r="O18" s="151" t="n">
        <v>3672</v>
      </c>
      <c r="P18" s="169">
        <f>O18*$C18</f>
        <v/>
      </c>
      <c r="Q18" s="151" t="n">
        <v>261</v>
      </c>
      <c r="R18" s="151" t="n">
        <v>6264</v>
      </c>
      <c r="S18" s="169">
        <f>R18*$C18</f>
        <v/>
      </c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  <c r="AO18" s="1301">
        <f>E18+H18+K18+N18+Q18</f>
        <v/>
      </c>
      <c r="AP18" s="1301">
        <f>F18+I18+L18+O18+R18</f>
        <v/>
      </c>
      <c r="AQ18" s="1301">
        <f>G18+J18+M18+P18+S18</f>
        <v/>
      </c>
      <c r="AR18" s="1301">
        <f>AQ18/5</f>
        <v/>
      </c>
      <c r="AS18" s="194">
        <f>AR18/$AR$23%</f>
        <v/>
      </c>
      <c r="AT18" s="162" t="n">
        <v>3</v>
      </c>
    </row>
    <row r="19" ht="20.4" customHeight="1">
      <c r="A19" s="152" t="n">
        <v>15</v>
      </c>
      <c r="B19" s="151" t="inlineStr">
        <is>
          <t>ချယ်ရီသံပုရာ (1 Liter )</t>
        </is>
      </c>
      <c r="C19" s="151" t="n">
        <v>1</v>
      </c>
      <c r="D19" s="151" t="inlineStr">
        <is>
          <t>1 * 12</t>
        </is>
      </c>
      <c r="E19" s="151" t="n">
        <v>67</v>
      </c>
      <c r="F19" s="151" t="n">
        <v>812</v>
      </c>
      <c r="G19" s="151" t="n">
        <v>812</v>
      </c>
      <c r="H19" s="151" t="n">
        <v>53</v>
      </c>
      <c r="I19" s="151" t="n">
        <v>647</v>
      </c>
      <c r="J19" s="1305">
        <f>I19*$C19</f>
        <v/>
      </c>
      <c r="K19" s="151" t="n">
        <v>14</v>
      </c>
      <c r="L19" s="151" t="n">
        <v>168</v>
      </c>
      <c r="M19" s="169">
        <f>L19*$C19</f>
        <v/>
      </c>
      <c r="N19" s="151" t="n">
        <v>56</v>
      </c>
      <c r="O19" s="151" t="n">
        <v>672</v>
      </c>
      <c r="P19" s="169">
        <f>O19*$C19</f>
        <v/>
      </c>
      <c r="Q19" s="151" t="n">
        <v>59</v>
      </c>
      <c r="R19" s="151" t="n">
        <v>708</v>
      </c>
      <c r="S19" s="169">
        <f>R19*$C19</f>
        <v/>
      </c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301">
        <f>E19+H19+K19+N19+Q19</f>
        <v/>
      </c>
      <c r="AP19" s="1301">
        <f>F19+I19+L19+O19+R19</f>
        <v/>
      </c>
      <c r="AQ19" s="1301">
        <f>G19+J19+M19+P19+S19</f>
        <v/>
      </c>
      <c r="AR19" s="1301">
        <f>AQ19/5</f>
        <v/>
      </c>
      <c r="AS19" s="194">
        <f>AR19/$AR$23%</f>
        <v/>
      </c>
    </row>
    <row r="20" ht="20.4" customHeight="1">
      <c r="A20" s="152" t="n">
        <v>16</v>
      </c>
      <c r="B20" s="151" t="inlineStr">
        <is>
          <t>ချယ်ရီသံပုရာ (0.6 Liter )</t>
        </is>
      </c>
      <c r="C20" s="151" t="n">
        <v>0.6</v>
      </c>
      <c r="D20" s="151" t="inlineStr">
        <is>
          <t>1 * 24</t>
        </is>
      </c>
      <c r="E20" s="151" t="n">
        <v>22</v>
      </c>
      <c r="F20" s="151" t="n">
        <v>540</v>
      </c>
      <c r="G20" s="151" t="n">
        <v>324</v>
      </c>
      <c r="H20" s="151" t="n">
        <v>36</v>
      </c>
      <c r="I20" s="151" t="n">
        <v>873</v>
      </c>
      <c r="J20" s="1305">
        <f>I20*$C20</f>
        <v/>
      </c>
      <c r="K20" s="151" t="n">
        <v>7</v>
      </c>
      <c r="L20" s="151" t="n">
        <v>168</v>
      </c>
      <c r="M20" s="169">
        <f>L20*$C20</f>
        <v/>
      </c>
      <c r="N20" s="151" t="n">
        <v>50</v>
      </c>
      <c r="O20" s="151" t="n">
        <v>1200</v>
      </c>
      <c r="P20" s="169">
        <f>O20*$C20</f>
        <v/>
      </c>
      <c r="Q20" s="151" t="n">
        <v>11</v>
      </c>
      <c r="R20" s="151" t="n">
        <v>264</v>
      </c>
      <c r="S20" s="169">
        <f>R20*$C20</f>
        <v/>
      </c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301">
        <f>E20+H20+K20+N20+Q20</f>
        <v/>
      </c>
      <c r="AP20" s="1301">
        <f>F20+I20+L20+O20+R20</f>
        <v/>
      </c>
      <c r="AQ20" s="1301">
        <f>G20+J20+M20+P20+S20</f>
        <v/>
      </c>
      <c r="AR20" s="1301">
        <f>AQ20/5</f>
        <v/>
      </c>
      <c r="AS20" s="194">
        <f>AR20/$AR$23%</f>
        <v/>
      </c>
    </row>
    <row r="21" ht="20.4" customHeight="1">
      <c r="A21" s="152" t="n">
        <v>17</v>
      </c>
      <c r="B21" s="151" t="inlineStr">
        <is>
          <t>ရွှေမင်းသားခေါင်ရည်</t>
        </is>
      </c>
      <c r="C21" s="151" t="n">
        <v>0.64</v>
      </c>
      <c r="D21" s="151" t="inlineStr">
        <is>
          <t>1 * 24</t>
        </is>
      </c>
      <c r="E21" s="151" t="n">
        <v>6</v>
      </c>
      <c r="F21" s="151" t="n">
        <v>144</v>
      </c>
      <c r="G21" s="151" t="n">
        <v>92.16</v>
      </c>
      <c r="H21" s="151" t="n">
        <v>9</v>
      </c>
      <c r="I21" s="151" t="n">
        <v>216</v>
      </c>
      <c r="J21" s="1305" t="n">
        <v>138.24</v>
      </c>
      <c r="K21" s="151" t="n">
        <v>5</v>
      </c>
      <c r="L21" s="151" t="n">
        <v>120</v>
      </c>
      <c r="M21" s="169">
        <f>L21*$C21</f>
        <v/>
      </c>
      <c r="N21" s="151" t="n"/>
      <c r="O21" s="151" t="n"/>
      <c r="P21" s="169">
        <f>O21*$C21</f>
        <v/>
      </c>
      <c r="Q21" s="151" t="n">
        <v>23</v>
      </c>
      <c r="R21" s="151" t="n">
        <v>552</v>
      </c>
      <c r="S21" s="169">
        <f>R21*$C21</f>
        <v/>
      </c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  <c r="AO21" s="1301">
        <f>E21+H21+K21+N21+Q21</f>
        <v/>
      </c>
      <c r="AP21" s="1301">
        <f>F21+I21+L21+O21+R21</f>
        <v/>
      </c>
      <c r="AQ21" s="1301">
        <f>G21+J21+M21+P21+S21</f>
        <v/>
      </c>
      <c r="AR21" s="1301">
        <f>AQ21/5</f>
        <v/>
      </c>
      <c r="AS21" s="194">
        <f>AR21/$AR$23%</f>
        <v/>
      </c>
    </row>
    <row r="22" ht="20.4" customHeight="1">
      <c r="A22" s="152" t="n">
        <v>18</v>
      </c>
      <c r="B22" s="151" t="inlineStr">
        <is>
          <t>ရွှေမင်းသားမန်ကျည်းခေါင်ရည်</t>
        </is>
      </c>
      <c r="C22" s="151" t="n">
        <v>0.64</v>
      </c>
      <c r="D22" s="151" t="n"/>
      <c r="E22" s="151" t="n"/>
      <c r="F22" s="151" t="n"/>
      <c r="G22" s="151" t="n"/>
      <c r="H22" s="151" t="n"/>
      <c r="I22" s="151" t="n"/>
      <c r="J22" s="1305" t="n"/>
      <c r="K22" s="151" t="n"/>
      <c r="L22" s="151" t="n"/>
      <c r="M22" s="169" t="n"/>
      <c r="N22" s="151" t="n">
        <v>15</v>
      </c>
      <c r="O22" s="151" t="n">
        <v>210</v>
      </c>
      <c r="P22" s="169">
        <f>O22*$C22</f>
        <v/>
      </c>
      <c r="Q22" s="151" t="n">
        <v>40</v>
      </c>
      <c r="R22" s="151" t="n">
        <v>560</v>
      </c>
      <c r="S22" s="169">
        <f>R22*$C22</f>
        <v/>
      </c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  <c r="AO22" s="1301">
        <f>E22+H22+K22+N22+Q22</f>
        <v/>
      </c>
      <c r="AP22" s="1301">
        <f>F22+I22+L22+O22+R22</f>
        <v/>
      </c>
      <c r="AQ22" s="1301">
        <f>G22+J22+M22+P22+S22</f>
        <v/>
      </c>
      <c r="AR22" s="1301">
        <f>AQ22/5</f>
        <v/>
      </c>
      <c r="AS22" s="194">
        <f>AR22/$AR$23%</f>
        <v/>
      </c>
    </row>
    <row r="23" ht="24.75" customHeight="1">
      <c r="A23" s="151" t="n"/>
      <c r="B23" s="151" t="inlineStr">
        <is>
          <t>Total</t>
        </is>
      </c>
      <c r="C23" s="151" t="n"/>
      <c r="D23" s="151" t="n"/>
      <c r="E23" s="1306">
        <f>SUM(E5:E22)</f>
        <v/>
      </c>
      <c r="F23" s="1306">
        <f>SUM(F5:F22)</f>
        <v/>
      </c>
      <c r="G23" s="1306">
        <f>SUM(G5:G22)</f>
        <v/>
      </c>
      <c r="H23" s="1306">
        <f>SUM(H5:H22)</f>
        <v/>
      </c>
      <c r="I23" s="1306">
        <f>SUM(I5:I22)</f>
        <v/>
      </c>
      <c r="J23" s="1306">
        <f>SUM(J5:J22)</f>
        <v/>
      </c>
      <c r="K23" s="1306">
        <f>SUM(K5:K22)</f>
        <v/>
      </c>
      <c r="L23" s="1306">
        <f>SUM(L5:L22)</f>
        <v/>
      </c>
      <c r="M23" s="1306">
        <f>SUM(M5:M22)</f>
        <v/>
      </c>
      <c r="N23" s="1306">
        <f>SUM(N5:N22)</f>
        <v/>
      </c>
      <c r="O23" s="1306">
        <f>SUM(O5:O22)</f>
        <v/>
      </c>
      <c r="P23" s="1306">
        <f>SUM(P5:P22)</f>
        <v/>
      </c>
      <c r="Q23" s="1306">
        <f>SUM(Q5:Q22)</f>
        <v/>
      </c>
      <c r="R23" s="1306">
        <f>SUM(R5:R22)</f>
        <v/>
      </c>
      <c r="S23" s="1306">
        <f>SUM(S5:S22)</f>
        <v/>
      </c>
      <c r="T23" s="1306">
        <f>SUM(T5:T22)</f>
        <v/>
      </c>
      <c r="U23" s="1306">
        <f>SUM(U5:U22)</f>
        <v/>
      </c>
      <c r="V23" s="1306">
        <f>SUM(V5:V22)</f>
        <v/>
      </c>
      <c r="W23" s="1306">
        <f>SUM(W5:W22)</f>
        <v/>
      </c>
      <c r="X23" s="1306">
        <f>SUM(X5:X22)</f>
        <v/>
      </c>
      <c r="Y23" s="1306">
        <f>SUM(Y5:Y22)</f>
        <v/>
      </c>
      <c r="Z23" s="1306">
        <f>SUM(Z5:Z22)</f>
        <v/>
      </c>
      <c r="AA23" s="1306">
        <f>SUM(AA5:AA22)</f>
        <v/>
      </c>
      <c r="AB23" s="1306">
        <f>SUM(AB5:AB22)</f>
        <v/>
      </c>
      <c r="AC23" s="1306">
        <f>SUM(AC5:AC22)</f>
        <v/>
      </c>
      <c r="AD23" s="1306">
        <f>SUM(AD5:AD22)</f>
        <v/>
      </c>
      <c r="AE23" s="1306">
        <f>SUM(AE5:AE22)</f>
        <v/>
      </c>
      <c r="AF23" s="1306">
        <f>SUM(AF5:AF22)</f>
        <v/>
      </c>
      <c r="AG23" s="1306">
        <f>SUM(AG5:AG22)</f>
        <v/>
      </c>
      <c r="AH23" s="1306">
        <f>SUM(AH5:AH22)</f>
        <v/>
      </c>
      <c r="AI23" s="1306">
        <f>SUM(AI5:AI22)</f>
        <v/>
      </c>
      <c r="AJ23" s="1306">
        <f>SUM(AJ5:AJ22)</f>
        <v/>
      </c>
      <c r="AK23" s="1306">
        <f>SUM(AK5:AK22)</f>
        <v/>
      </c>
      <c r="AL23" s="1306">
        <f>SUM(AL5:AL22)</f>
        <v/>
      </c>
      <c r="AM23" s="1306">
        <f>SUM(AM5:AM22)</f>
        <v/>
      </c>
      <c r="AN23" s="1306">
        <f>SUM(AN5:AN22)</f>
        <v/>
      </c>
      <c r="AO23" s="1301">
        <f>E23+H23+K23+N23+Q23</f>
        <v/>
      </c>
      <c r="AP23" s="1301">
        <f>F23+I23+L23+O23+R23</f>
        <v/>
      </c>
      <c r="AQ23" s="1301">
        <f>G23+J23+M23+P23+S23</f>
        <v/>
      </c>
      <c r="AR23" s="1301">
        <f>AQ23/5</f>
        <v/>
      </c>
      <c r="AS23" s="194">
        <f>AR23/$AR$23%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FF0000"/>
    <outlinePr summaryBelow="1" summaryRight="1"/>
    <pageSetUpPr/>
  </sheetPr>
  <dimension ref="A1:AT24"/>
  <sheetViews>
    <sheetView workbookViewId="0">
      <pane xSplit="4" ySplit="4" topLeftCell="K16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4"/>
    </sheetView>
  </sheetViews>
  <sheetFormatPr baseColWidth="8" defaultColWidth="9.109375" defaultRowHeight="13.8"/>
  <cols>
    <col width="6.33203125" customWidth="1" style="162" min="1" max="1"/>
    <col width="29.5546875" customWidth="1" style="162" min="2" max="2"/>
    <col width="9.109375" customWidth="1" style="162" min="3" max="4"/>
    <col width="9.5546875" customWidth="1" style="162" min="5" max="5"/>
    <col width="11.5546875" customWidth="1" style="162" min="6" max="6"/>
    <col width="10.5546875" customWidth="1" style="162" min="7" max="7"/>
    <col width="9.33203125" bestFit="1" customWidth="1" style="162" min="8" max="12"/>
    <col width="12" customWidth="1" style="162" min="13" max="13"/>
    <col width="9.33203125" bestFit="1" customWidth="1" style="162" min="14" max="15"/>
    <col width="10.5546875" bestFit="1" customWidth="1" style="162" min="16" max="16"/>
    <col width="9.33203125" bestFit="1" customWidth="1" style="162" min="17" max="18"/>
    <col width="10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45.75" customHeight="1">
      <c r="B1" s="148" t="inlineStr">
        <is>
          <t>2025 - Sales Details Meiktila (Kyaukpandaung Township)</t>
        </is>
      </c>
      <c r="C1" s="149" t="n"/>
      <c r="D1" s="149" t="n"/>
    </row>
    <row r="2"/>
    <row r="3" ht="49.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5" t="inlineStr">
        <is>
          <t>January</t>
        </is>
      </c>
      <c r="F3" s="970" t="n"/>
      <c r="G3" s="971" t="n"/>
      <c r="H3" s="965" t="inlineStr">
        <is>
          <t>February</t>
        </is>
      </c>
      <c r="I3" s="970" t="n"/>
      <c r="J3" s="971" t="n"/>
      <c r="K3" s="965" t="inlineStr">
        <is>
          <t>March</t>
        </is>
      </c>
      <c r="L3" s="970" t="n"/>
      <c r="M3" s="971" t="n"/>
      <c r="N3" s="965" t="inlineStr">
        <is>
          <t>April</t>
        </is>
      </c>
      <c r="O3" s="970" t="n"/>
      <c r="P3" s="971" t="n"/>
      <c r="Q3" s="965" t="inlineStr">
        <is>
          <t>May</t>
        </is>
      </c>
      <c r="R3" s="970" t="n"/>
      <c r="S3" s="971" t="n"/>
      <c r="T3" s="965" t="inlineStr">
        <is>
          <t>June</t>
        </is>
      </c>
      <c r="U3" s="970" t="n"/>
      <c r="V3" s="971" t="n"/>
      <c r="W3" s="965" t="inlineStr">
        <is>
          <t>July</t>
        </is>
      </c>
      <c r="X3" s="970" t="n"/>
      <c r="Y3" s="971" t="n"/>
      <c r="Z3" s="965" t="inlineStr">
        <is>
          <t>August</t>
        </is>
      </c>
      <c r="AA3" s="970" t="n"/>
      <c r="AB3" s="971" t="n"/>
      <c r="AC3" s="965" t="inlineStr">
        <is>
          <t>September</t>
        </is>
      </c>
      <c r="AD3" s="970" t="n"/>
      <c r="AE3" s="971" t="n"/>
      <c r="AF3" s="965" t="inlineStr">
        <is>
          <t>October</t>
        </is>
      </c>
      <c r="AG3" s="970" t="n"/>
      <c r="AH3" s="971" t="n"/>
      <c r="AI3" s="965" t="inlineStr">
        <is>
          <t>November</t>
        </is>
      </c>
      <c r="AJ3" s="970" t="n"/>
      <c r="AK3" s="971" t="n"/>
      <c r="AL3" s="965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46.5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4" customHeight="1">
      <c r="A5" s="152" t="n">
        <v>1</v>
      </c>
      <c r="B5" s="151" t="inlineStr">
        <is>
          <t>"Zay" Vodka 700-ml</t>
        </is>
      </c>
      <c r="C5" s="151" t="n">
        <v>0.7</v>
      </c>
      <c r="D5" s="151" t="inlineStr">
        <is>
          <t>1 * 12</t>
        </is>
      </c>
      <c r="E5" s="151" t="n">
        <v>25</v>
      </c>
      <c r="F5" s="151" t="n">
        <v>300</v>
      </c>
      <c r="G5" s="151" t="n">
        <v>210</v>
      </c>
      <c r="H5" s="151" t="n"/>
      <c r="I5" s="151" t="n"/>
      <c r="J5" s="1305">
        <f>I5*$C5</f>
        <v/>
      </c>
      <c r="K5" s="151" t="n">
        <v>30</v>
      </c>
      <c r="L5" s="151" t="n">
        <v>360</v>
      </c>
      <c r="M5" s="169">
        <f>L5*$C5</f>
        <v/>
      </c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303">
        <f>E5+H5+K5+N5+Q5</f>
        <v/>
      </c>
      <c r="AP5" s="1303">
        <f>F5+I5+L5+O5+R5</f>
        <v/>
      </c>
      <c r="AQ5" s="1303">
        <f>G5+J5+M5+P5+S5</f>
        <v/>
      </c>
      <c r="AR5" s="1303">
        <f>AQ5/5</f>
        <v/>
      </c>
      <c r="AS5" s="188">
        <f>AR5/$AR$24%</f>
        <v/>
      </c>
    </row>
    <row r="6" ht="20.4" customHeight="1">
      <c r="A6" s="152" t="n">
        <v>2</v>
      </c>
      <c r="B6" s="151" t="inlineStr">
        <is>
          <t>"Zay" - 640ml</t>
        </is>
      </c>
      <c r="C6" s="151" t="n">
        <v>0.64</v>
      </c>
      <c r="D6" s="151" t="inlineStr">
        <is>
          <t>1 * 14</t>
        </is>
      </c>
      <c r="E6" s="151" t="n">
        <v>4845</v>
      </c>
      <c r="F6" s="151" t="n">
        <v>67830</v>
      </c>
      <c r="G6" s="151" t="n">
        <v>43411.2</v>
      </c>
      <c r="H6" s="151" t="n">
        <v>4575</v>
      </c>
      <c r="I6" s="151" t="n">
        <v>64050</v>
      </c>
      <c r="J6" s="1305">
        <f>I6*$C6</f>
        <v/>
      </c>
      <c r="K6" s="151" t="n">
        <v>4448</v>
      </c>
      <c r="L6" s="151" t="n">
        <v>62272</v>
      </c>
      <c r="M6" s="169">
        <f>L6*$C6</f>
        <v/>
      </c>
      <c r="N6" s="151" t="n">
        <v>5325</v>
      </c>
      <c r="O6" s="151" t="n">
        <v>74550</v>
      </c>
      <c r="P6" s="169">
        <f>O6*$C6</f>
        <v/>
      </c>
      <c r="Q6" s="151" t="n">
        <v>4795</v>
      </c>
      <c r="R6" s="151" t="n">
        <v>67130</v>
      </c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303">
        <f>E6+H6+K6+N6+Q6</f>
        <v/>
      </c>
      <c r="AP6" s="1303">
        <f>F6+I6+L6+O6+R6</f>
        <v/>
      </c>
      <c r="AQ6" s="1303">
        <f>G6+J6+M6+P6+S6</f>
        <v/>
      </c>
      <c r="AR6" s="1303">
        <f>AQ6/5</f>
        <v/>
      </c>
      <c r="AS6" s="188">
        <f>AR6/$AR$24%</f>
        <v/>
      </c>
      <c r="AT6" s="162" t="n">
        <v>1</v>
      </c>
    </row>
    <row r="7" ht="20.4" customHeight="1">
      <c r="A7" s="152" t="n">
        <v>3</v>
      </c>
      <c r="B7" s="151" t="inlineStr">
        <is>
          <t>Kaung Kyi (1 Liter)_25%</t>
        </is>
      </c>
      <c r="C7" s="151" t="n">
        <v>1</v>
      </c>
      <c r="D7" s="151" t="inlineStr">
        <is>
          <t>1 * 12</t>
        </is>
      </c>
      <c r="E7" s="151" t="n">
        <v>761</v>
      </c>
      <c r="F7" s="151" t="n">
        <v>9132</v>
      </c>
      <c r="G7" s="151" t="n">
        <v>9132</v>
      </c>
      <c r="H7" s="151" t="n">
        <v>72</v>
      </c>
      <c r="I7" s="151" t="n">
        <v>870</v>
      </c>
      <c r="J7" s="1305" t="n">
        <v>870</v>
      </c>
      <c r="K7" s="151" t="n">
        <v>872</v>
      </c>
      <c r="L7" s="151" t="n">
        <v>10464</v>
      </c>
      <c r="M7" s="169">
        <f>L7*$C7</f>
        <v/>
      </c>
      <c r="N7" s="151" t="n">
        <v>100</v>
      </c>
      <c r="O7" s="151" t="n">
        <v>1200</v>
      </c>
      <c r="P7" s="169">
        <f>O7*$C7</f>
        <v/>
      </c>
      <c r="Q7" s="151" t="n">
        <v>415</v>
      </c>
      <c r="R7" s="151" t="n">
        <v>4980</v>
      </c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303">
        <f>E7+H7+K7+N7+Q7</f>
        <v/>
      </c>
      <c r="AP7" s="1303">
        <f>F7+I7+L7+O7+R7</f>
        <v/>
      </c>
      <c r="AQ7" s="1303">
        <f>G7+J7+M7+P7+S7</f>
        <v/>
      </c>
      <c r="AR7" s="1303">
        <f>AQ7/5</f>
        <v/>
      </c>
      <c r="AS7" s="188">
        <f>AR7/$AR$24%</f>
        <v/>
      </c>
    </row>
    <row r="8" ht="20.4" customHeight="1">
      <c r="A8" s="152" t="n">
        <v>4</v>
      </c>
      <c r="B8" s="151" t="inlineStr">
        <is>
          <t xml:space="preserve">Kaung Kyi </t>
        </is>
      </c>
      <c r="C8" s="151" t="n">
        <v>0.64</v>
      </c>
      <c r="D8" s="151" t="inlineStr">
        <is>
          <t>1 * 14</t>
        </is>
      </c>
      <c r="E8" s="151" t="n">
        <v>698</v>
      </c>
      <c r="F8" s="151" t="n">
        <v>9772</v>
      </c>
      <c r="G8" s="151" t="n">
        <v>6254.080000000001</v>
      </c>
      <c r="H8" s="151" t="n">
        <v>446</v>
      </c>
      <c r="I8" s="151" t="n">
        <v>6244</v>
      </c>
      <c r="J8" s="1305" t="n">
        <v>3996.16</v>
      </c>
      <c r="K8" s="151" t="n">
        <v>745</v>
      </c>
      <c r="L8" s="151" t="n">
        <v>10430</v>
      </c>
      <c r="M8" s="169">
        <f>L8*$C8</f>
        <v/>
      </c>
      <c r="N8" s="151" t="n">
        <v>417</v>
      </c>
      <c r="O8" s="151" t="n">
        <v>5838</v>
      </c>
      <c r="P8" s="169">
        <f>O8*$C8</f>
        <v/>
      </c>
      <c r="Q8" s="151" t="n">
        <v>415</v>
      </c>
      <c r="R8" s="151" t="n">
        <v>5810</v>
      </c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303">
        <f>E8+H8+K8+N8+Q8</f>
        <v/>
      </c>
      <c r="AP8" s="1303">
        <f>F8+I8+L8+O8+R8</f>
        <v/>
      </c>
      <c r="AQ8" s="1303">
        <f>G8+J8+M8+P8+S8</f>
        <v/>
      </c>
      <c r="AR8" s="1303">
        <f>AQ8/5</f>
        <v/>
      </c>
      <c r="AS8" s="188">
        <f>AR8/$AR$24%</f>
        <v/>
      </c>
    </row>
    <row r="9" ht="20.4" customHeight="1">
      <c r="A9" s="152" t="n">
        <v>5</v>
      </c>
      <c r="B9" s="151" t="inlineStr">
        <is>
          <t>မိုးနဲကွန်ကီကော်ဘူး(1 Liter)</t>
        </is>
      </c>
      <c r="C9" s="151" t="n">
        <v>1</v>
      </c>
      <c r="D9" s="151" t="inlineStr">
        <is>
          <t>1 * 12</t>
        </is>
      </c>
      <c r="E9" s="151" t="n"/>
      <c r="F9" s="151" t="n"/>
      <c r="G9" s="151" t="n"/>
      <c r="H9" s="151" t="n"/>
      <c r="I9" s="151" t="n"/>
      <c r="J9" s="1305">
        <f>I9*$C9</f>
        <v/>
      </c>
      <c r="K9" s="151" t="n">
        <v>114</v>
      </c>
      <c r="L9" s="151" t="n">
        <v>2736</v>
      </c>
      <c r="M9" s="169">
        <f>L9*$C9</f>
        <v/>
      </c>
      <c r="N9" s="151" t="n">
        <v>124</v>
      </c>
      <c r="O9" s="151" t="n">
        <v>1488</v>
      </c>
      <c r="P9" s="169">
        <f>O9*$C9</f>
        <v/>
      </c>
      <c r="Q9" s="151" t="n">
        <v>505</v>
      </c>
      <c r="R9" s="151" t="n">
        <v>6060</v>
      </c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303">
        <f>E9+H9+K9+N9+Q9</f>
        <v/>
      </c>
      <c r="AP9" s="1303">
        <f>F9+I9+L9+O9+R9</f>
        <v/>
      </c>
      <c r="AQ9" s="1303">
        <f>G9+J9+M9+P9+S9</f>
        <v/>
      </c>
      <c r="AR9" s="1303">
        <f>AQ9/5</f>
        <v/>
      </c>
      <c r="AS9" s="188">
        <f>AR9/$AR$24%</f>
        <v/>
      </c>
    </row>
    <row r="10" ht="20.4" customHeight="1">
      <c r="A10" s="152" t="n">
        <v>6</v>
      </c>
      <c r="B10" s="151" t="inlineStr">
        <is>
          <t xml:space="preserve">Moe Nae Kon Ki </t>
        </is>
      </c>
      <c r="C10" s="151" t="n">
        <v>0.64</v>
      </c>
      <c r="D10" s="151" t="inlineStr">
        <is>
          <t>1 * 14</t>
        </is>
      </c>
      <c r="E10" s="151" t="n">
        <v>1722</v>
      </c>
      <c r="F10" s="151" t="n">
        <v>24108</v>
      </c>
      <c r="G10" s="151" t="n">
        <v>15429.12</v>
      </c>
      <c r="H10" s="151" t="n">
        <v>1477</v>
      </c>
      <c r="I10" s="151" t="n">
        <v>20678</v>
      </c>
      <c r="J10" s="1305" t="n">
        <v>13233.92</v>
      </c>
      <c r="K10" s="151" t="n">
        <v>734</v>
      </c>
      <c r="L10" s="151" t="n">
        <v>10276</v>
      </c>
      <c r="M10" s="169">
        <f>L10*$C10</f>
        <v/>
      </c>
      <c r="N10" s="151" t="n">
        <v>930</v>
      </c>
      <c r="O10" s="151" t="n">
        <v>13020</v>
      </c>
      <c r="P10" s="169">
        <f>O10*$C10</f>
        <v/>
      </c>
      <c r="Q10" s="151" t="n">
        <v>2245</v>
      </c>
      <c r="R10" s="151" t="n">
        <v>31430</v>
      </c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303">
        <f>E10+H10+K10+N10+Q10</f>
        <v/>
      </c>
      <c r="AP10" s="1303">
        <f>F10+I10+L10+O10+R10</f>
        <v/>
      </c>
      <c r="AQ10" s="1303">
        <f>G10+J10+M10+P10+S10</f>
        <v/>
      </c>
      <c r="AR10" s="1303">
        <f>AQ10/5</f>
        <v/>
      </c>
      <c r="AS10" s="188">
        <f>AR10/$AR$24%</f>
        <v/>
      </c>
      <c r="AT10" s="162" t="n">
        <v>2</v>
      </c>
    </row>
    <row r="11" ht="20.4" customHeight="1">
      <c r="A11" s="152" t="n">
        <v>7</v>
      </c>
      <c r="B11" s="151" t="inlineStr">
        <is>
          <t xml:space="preserve">Zayawaddy Red </t>
        </is>
      </c>
      <c r="C11" s="151" t="n">
        <v>0.7</v>
      </c>
      <c r="D11" s="151" t="inlineStr">
        <is>
          <t>1 * 12</t>
        </is>
      </c>
      <c r="E11" s="151" t="n">
        <v>80</v>
      </c>
      <c r="F11" s="151" t="n">
        <v>960</v>
      </c>
      <c r="G11" s="151" t="n">
        <v>672</v>
      </c>
      <c r="H11" s="151" t="n"/>
      <c r="I11" s="151" t="n"/>
      <c r="J11" s="1305">
        <f>I11*$C11</f>
        <v/>
      </c>
      <c r="K11" s="151" t="n">
        <v>70</v>
      </c>
      <c r="L11" s="151" t="n">
        <v>840</v>
      </c>
      <c r="M11" s="169">
        <f>L11*$C11</f>
        <v/>
      </c>
      <c r="N11" s="151" t="n"/>
      <c r="O11" s="151" t="n"/>
      <c r="P11" s="169">
        <f>O11*$C11</f>
        <v/>
      </c>
      <c r="Q11" s="151" t="n">
        <v>30</v>
      </c>
      <c r="R11" s="151" t="n">
        <v>360</v>
      </c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303">
        <f>E11+H11+K11+N11+Q11</f>
        <v/>
      </c>
      <c r="AP11" s="1303">
        <f>F11+I11+L11+O11+R11</f>
        <v/>
      </c>
      <c r="AQ11" s="1303">
        <f>G11+J11+M11+P11+S11</f>
        <v/>
      </c>
      <c r="AR11" s="1303">
        <f>AQ11/5</f>
        <v/>
      </c>
      <c r="AS11" s="188">
        <f>AR11/$AR$24%</f>
        <v/>
      </c>
    </row>
    <row r="12" ht="20.4" customHeight="1">
      <c r="A12" s="152" t="n">
        <v>8</v>
      </c>
      <c r="B12" s="151" t="inlineStr">
        <is>
          <t>Zeyawaddy Rum (43%)</t>
        </is>
      </c>
      <c r="C12" s="151" t="n">
        <v>0.68</v>
      </c>
      <c r="D12" s="151" t="inlineStr">
        <is>
          <t>1 * 12</t>
        </is>
      </c>
      <c r="E12" s="151" t="n">
        <v>28</v>
      </c>
      <c r="F12" s="151" t="n">
        <v>336</v>
      </c>
      <c r="G12" s="151" t="n">
        <v>228.48</v>
      </c>
      <c r="H12" s="151" t="n">
        <v>30</v>
      </c>
      <c r="I12" s="151" t="n">
        <v>360</v>
      </c>
      <c r="J12" s="1305">
        <f>I12*$C12</f>
        <v/>
      </c>
      <c r="K12" s="151" t="n">
        <v>20</v>
      </c>
      <c r="L12" s="151" t="n">
        <v>240</v>
      </c>
      <c r="M12" s="169">
        <f>L12*$C12</f>
        <v/>
      </c>
      <c r="N12" s="151" t="n">
        <v>13</v>
      </c>
      <c r="O12" s="151" t="n">
        <v>156</v>
      </c>
      <c r="P12" s="169">
        <f>O12*$C12</f>
        <v/>
      </c>
      <c r="Q12" s="151" t="n"/>
      <c r="R12" s="151" t="n"/>
      <c r="S12" s="169">
        <f>R12*$C12</f>
        <v/>
      </c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1303">
        <f>E12+H12+K12+N12+Q12</f>
        <v/>
      </c>
      <c r="AP12" s="1303">
        <f>F12+I12+L12+O12+R12</f>
        <v/>
      </c>
      <c r="AQ12" s="1303">
        <f>G12+J12+M12+P12+S12</f>
        <v/>
      </c>
      <c r="AR12" s="1303">
        <f>AQ12/5</f>
        <v/>
      </c>
      <c r="AS12" s="188">
        <f>AR12/$AR$24%</f>
        <v/>
      </c>
    </row>
    <row r="13" ht="20.4" customHeight="1">
      <c r="A13" s="152" t="n">
        <v>9</v>
      </c>
      <c r="B13" s="151" t="inlineStr">
        <is>
          <t>ဇေယျဝတီ Red (ပု)</t>
        </is>
      </c>
      <c r="C13" s="151" t="n">
        <v>0.64</v>
      </c>
      <c r="D13" s="151" t="inlineStr">
        <is>
          <t>1 * 14</t>
        </is>
      </c>
      <c r="E13" s="151" t="n">
        <v>30</v>
      </c>
      <c r="F13" s="151" t="n">
        <v>420</v>
      </c>
      <c r="G13" s="151" t="n">
        <v>268.8</v>
      </c>
      <c r="H13" s="151" t="n">
        <v>22</v>
      </c>
      <c r="I13" s="151" t="n">
        <v>308</v>
      </c>
      <c r="J13" s="1305" t="n">
        <v>197.12</v>
      </c>
      <c r="K13" s="151" t="n">
        <v>30</v>
      </c>
      <c r="L13" s="151" t="n">
        <v>420</v>
      </c>
      <c r="M13" s="169">
        <f>L13*$C13</f>
        <v/>
      </c>
      <c r="N13" s="151" t="n"/>
      <c r="O13" s="151" t="n"/>
      <c r="P13" s="169">
        <f>O13*$C13</f>
        <v/>
      </c>
      <c r="Q13" s="151" t="n">
        <v>110</v>
      </c>
      <c r="R13" s="151" t="n">
        <v>1540</v>
      </c>
      <c r="S13" s="169">
        <f>R13*$C13</f>
        <v/>
      </c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303">
        <f>E13+H13+K13+N13+Q13</f>
        <v/>
      </c>
      <c r="AP13" s="1303">
        <f>F13+I13+L13+O13+R13</f>
        <v/>
      </c>
      <c r="AQ13" s="1303">
        <f>G13+J13+M13+P13+S13</f>
        <v/>
      </c>
      <c r="AR13" s="1303">
        <f>AQ13/5</f>
        <v/>
      </c>
      <c r="AS13" s="188">
        <f>AR13/$AR$24%</f>
        <v/>
      </c>
    </row>
    <row r="14" ht="20.4" customHeight="1">
      <c r="A14" s="152" t="n">
        <v>10</v>
      </c>
      <c r="B14" s="151" t="inlineStr">
        <is>
          <t>မြန်မာရှောက်ပျား</t>
        </is>
      </c>
      <c r="C14" s="151" t="n">
        <v>0.64</v>
      </c>
      <c r="D14" s="151" t="inlineStr">
        <is>
          <t>1 * 14</t>
        </is>
      </c>
      <c r="E14" s="151" t="n"/>
      <c r="F14" s="151" t="n"/>
      <c r="G14" s="151" t="n"/>
      <c r="H14" s="151" t="n">
        <v>10</v>
      </c>
      <c r="I14" s="151" t="n">
        <v>140</v>
      </c>
      <c r="J14" s="1305" t="n">
        <v>89.60000000000001</v>
      </c>
      <c r="K14" s="151" t="n"/>
      <c r="L14" s="151" t="n"/>
      <c r="M14" s="169">
        <f>L14*$C14</f>
        <v/>
      </c>
      <c r="N14" s="151" t="n"/>
      <c r="O14" s="151" t="n"/>
      <c r="P14" s="169">
        <f>O14*$C14</f>
        <v/>
      </c>
      <c r="Q14" s="151" t="n"/>
      <c r="R14" s="151" t="n"/>
      <c r="S14" s="169">
        <f>R14*$C14</f>
        <v/>
      </c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1303">
        <f>E14+H14+K14+N14+Q14</f>
        <v/>
      </c>
      <c r="AP14" s="1303">
        <f>F14+I14+L14+O14+R14</f>
        <v/>
      </c>
      <c r="AQ14" s="1303">
        <f>G14+J14+M14+P14+S14</f>
        <v/>
      </c>
      <c r="AR14" s="1303">
        <f>AQ14/5</f>
        <v/>
      </c>
      <c r="AS14" s="188">
        <f>AR14/$AR$24%</f>
        <v/>
      </c>
    </row>
    <row r="15" ht="20.4" customHeight="1">
      <c r="A15" s="152" t="n">
        <v>11</v>
      </c>
      <c r="B15" s="151" t="inlineStr">
        <is>
          <t xml:space="preserve">Dagon Tamarind </t>
        </is>
      </c>
      <c r="C15" s="151" t="n">
        <v>0.64</v>
      </c>
      <c r="D15" s="151" t="inlineStr">
        <is>
          <t>1 * 14</t>
        </is>
      </c>
      <c r="E15" s="151" t="n">
        <v>5</v>
      </c>
      <c r="F15" s="151" t="n">
        <v>70</v>
      </c>
      <c r="G15" s="151" t="n">
        <v>44.8</v>
      </c>
      <c r="H15" s="151" t="n"/>
      <c r="I15" s="151" t="n"/>
      <c r="J15" s="1305">
        <f>I15*$C15</f>
        <v/>
      </c>
      <c r="K15" s="151" t="n"/>
      <c r="L15" s="151" t="n"/>
      <c r="M15" s="169">
        <f>L15*$C15</f>
        <v/>
      </c>
      <c r="N15" s="151" t="n"/>
      <c r="O15" s="151" t="n"/>
      <c r="P15" s="169">
        <f>O15*$C15</f>
        <v/>
      </c>
      <c r="Q15" s="151" t="n"/>
      <c r="R15" s="151" t="n"/>
      <c r="S15" s="169">
        <f>R15*$C15</f>
        <v/>
      </c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303">
        <f>E15+H15+K15+N15+Q15</f>
        <v/>
      </c>
      <c r="AP15" s="1303">
        <f>F15+I15+L15+O15+R15</f>
        <v/>
      </c>
      <c r="AQ15" s="1303">
        <f>G15+J15+M15+P15+S15</f>
        <v/>
      </c>
      <c r="AR15" s="1303">
        <f>AQ15/5</f>
        <v/>
      </c>
      <c r="AS15" s="188">
        <f>AR15/$AR$24%</f>
        <v/>
      </c>
    </row>
    <row r="16" ht="20.4" customHeight="1">
      <c r="A16" s="152" t="n">
        <v>12</v>
      </c>
      <c r="B16" s="151" t="inlineStr">
        <is>
          <t>ချယ်ရီကော်ဘူး(0.6 Liter)</t>
        </is>
      </c>
      <c r="C16" s="151" t="n">
        <v>0.6</v>
      </c>
      <c r="D16" s="151" t="inlineStr">
        <is>
          <t>1 * 24</t>
        </is>
      </c>
      <c r="E16" s="151" t="n">
        <v>918</v>
      </c>
      <c r="F16" s="151" t="n">
        <v>22032</v>
      </c>
      <c r="G16" s="151" t="n">
        <v>13219.2</v>
      </c>
      <c r="H16" s="151" t="n">
        <v>748</v>
      </c>
      <c r="I16" s="151" t="n">
        <v>17952</v>
      </c>
      <c r="J16" s="1305" t="n">
        <v>10771.2</v>
      </c>
      <c r="K16" s="151" t="n">
        <v>288</v>
      </c>
      <c r="L16" s="151" t="n">
        <v>6912</v>
      </c>
      <c r="M16" s="169">
        <f>L16*$C16</f>
        <v/>
      </c>
      <c r="N16" s="151" t="n">
        <v>991</v>
      </c>
      <c r="O16" s="151" t="n">
        <v>23784</v>
      </c>
      <c r="P16" s="169">
        <f>O16*$C16</f>
        <v/>
      </c>
      <c r="Q16" s="151" t="n">
        <v>679</v>
      </c>
      <c r="R16" s="151" t="n">
        <v>16296</v>
      </c>
      <c r="S16" s="169">
        <f>R16*$C16</f>
        <v/>
      </c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303">
        <f>E16+H16+K16+N16+Q16</f>
        <v/>
      </c>
      <c r="AP16" s="1303">
        <f>F16+I16+L16+O16+R16</f>
        <v/>
      </c>
      <c r="AQ16" s="1303">
        <f>G16+J16+M16+P16+S16</f>
        <v/>
      </c>
      <c r="AR16" s="1303">
        <f>AQ16/5</f>
        <v/>
      </c>
      <c r="AS16" s="188">
        <f>AR16/$AR$24%</f>
        <v/>
      </c>
      <c r="AT16" s="162" t="n">
        <v>3</v>
      </c>
    </row>
    <row r="17" ht="20.4" customHeight="1">
      <c r="A17" s="152" t="n">
        <v>13</v>
      </c>
      <c r="B17" s="151" t="inlineStr">
        <is>
          <t>ချယ်ရီသံပုရာ (1 Liter )</t>
        </is>
      </c>
      <c r="C17" s="151" t="n">
        <v>1</v>
      </c>
      <c r="D17" s="151" t="inlineStr">
        <is>
          <t>1 * 12</t>
        </is>
      </c>
      <c r="E17" s="151" t="n">
        <v>76</v>
      </c>
      <c r="F17" s="151" t="n">
        <v>912</v>
      </c>
      <c r="G17" s="151" t="n">
        <v>912</v>
      </c>
      <c r="H17" s="151" t="n">
        <v>42</v>
      </c>
      <c r="I17" s="151" t="n">
        <v>504</v>
      </c>
      <c r="J17" s="1305" t="n">
        <v>504</v>
      </c>
      <c r="K17" s="151" t="n">
        <v>16</v>
      </c>
      <c r="L17" s="151" t="n">
        <v>192</v>
      </c>
      <c r="M17" s="169">
        <f>L17*$C17</f>
        <v/>
      </c>
      <c r="N17" s="151" t="n">
        <v>61</v>
      </c>
      <c r="O17" s="151" t="n">
        <v>732</v>
      </c>
      <c r="P17" s="169">
        <f>O17*$C17</f>
        <v/>
      </c>
      <c r="Q17" s="151" t="n">
        <v>93</v>
      </c>
      <c r="R17" s="151" t="n">
        <v>1116</v>
      </c>
      <c r="S17" s="169">
        <f>R17*$C17</f>
        <v/>
      </c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  <c r="AO17" s="1303">
        <f>E17+H17+K17+N17+Q17</f>
        <v/>
      </c>
      <c r="AP17" s="1303">
        <f>F17+I17+L17+O17+R17</f>
        <v/>
      </c>
      <c r="AQ17" s="1303">
        <f>G17+J17+M17+P17+S17</f>
        <v/>
      </c>
      <c r="AR17" s="1303">
        <f>AQ17/5</f>
        <v/>
      </c>
      <c r="AS17" s="188">
        <f>AR17/$AR$24%</f>
        <v/>
      </c>
    </row>
    <row r="18" ht="20.4" customHeight="1">
      <c r="A18" s="152" t="n">
        <v>14</v>
      </c>
      <c r="B18" s="151" t="inlineStr">
        <is>
          <t>ချယ်ရီသံပုရာ (0.6 Liter )</t>
        </is>
      </c>
      <c r="C18" s="151" t="n">
        <v>0.6</v>
      </c>
      <c r="D18" s="151" t="inlineStr">
        <is>
          <t>1 * 24</t>
        </is>
      </c>
      <c r="E18" s="151" t="n">
        <v>56</v>
      </c>
      <c r="F18" s="151" t="n">
        <v>1344</v>
      </c>
      <c r="G18" s="151" t="n">
        <v>806.4</v>
      </c>
      <c r="H18" s="151" t="n">
        <v>41</v>
      </c>
      <c r="I18" s="151" t="n">
        <v>984</v>
      </c>
      <c r="J18" s="1305" t="n">
        <v>590.4</v>
      </c>
      <c r="K18" s="151" t="n">
        <v>9</v>
      </c>
      <c r="L18" s="151" t="n">
        <v>216</v>
      </c>
      <c r="M18" s="169">
        <f>L18*$C18</f>
        <v/>
      </c>
      <c r="N18" s="151" t="n"/>
      <c r="O18" s="151" t="n"/>
      <c r="P18" s="169">
        <f>O18*$C18</f>
        <v/>
      </c>
      <c r="Q18" s="151" t="n">
        <v>12</v>
      </c>
      <c r="R18" s="151" t="n">
        <v>288</v>
      </c>
      <c r="S18" s="169">
        <f>R18*$C18</f>
        <v/>
      </c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  <c r="AO18" s="1303">
        <f>E18+H18+K18+N18+Q18</f>
        <v/>
      </c>
      <c r="AP18" s="1303">
        <f>F18+I18+L18+O18+R18</f>
        <v/>
      </c>
      <c r="AQ18" s="1303">
        <f>G18+J18+M18+P18+S18</f>
        <v/>
      </c>
      <c r="AR18" s="1303">
        <f>AQ18/5</f>
        <v/>
      </c>
      <c r="AS18" s="188">
        <f>AR18/$AR$24%</f>
        <v/>
      </c>
    </row>
    <row r="19" ht="20.4" customHeight="1">
      <c r="A19" s="152" t="n">
        <v>15</v>
      </c>
      <c r="B19" s="151" t="inlineStr">
        <is>
          <t>ရွှေမင်းသားခေါင်ရည်</t>
        </is>
      </c>
      <c r="C19" s="151" t="n">
        <v>0.64</v>
      </c>
      <c r="D19" s="151" t="inlineStr">
        <is>
          <t>1 * 24</t>
        </is>
      </c>
      <c r="E19" s="151" t="n">
        <v>4</v>
      </c>
      <c r="F19" s="151" t="n">
        <v>96</v>
      </c>
      <c r="G19" s="151" t="n">
        <v>61.44</v>
      </c>
      <c r="H19" s="151" t="n">
        <v>58</v>
      </c>
      <c r="I19" s="151" t="n">
        <v>1392</v>
      </c>
      <c r="J19" s="1305" t="n">
        <v>890.88</v>
      </c>
      <c r="K19" s="151" t="n">
        <v>47</v>
      </c>
      <c r="L19" s="151" t="n">
        <v>1128</v>
      </c>
      <c r="M19" s="169">
        <f>L19*$C19</f>
        <v/>
      </c>
      <c r="N19" s="151" t="n">
        <v>99</v>
      </c>
      <c r="O19" s="151" t="n">
        <v>2376</v>
      </c>
      <c r="P19" s="169">
        <f>O19*$C19</f>
        <v/>
      </c>
      <c r="Q19" s="151" t="n">
        <v>63</v>
      </c>
      <c r="R19" s="151" t="n">
        <v>1512</v>
      </c>
      <c r="S19" s="169">
        <f>R19*$C19</f>
        <v/>
      </c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303">
        <f>E19+H19+K19+N19+Q19</f>
        <v/>
      </c>
      <c r="AP19" s="1303">
        <f>F19+I19+L19+O19+R19</f>
        <v/>
      </c>
      <c r="AQ19" s="1303">
        <f>G19+J19+M19+P19+S19</f>
        <v/>
      </c>
      <c r="AR19" s="1303">
        <f>AQ19/5</f>
        <v/>
      </c>
      <c r="AS19" s="188">
        <f>AR19/$AR$24%</f>
        <v/>
      </c>
    </row>
    <row r="20" ht="20.4" customHeight="1">
      <c r="A20" s="152" t="n">
        <v>16</v>
      </c>
      <c r="B20" s="151" t="inlineStr">
        <is>
          <t>ရွှေမင်းသားမန်ကျည်းခေါင်ရည်</t>
        </is>
      </c>
      <c r="C20" s="151" t="n">
        <v>0.64</v>
      </c>
      <c r="D20" s="151" t="n"/>
      <c r="E20" s="151" t="n"/>
      <c r="F20" s="151" t="n"/>
      <c r="G20" s="151" t="n"/>
      <c r="H20" s="151" t="n"/>
      <c r="I20" s="151" t="n"/>
      <c r="J20" s="1305" t="n"/>
      <c r="K20" s="151" t="n"/>
      <c r="L20" s="151" t="n"/>
      <c r="M20" s="169" t="n"/>
      <c r="N20" s="151" t="n">
        <v>20</v>
      </c>
      <c r="O20" s="151" t="n">
        <v>280</v>
      </c>
      <c r="P20" s="169">
        <f>O20*$C20</f>
        <v/>
      </c>
      <c r="Q20" s="151" t="n">
        <v>17</v>
      </c>
      <c r="R20" s="151" t="n">
        <v>238</v>
      </c>
      <c r="S20" s="169">
        <f>R20*$C20</f>
        <v/>
      </c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303">
        <f>E20+H20+K20+N20+Q20</f>
        <v/>
      </c>
      <c r="AP20" s="1303">
        <f>F20+I20+L20+O20+R20</f>
        <v/>
      </c>
      <c r="AQ20" s="1303">
        <f>G20+J20+M20+P20+S20</f>
        <v/>
      </c>
      <c r="AR20" s="1303">
        <f>AQ20/5</f>
        <v/>
      </c>
      <c r="AS20" s="188">
        <f>AR20/$AR$24%</f>
        <v/>
      </c>
    </row>
    <row r="21" ht="20.4" customHeight="1">
      <c r="A21" s="152" t="n">
        <v>17</v>
      </c>
      <c r="B21" s="151" t="inlineStr">
        <is>
          <t>Formula Rum 700ml</t>
        </is>
      </c>
      <c r="C21" s="151" t="n">
        <v>0.7</v>
      </c>
      <c r="D21" s="151" t="inlineStr">
        <is>
          <t>1 * 12</t>
        </is>
      </c>
      <c r="E21" s="151" t="n"/>
      <c r="F21" s="151" t="n"/>
      <c r="G21" s="151" t="n"/>
      <c r="H21" s="151" t="n"/>
      <c r="I21" s="151" t="n"/>
      <c r="J21" s="1305">
        <f>I21*$C21</f>
        <v/>
      </c>
      <c r="K21" s="151" t="n"/>
      <c r="L21" s="151" t="n"/>
      <c r="M21" s="169">
        <f>L21*$C21</f>
        <v/>
      </c>
      <c r="N21" s="151" t="n"/>
      <c r="O21" s="151" t="n"/>
      <c r="P21" s="169">
        <f>O21*$C21</f>
        <v/>
      </c>
      <c r="Q21" s="151" t="n">
        <v>14</v>
      </c>
      <c r="R21" s="151" t="n">
        <v>174</v>
      </c>
      <c r="S21" s="169">
        <f>R21*$C21</f>
        <v/>
      </c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  <c r="AO21" s="1303">
        <f>E21+H21+K21+N21+Q21</f>
        <v/>
      </c>
      <c r="AP21" s="1303">
        <f>F21+I21+L21+O21+R21</f>
        <v/>
      </c>
      <c r="AQ21" s="1303">
        <f>G21+J21+M21+P21+S21</f>
        <v/>
      </c>
      <c r="AR21" s="1303">
        <f>AQ21/5</f>
        <v/>
      </c>
      <c r="AS21" s="188">
        <f>AR21/$AR$24%</f>
        <v/>
      </c>
    </row>
    <row r="22" ht="20.4" customHeight="1">
      <c r="A22" s="152" t="n">
        <v>18</v>
      </c>
      <c r="B22" s="151" t="inlineStr">
        <is>
          <t>Formula Rum 350ml</t>
        </is>
      </c>
      <c r="C22" s="151" t="n">
        <v>0.35</v>
      </c>
      <c r="D22" s="151" t="inlineStr">
        <is>
          <t>1 * 24</t>
        </is>
      </c>
      <c r="E22" s="151" t="n"/>
      <c r="F22" s="151" t="n"/>
      <c r="G22" s="151" t="n"/>
      <c r="H22" s="151" t="n"/>
      <c r="I22" s="151" t="n"/>
      <c r="J22" s="1305">
        <f>I22*$C22</f>
        <v/>
      </c>
      <c r="K22" s="151" t="n"/>
      <c r="L22" s="151" t="n"/>
      <c r="M22" s="169">
        <f>L22*$C22</f>
        <v/>
      </c>
      <c r="N22" s="151" t="n"/>
      <c r="O22" s="151" t="n"/>
      <c r="P22" s="169">
        <f>O22*$C22</f>
        <v/>
      </c>
      <c r="Q22" s="151" t="n">
        <v>11</v>
      </c>
      <c r="R22" s="151" t="n">
        <v>272</v>
      </c>
      <c r="S22" s="169">
        <f>R22*$C22</f>
        <v/>
      </c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  <c r="AO22" s="1303">
        <f>E22+H22+K22+N22+Q22</f>
        <v/>
      </c>
      <c r="AP22" s="1303">
        <f>F22+I22+L22+O22+R22</f>
        <v/>
      </c>
      <c r="AQ22" s="1303">
        <f>G22+J22+M22+P22+S22</f>
        <v/>
      </c>
      <c r="AR22" s="1303">
        <f>AQ22/5</f>
        <v/>
      </c>
      <c r="AS22" s="188">
        <f>AR22/$AR$24%</f>
        <v/>
      </c>
    </row>
    <row r="23" ht="20.4" customHeight="1">
      <c r="A23" s="152" t="n">
        <v>19</v>
      </c>
      <c r="B23" s="151" t="inlineStr">
        <is>
          <t xml:space="preserve">White Orange </t>
        </is>
      </c>
      <c r="C23" s="151" t="n">
        <v>0.64</v>
      </c>
      <c r="D23" s="151" t="inlineStr">
        <is>
          <t>1 * 24</t>
        </is>
      </c>
      <c r="E23" s="151" t="n">
        <v>142</v>
      </c>
      <c r="F23" s="151" t="n">
        <v>3408</v>
      </c>
      <c r="G23" s="151" t="n">
        <v>2181.12</v>
      </c>
      <c r="H23" s="151" t="n">
        <v>240</v>
      </c>
      <c r="I23" s="151" t="n">
        <v>5760</v>
      </c>
      <c r="J23" s="1305" t="n">
        <v>3686.400000000001</v>
      </c>
      <c r="K23" s="151" t="n">
        <v>206</v>
      </c>
      <c r="L23" s="151" t="n">
        <v>4944</v>
      </c>
      <c r="M23" s="169">
        <f>L23*$C23</f>
        <v/>
      </c>
      <c r="N23" s="151" t="n">
        <v>259</v>
      </c>
      <c r="O23" s="151" t="n">
        <v>6216</v>
      </c>
      <c r="P23" s="169">
        <f>O23*$C23</f>
        <v/>
      </c>
      <c r="Q23" s="151" t="n">
        <v>214</v>
      </c>
      <c r="R23" s="151" t="n">
        <v>5136</v>
      </c>
      <c r="S23" s="169">
        <f>R23*$C23</f>
        <v/>
      </c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  <c r="AO23" s="1303">
        <f>E23+H23+K23+N23+Q23</f>
        <v/>
      </c>
      <c r="AP23" s="1303">
        <f>F23+I23+L23+O23+R23</f>
        <v/>
      </c>
      <c r="AQ23" s="1303">
        <f>G23+J23+M23+P23+S23</f>
        <v/>
      </c>
      <c r="AR23" s="1303">
        <f>AQ23/5</f>
        <v/>
      </c>
      <c r="AS23" s="188">
        <f>AR23/$AR$24%</f>
        <v/>
      </c>
    </row>
    <row r="24" ht="23.25" customHeight="1">
      <c r="A24" s="151" t="n"/>
      <c r="B24" s="151" t="inlineStr">
        <is>
          <t>Total</t>
        </is>
      </c>
      <c r="C24" s="151" t="n"/>
      <c r="D24" s="151" t="n"/>
      <c r="E24" s="1306">
        <f>SUM(E5:E23)</f>
        <v/>
      </c>
      <c r="F24" s="1306">
        <f>SUM(F5:F23)</f>
        <v/>
      </c>
      <c r="G24" s="1306">
        <f>SUM(G5:G23)</f>
        <v/>
      </c>
      <c r="H24" s="1306">
        <f>SUM(H5:H23)</f>
        <v/>
      </c>
      <c r="I24" s="1306">
        <f>SUM(I5:I23)</f>
        <v/>
      </c>
      <c r="J24" s="1306">
        <f>SUM(J5:J23)</f>
        <v/>
      </c>
      <c r="K24" s="1306">
        <f>SUM(K5:K23)</f>
        <v/>
      </c>
      <c r="L24" s="1306">
        <f>SUM(L5:L23)</f>
        <v/>
      </c>
      <c r="M24" s="1306">
        <f>SUM(M5:M23)</f>
        <v/>
      </c>
      <c r="N24" s="1306">
        <f>SUM(N5:N23)</f>
        <v/>
      </c>
      <c r="O24" s="1306">
        <f>SUM(O5:O23)</f>
        <v/>
      </c>
      <c r="P24" s="1306">
        <f>SUM(P5:P23)</f>
        <v/>
      </c>
      <c r="Q24" s="1306">
        <f>SUM(Q5:Q23)</f>
        <v/>
      </c>
      <c r="R24" s="1306">
        <f>SUM(R5:R23)</f>
        <v/>
      </c>
      <c r="S24" s="1306">
        <f>SUM(S5:S23)</f>
        <v/>
      </c>
      <c r="T24" s="1306">
        <f>SUM(T5:T23)</f>
        <v/>
      </c>
      <c r="U24" s="1306">
        <f>SUM(U5:U23)</f>
        <v/>
      </c>
      <c r="V24" s="1306">
        <f>SUM(V5:V23)</f>
        <v/>
      </c>
      <c r="W24" s="1306">
        <f>SUM(W5:W23)</f>
        <v/>
      </c>
      <c r="X24" s="1306">
        <f>SUM(X5:X23)</f>
        <v/>
      </c>
      <c r="Y24" s="1306">
        <f>SUM(Y5:Y23)</f>
        <v/>
      </c>
      <c r="Z24" s="1306">
        <f>SUM(Z5:Z23)</f>
        <v/>
      </c>
      <c r="AA24" s="1306">
        <f>SUM(AA5:AA23)</f>
        <v/>
      </c>
      <c r="AB24" s="1306">
        <f>SUM(AB5:AB23)</f>
        <v/>
      </c>
      <c r="AC24" s="1306">
        <f>SUM(AC5:AC23)</f>
        <v/>
      </c>
      <c r="AD24" s="1306">
        <f>SUM(AD5:AD23)</f>
        <v/>
      </c>
      <c r="AE24" s="1306">
        <f>SUM(AE5:AE23)</f>
        <v/>
      </c>
      <c r="AF24" s="1306">
        <f>SUM(AF5:AF23)</f>
        <v/>
      </c>
      <c r="AG24" s="1306">
        <f>SUM(AG5:AG23)</f>
        <v/>
      </c>
      <c r="AH24" s="1306">
        <f>SUM(AH5:AH23)</f>
        <v/>
      </c>
      <c r="AI24" s="1306">
        <f>SUM(AI5:AI23)</f>
        <v/>
      </c>
      <c r="AJ24" s="1306">
        <f>SUM(AJ5:AJ23)</f>
        <v/>
      </c>
      <c r="AK24" s="1306">
        <f>SUM(AK5:AK23)</f>
        <v/>
      </c>
      <c r="AL24" s="1306">
        <f>SUM(AL5:AL23)</f>
        <v/>
      </c>
      <c r="AM24" s="1306">
        <f>SUM(AM5:AM23)</f>
        <v/>
      </c>
      <c r="AN24" s="1306">
        <f>SUM(AN5:AN23)</f>
        <v/>
      </c>
      <c r="AO24" s="1303">
        <f>E24+H24+K24+N24+Q24</f>
        <v/>
      </c>
      <c r="AP24" s="1303">
        <f>F24+I24+L24+O24+R24</f>
        <v/>
      </c>
      <c r="AQ24" s="1303">
        <f>G24+J24+M24+P24+S24</f>
        <v/>
      </c>
      <c r="AR24" s="1303">
        <f>AQ24/5</f>
        <v/>
      </c>
      <c r="AS24" s="188">
        <f>AR24/$AR$24%</f>
        <v/>
      </c>
    </row>
  </sheetData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FF0000"/>
    <outlinePr summaryBelow="1" summaryRight="1"/>
    <pageSetUpPr/>
  </sheetPr>
  <dimension ref="A1:AS31"/>
  <sheetViews>
    <sheetView workbookViewId="0">
      <pane xSplit="4" ySplit="4" topLeftCell="L1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5"/>
    </sheetView>
  </sheetViews>
  <sheetFormatPr baseColWidth="8" defaultColWidth="9.109375" defaultRowHeight="13.8"/>
  <cols>
    <col width="6.5546875" customWidth="1" style="162" min="1" max="1"/>
    <col width="27.88671875" customWidth="1" style="162" min="2" max="2"/>
    <col width="9.109375" customWidth="1" style="162" min="3" max="4"/>
    <col width="9.5546875" bestFit="1" customWidth="1" style="162" min="5" max="5"/>
    <col width="10.5546875" bestFit="1" customWidth="1" style="162" min="6" max="7"/>
    <col width="9.33203125" bestFit="1" customWidth="1" style="162" min="8" max="12"/>
    <col width="9.5546875" bestFit="1" customWidth="1" style="162" min="13" max="13"/>
    <col width="9.33203125" bestFit="1" customWidth="1" style="162" min="14" max="15"/>
    <col width="9.5546875" bestFit="1" customWidth="1" style="162" min="16" max="16"/>
    <col width="9.33203125" bestFit="1" customWidth="1" style="162" min="17" max="18"/>
    <col width="9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39" customHeight="1">
      <c r="B1" s="148" t="inlineStr">
        <is>
          <t>2025 - Sales Details Meiktila (Taungthar Township)</t>
        </is>
      </c>
      <c r="C1" s="149" t="n"/>
      <c r="D1" s="149" t="n"/>
    </row>
    <row r="2" ht="34.5" customHeight="1"/>
    <row r="3" ht="47.2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5" t="inlineStr">
        <is>
          <t>January</t>
        </is>
      </c>
      <c r="F3" s="970" t="n"/>
      <c r="G3" s="971" t="n"/>
      <c r="H3" s="965" t="inlineStr">
        <is>
          <t>February</t>
        </is>
      </c>
      <c r="I3" s="970" t="n"/>
      <c r="J3" s="971" t="n"/>
      <c r="K3" s="965" t="inlineStr">
        <is>
          <t>March</t>
        </is>
      </c>
      <c r="L3" s="970" t="n"/>
      <c r="M3" s="971" t="n"/>
      <c r="N3" s="965" t="inlineStr">
        <is>
          <t>April</t>
        </is>
      </c>
      <c r="O3" s="970" t="n"/>
      <c r="P3" s="971" t="n"/>
      <c r="Q3" s="965" t="inlineStr">
        <is>
          <t>May</t>
        </is>
      </c>
      <c r="R3" s="970" t="n"/>
      <c r="S3" s="971" t="n"/>
      <c r="T3" s="965" t="inlineStr">
        <is>
          <t>June</t>
        </is>
      </c>
      <c r="U3" s="970" t="n"/>
      <c r="V3" s="971" t="n"/>
      <c r="W3" s="965" t="inlineStr">
        <is>
          <t>July</t>
        </is>
      </c>
      <c r="X3" s="970" t="n"/>
      <c r="Y3" s="971" t="n"/>
      <c r="Z3" s="965" t="inlineStr">
        <is>
          <t>August</t>
        </is>
      </c>
      <c r="AA3" s="970" t="n"/>
      <c r="AB3" s="971" t="n"/>
      <c r="AC3" s="965" t="inlineStr">
        <is>
          <t>September</t>
        </is>
      </c>
      <c r="AD3" s="970" t="n"/>
      <c r="AE3" s="971" t="n"/>
      <c r="AF3" s="965" t="inlineStr">
        <is>
          <t>October</t>
        </is>
      </c>
      <c r="AG3" s="970" t="n"/>
      <c r="AH3" s="971" t="n"/>
      <c r="AI3" s="965" t="inlineStr">
        <is>
          <t>November</t>
        </is>
      </c>
      <c r="AJ3" s="970" t="n"/>
      <c r="AK3" s="971" t="n"/>
      <c r="AL3" s="965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48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4" customHeight="1">
      <c r="A5" s="151" t="n">
        <v>8</v>
      </c>
      <c r="B5" s="151" t="inlineStr">
        <is>
          <t>"Zay" - 640ml</t>
        </is>
      </c>
      <c r="C5" s="151" t="n">
        <v>0.64</v>
      </c>
      <c r="D5" s="151" t="inlineStr">
        <is>
          <t>1 * 14</t>
        </is>
      </c>
      <c r="E5" s="151" t="n">
        <v>550</v>
      </c>
      <c r="F5" s="151" t="n">
        <v>7700</v>
      </c>
      <c r="G5" s="151" t="n">
        <v>4928</v>
      </c>
      <c r="H5" s="151" t="n">
        <v>350</v>
      </c>
      <c r="I5" s="151" t="n">
        <v>4900</v>
      </c>
      <c r="J5" s="1305">
        <f>I5*$C5</f>
        <v/>
      </c>
      <c r="K5" s="151" t="n">
        <v>350</v>
      </c>
      <c r="L5" s="151" t="n">
        <v>4900</v>
      </c>
      <c r="M5" s="169">
        <f>L5*$C5</f>
        <v/>
      </c>
      <c r="N5" s="151" t="n">
        <v>420</v>
      </c>
      <c r="O5" s="151" t="n">
        <v>5880</v>
      </c>
      <c r="P5" s="169">
        <f>O5*$C5</f>
        <v/>
      </c>
      <c r="Q5" s="151" t="n">
        <v>355</v>
      </c>
      <c r="R5" s="151" t="n">
        <v>4970</v>
      </c>
      <c r="S5" s="169">
        <f>R5*$C5</f>
        <v/>
      </c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218">
        <f>E5+H5+K5+N5+Q5</f>
        <v/>
      </c>
      <c r="AP5" s="218">
        <f>F5+I5+L5+O5+R5</f>
        <v/>
      </c>
      <c r="AQ5" s="218">
        <f>G5+J5+M5+P5+S5</f>
        <v/>
      </c>
      <c r="AR5" s="218">
        <f>AQ5/5</f>
        <v/>
      </c>
    </row>
    <row r="6" ht="20.4" customHeight="1">
      <c r="A6" s="151" t="n">
        <v>11</v>
      </c>
      <c r="B6" s="151" t="inlineStr">
        <is>
          <t>Kaung Kyi (1 Liter)_25%</t>
        </is>
      </c>
      <c r="C6" s="151" t="n">
        <v>1</v>
      </c>
      <c r="D6" s="151" t="inlineStr">
        <is>
          <t>1 * 12</t>
        </is>
      </c>
      <c r="E6" s="151" t="n">
        <v>90</v>
      </c>
      <c r="F6" s="151" t="n">
        <v>1080</v>
      </c>
      <c r="G6" s="151" t="n">
        <v>1080</v>
      </c>
      <c r="H6" s="151" t="n">
        <v>120</v>
      </c>
      <c r="I6" s="151" t="n">
        <v>1440</v>
      </c>
      <c r="J6" s="1305">
        <f>I6*$C6</f>
        <v/>
      </c>
      <c r="K6" s="151" t="n"/>
      <c r="L6" s="151" t="n"/>
      <c r="M6" s="169">
        <f>L6*$C6</f>
        <v/>
      </c>
      <c r="N6" s="151" t="n"/>
      <c r="O6" s="151" t="n"/>
      <c r="P6" s="169">
        <f>O6*$C6</f>
        <v/>
      </c>
      <c r="Q6" s="151" t="n"/>
      <c r="R6" s="151" t="n"/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218">
        <f>E6+H6+K6+N6+Q6</f>
        <v/>
      </c>
      <c r="AP6" s="218">
        <f>F6+I6+L6+O6+R6</f>
        <v/>
      </c>
      <c r="AQ6" s="218">
        <f>G6+J6+M6+P6+S6</f>
        <v/>
      </c>
      <c r="AR6" s="218">
        <f>AQ6/5</f>
        <v/>
      </c>
    </row>
    <row r="7" ht="20.4" customHeight="1">
      <c r="A7" s="151" t="n">
        <v>17</v>
      </c>
      <c r="B7" s="151" t="inlineStr">
        <is>
          <t xml:space="preserve">Kaung Kyi </t>
        </is>
      </c>
      <c r="C7" s="151" t="n">
        <v>0.64</v>
      </c>
      <c r="D7" s="151" t="inlineStr">
        <is>
          <t>1 * 14</t>
        </is>
      </c>
      <c r="E7" s="151" t="n"/>
      <c r="F7" s="151" t="n"/>
      <c r="G7" s="151" t="n"/>
      <c r="H7" s="151" t="n">
        <v>50</v>
      </c>
      <c r="I7" s="151" t="n">
        <v>700</v>
      </c>
      <c r="J7" s="1305">
        <f>I7*$C7</f>
        <v/>
      </c>
      <c r="K7" s="151" t="n"/>
      <c r="L7" s="151" t="n"/>
      <c r="M7" s="169">
        <f>L7*$C7</f>
        <v/>
      </c>
      <c r="N7" s="151" t="n">
        <v>50</v>
      </c>
      <c r="O7" s="151" t="n">
        <v>700</v>
      </c>
      <c r="P7" s="169">
        <f>O7*$C7</f>
        <v/>
      </c>
      <c r="Q7" s="151" t="n"/>
      <c r="R7" s="151" t="n"/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218">
        <f>E7+H7+K7+N7+Q7</f>
        <v/>
      </c>
      <c r="AP7" s="218">
        <f>F7+I7+L7+O7+R7</f>
        <v/>
      </c>
      <c r="AQ7" s="218">
        <f>G7+J7+M7+P7+S7</f>
        <v/>
      </c>
      <c r="AR7" s="218">
        <f>AQ7/5</f>
        <v/>
      </c>
    </row>
    <row r="8" ht="20.4" customHeight="1">
      <c r="A8" s="151" t="n">
        <v>20</v>
      </c>
      <c r="B8" s="151" t="inlineStr">
        <is>
          <t>မိုးနဲကွန်ကီကော်ဘူး(1 Liter)</t>
        </is>
      </c>
      <c r="C8" s="151" t="n">
        <v>1</v>
      </c>
      <c r="D8" s="151" t="inlineStr">
        <is>
          <t>1 * 12</t>
        </is>
      </c>
      <c r="E8" s="151" t="n"/>
      <c r="F8" s="151" t="n"/>
      <c r="G8" s="151" t="n"/>
      <c r="H8" s="151" t="n"/>
      <c r="I8" s="151" t="n"/>
      <c r="J8" s="1305">
        <f>I8*$C8</f>
        <v/>
      </c>
      <c r="K8" s="151" t="n"/>
      <c r="L8" s="151" t="n"/>
      <c r="M8" s="169">
        <f>L8*$C8</f>
        <v/>
      </c>
      <c r="N8" s="151" t="n"/>
      <c r="O8" s="151" t="n"/>
      <c r="P8" s="169">
        <f>O8*$C8</f>
        <v/>
      </c>
      <c r="Q8" s="151" t="n">
        <v>55</v>
      </c>
      <c r="R8" s="151" t="n">
        <v>660</v>
      </c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218">
        <f>E8+H8+K8+N8+Q8</f>
        <v/>
      </c>
      <c r="AP8" s="218">
        <f>F8+I8+L8+O8+R8</f>
        <v/>
      </c>
      <c r="AQ8" s="218">
        <f>G8+J8+M8+P8+S8</f>
        <v/>
      </c>
      <c r="AR8" s="218">
        <f>AQ8/5</f>
        <v/>
      </c>
    </row>
    <row r="9" ht="20.4" customHeight="1">
      <c r="A9" s="151" t="n">
        <v>22</v>
      </c>
      <c r="B9" s="151" t="inlineStr">
        <is>
          <t xml:space="preserve">Moe Nae Kon Ki </t>
        </is>
      </c>
      <c r="C9" s="151" t="n">
        <v>0.64</v>
      </c>
      <c r="D9" s="151" t="inlineStr">
        <is>
          <t>1 * 14</t>
        </is>
      </c>
      <c r="E9" s="151" t="n">
        <v>50</v>
      </c>
      <c r="F9" s="151" t="n">
        <v>700</v>
      </c>
      <c r="G9" s="151" t="n">
        <v>448</v>
      </c>
      <c r="H9" s="151" t="n">
        <v>100</v>
      </c>
      <c r="I9" s="151" t="n">
        <v>1400</v>
      </c>
      <c r="J9" s="1305">
        <f>I9*$C9</f>
        <v/>
      </c>
      <c r="K9" s="151" t="n">
        <v>50</v>
      </c>
      <c r="L9" s="151" t="n">
        <v>700</v>
      </c>
      <c r="M9" s="169">
        <f>L9*$C9</f>
        <v/>
      </c>
      <c r="N9" s="151" t="n">
        <v>50</v>
      </c>
      <c r="O9" s="151" t="n">
        <v>700</v>
      </c>
      <c r="P9" s="169">
        <f>O9*$C9</f>
        <v/>
      </c>
      <c r="Q9" s="151" t="n">
        <v>50</v>
      </c>
      <c r="R9" s="151" t="n">
        <v>700</v>
      </c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218">
        <f>E9+H9+K9+N9+Q9</f>
        <v/>
      </c>
      <c r="AP9" s="218">
        <f>F9+I9+L9+O9+R9</f>
        <v/>
      </c>
      <c r="AQ9" s="218">
        <f>G9+J9+M9+P9+S9</f>
        <v/>
      </c>
      <c r="AR9" s="218">
        <f>AQ9/5</f>
        <v/>
      </c>
    </row>
    <row r="10" ht="20.4" customHeight="1">
      <c r="A10" s="151" t="n">
        <v>34</v>
      </c>
      <c r="B10" s="151" t="inlineStr">
        <is>
          <t xml:space="preserve">Zayawaddy Red </t>
        </is>
      </c>
      <c r="C10" s="151" t="n">
        <v>0.64</v>
      </c>
      <c r="D10" s="151" t="inlineStr">
        <is>
          <t>1 * 14</t>
        </is>
      </c>
      <c r="E10" s="151" t="n">
        <v>550</v>
      </c>
      <c r="F10" s="151" t="n">
        <v>7700</v>
      </c>
      <c r="G10" s="151" t="n">
        <v>4928</v>
      </c>
      <c r="H10" s="151" t="n">
        <v>600</v>
      </c>
      <c r="I10" s="151" t="n">
        <v>8400</v>
      </c>
      <c r="J10" s="1305">
        <f>I10*$C10</f>
        <v/>
      </c>
      <c r="K10" s="151" t="n">
        <v>650</v>
      </c>
      <c r="L10" s="151" t="n">
        <v>9100</v>
      </c>
      <c r="M10" s="169">
        <f>L10*$C10</f>
        <v/>
      </c>
      <c r="N10" s="151" t="n">
        <v>550</v>
      </c>
      <c r="O10" s="151" t="n">
        <v>7700</v>
      </c>
      <c r="P10" s="169">
        <f>O10*$C10</f>
        <v/>
      </c>
      <c r="Q10" s="151" t="n">
        <v>550</v>
      </c>
      <c r="R10" s="151" t="n">
        <v>7700</v>
      </c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218">
        <f>E10+H10+K10+N10+Q10</f>
        <v/>
      </c>
      <c r="AP10" s="218">
        <f>F10+I10+L10+O10+R10</f>
        <v/>
      </c>
      <c r="AQ10" s="218">
        <f>G10+J10+M10+P10+S10</f>
        <v/>
      </c>
      <c r="AR10" s="218">
        <f>AQ10/5</f>
        <v/>
      </c>
    </row>
    <row r="11" ht="20.4" customHeight="1">
      <c r="A11" s="151" t="n">
        <v>37</v>
      </c>
      <c r="B11" s="151" t="inlineStr">
        <is>
          <t>ဇေယျဝတီ Red (ပု)</t>
        </is>
      </c>
      <c r="C11" s="151" t="n">
        <v>0.64</v>
      </c>
      <c r="D11" s="151" t="inlineStr">
        <is>
          <t>1 * 14</t>
        </is>
      </c>
      <c r="E11" s="151" t="n">
        <v>100</v>
      </c>
      <c r="F11" s="151" t="n">
        <v>1400</v>
      </c>
      <c r="G11" s="151" t="n">
        <v>896</v>
      </c>
      <c r="H11" s="151" t="n">
        <v>50</v>
      </c>
      <c r="I11" s="151" t="n">
        <v>700</v>
      </c>
      <c r="J11" s="1305">
        <f>I11*$C11</f>
        <v/>
      </c>
      <c r="K11" s="151" t="n"/>
      <c r="L11" s="151" t="n"/>
      <c r="M11" s="169">
        <f>L11*$C11</f>
        <v/>
      </c>
      <c r="N11" s="151" t="n"/>
      <c r="O11" s="151" t="n"/>
      <c r="P11" s="169">
        <f>O11*$C11</f>
        <v/>
      </c>
      <c r="Q11" s="151" t="n"/>
      <c r="R11" s="151" t="n"/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218">
        <f>E11+H11+K11+N11+Q11</f>
        <v/>
      </c>
      <c r="AP11" s="218">
        <f>F11+I11+L11+O11+R11</f>
        <v/>
      </c>
      <c r="AQ11" s="218">
        <f>G11+J11+M11+P11+S11</f>
        <v/>
      </c>
      <c r="AR11" s="218">
        <f>AQ11/5</f>
        <v/>
      </c>
    </row>
    <row r="12" ht="20.4" customHeight="1">
      <c r="A12" s="151" t="n">
        <v>75</v>
      </c>
      <c r="B12" s="151" t="inlineStr">
        <is>
          <t>ချယ်ရီသံပုရာ (1 Liter )</t>
        </is>
      </c>
      <c r="C12" s="151" t="n">
        <v>1</v>
      </c>
      <c r="D12" s="151" t="inlineStr">
        <is>
          <t>1 * 12</t>
        </is>
      </c>
      <c r="E12" s="151" t="n">
        <v>40</v>
      </c>
      <c r="F12" s="151" t="n">
        <v>480</v>
      </c>
      <c r="G12" s="151" t="n">
        <v>480</v>
      </c>
      <c r="H12" s="151" t="n"/>
      <c r="I12" s="151" t="n"/>
      <c r="J12" s="1305">
        <f>I12*$C12</f>
        <v/>
      </c>
      <c r="K12" s="151" t="n"/>
      <c r="L12" s="151" t="n"/>
      <c r="M12" s="169">
        <f>L12*$C12</f>
        <v/>
      </c>
      <c r="N12" s="151" t="n"/>
      <c r="O12" s="151" t="n"/>
      <c r="P12" s="169">
        <f>O12*$C12</f>
        <v/>
      </c>
      <c r="Q12" s="151" t="n"/>
      <c r="R12" s="151" t="n"/>
      <c r="S12" s="169">
        <f>R12*$C12</f>
        <v/>
      </c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218">
        <f>E12+H12+K12+N12+Q12</f>
        <v/>
      </c>
      <c r="AP12" s="218">
        <f>F12+I12+L12+O12+R12</f>
        <v/>
      </c>
      <c r="AQ12" s="218">
        <f>G12+J12+M12+P12+S12</f>
        <v/>
      </c>
      <c r="AR12" s="218">
        <f>AQ12/5</f>
        <v/>
      </c>
    </row>
    <row r="13" ht="20.4" customHeight="1">
      <c r="A13" s="151" t="n">
        <v>76</v>
      </c>
      <c r="B13" s="151" t="inlineStr">
        <is>
          <t>ချယ်ရီသံပုရာ (0.6 Liter )</t>
        </is>
      </c>
      <c r="C13" s="151" t="n">
        <v>0.6</v>
      </c>
      <c r="D13" s="151" t="inlineStr">
        <is>
          <t>1 * 24</t>
        </is>
      </c>
      <c r="E13" s="151" t="n">
        <v>30</v>
      </c>
      <c r="F13" s="151" t="n">
        <v>720</v>
      </c>
      <c r="G13" s="151" t="n">
        <v>432</v>
      </c>
      <c r="H13" s="151" t="n"/>
      <c r="I13" s="151" t="n"/>
      <c r="J13" s="1305">
        <f>I13*$C13</f>
        <v/>
      </c>
      <c r="K13" s="151" t="n"/>
      <c r="L13" s="151" t="n"/>
      <c r="M13" s="169">
        <f>L13*$C13</f>
        <v/>
      </c>
      <c r="N13" s="151" t="n"/>
      <c r="O13" s="151" t="n"/>
      <c r="P13" s="169">
        <f>O13*$C13</f>
        <v/>
      </c>
      <c r="Q13" s="151" t="n">
        <v>20</v>
      </c>
      <c r="R13" s="151" t="n">
        <v>480</v>
      </c>
      <c r="S13" s="169">
        <f>R13*$C13</f>
        <v/>
      </c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218">
        <f>E13+H13+K13+N13+Q13</f>
        <v/>
      </c>
      <c r="AP13" s="218">
        <f>F13+I13+L13+O13+R13</f>
        <v/>
      </c>
      <c r="AQ13" s="218">
        <f>G13+J13+M13+P13+S13</f>
        <v/>
      </c>
      <c r="AR13" s="218">
        <f>AQ13/5</f>
        <v/>
      </c>
    </row>
    <row r="14" ht="20.4" customHeight="1">
      <c r="A14" s="151" t="n">
        <v>80</v>
      </c>
      <c r="B14" s="151" t="inlineStr">
        <is>
          <t>ရွှေမင်းသားခေါင်ရည်</t>
        </is>
      </c>
      <c r="C14" s="151" t="n">
        <v>0.64</v>
      </c>
      <c r="D14" s="151" t="inlineStr">
        <is>
          <t>1*24</t>
        </is>
      </c>
      <c r="E14" s="151" t="n">
        <v>50</v>
      </c>
      <c r="F14" s="151" t="n">
        <v>1200</v>
      </c>
      <c r="G14" s="151" t="n">
        <v>768</v>
      </c>
      <c r="H14" s="151" t="n">
        <v>50</v>
      </c>
      <c r="I14" s="151" t="n">
        <v>1200</v>
      </c>
      <c r="J14" s="1305" t="n">
        <v>768</v>
      </c>
      <c r="K14" s="151" t="n"/>
      <c r="L14" s="151" t="n"/>
      <c r="M14" s="169">
        <f>L14*$C14</f>
        <v/>
      </c>
      <c r="N14" s="151" t="n">
        <v>30</v>
      </c>
      <c r="O14" s="151" t="n">
        <v>720</v>
      </c>
      <c r="P14" s="169">
        <f>O14*$C14</f>
        <v/>
      </c>
      <c r="Q14" s="151" t="n">
        <v>30</v>
      </c>
      <c r="R14" s="151" t="n">
        <v>720</v>
      </c>
      <c r="S14" s="169">
        <f>R14*$C14</f>
        <v/>
      </c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218">
        <f>E14+H14+K14+N14+Q14</f>
        <v/>
      </c>
      <c r="AP14" s="218">
        <f>F14+I14+L14+O14+R14</f>
        <v/>
      </c>
      <c r="AQ14" s="218">
        <f>G14+J14+M14+P14+S14</f>
        <v/>
      </c>
      <c r="AR14" s="218">
        <f>AQ14/5</f>
        <v/>
      </c>
    </row>
    <row r="15" ht="35.25" customHeight="1">
      <c r="A15" s="151" t="n"/>
      <c r="B15" s="151" t="inlineStr">
        <is>
          <t>Total</t>
        </is>
      </c>
      <c r="C15" s="151" t="n"/>
      <c r="D15" s="151" t="n"/>
      <c r="E15" s="1306">
        <f>SUM(E5:E14)</f>
        <v/>
      </c>
      <c r="F15" s="1306">
        <f>SUM(F5:F14)</f>
        <v/>
      </c>
      <c r="G15" s="1306">
        <f>SUM(G5:G14)</f>
        <v/>
      </c>
      <c r="H15" s="1306">
        <f>SUM(H5:H14)</f>
        <v/>
      </c>
      <c r="I15" s="1306">
        <f>SUM(I5:I14)</f>
        <v/>
      </c>
      <c r="J15" s="1306">
        <f>SUM(J5:J14)</f>
        <v/>
      </c>
      <c r="K15" s="1306">
        <f>SUM(K5:K14)</f>
        <v/>
      </c>
      <c r="L15" s="1306">
        <f>SUM(L5:L14)</f>
        <v/>
      </c>
      <c r="M15" s="1306">
        <f>SUM(M5:M14)</f>
        <v/>
      </c>
      <c r="N15" s="1306">
        <f>SUM(N5:N14)</f>
        <v/>
      </c>
      <c r="O15" s="1306">
        <f>SUM(O5:O14)</f>
        <v/>
      </c>
      <c r="P15" s="1306">
        <f>SUM(P5:P14)</f>
        <v/>
      </c>
      <c r="Q15" s="1306">
        <f>SUM(Q5:Q14)</f>
        <v/>
      </c>
      <c r="R15" s="1306">
        <f>SUM(R5:R14)</f>
        <v/>
      </c>
      <c r="S15" s="1306">
        <f>SUM(S5:S14)</f>
        <v/>
      </c>
      <c r="T15" s="1306">
        <f>SUM(T5:T14)</f>
        <v/>
      </c>
      <c r="U15" s="1306">
        <f>SUM(U5:U14)</f>
        <v/>
      </c>
      <c r="V15" s="1306">
        <f>SUM(V5:V14)</f>
        <v/>
      </c>
      <c r="W15" s="1306">
        <f>SUM(W5:W14)</f>
        <v/>
      </c>
      <c r="X15" s="1306">
        <f>SUM(X5:X14)</f>
        <v/>
      </c>
      <c r="Y15" s="1306">
        <f>SUM(Y5:Y14)</f>
        <v/>
      </c>
      <c r="Z15" s="1306">
        <f>SUM(Z5:Z14)</f>
        <v/>
      </c>
      <c r="AA15" s="1306">
        <f>SUM(AA5:AA14)</f>
        <v/>
      </c>
      <c r="AB15" s="1306">
        <f>SUM(AB5:AB14)</f>
        <v/>
      </c>
      <c r="AC15" s="1306">
        <f>SUM(AC5:AC14)</f>
        <v/>
      </c>
      <c r="AD15" s="1306">
        <f>SUM(AD5:AD14)</f>
        <v/>
      </c>
      <c r="AE15" s="1306">
        <f>SUM(AE5:AE14)</f>
        <v/>
      </c>
      <c r="AF15" s="1306">
        <f>SUM(AF5:AF14)</f>
        <v/>
      </c>
      <c r="AG15" s="1306">
        <f>SUM(AG5:AG14)</f>
        <v/>
      </c>
      <c r="AH15" s="1306">
        <f>SUM(AH5:AH14)</f>
        <v/>
      </c>
      <c r="AI15" s="1306">
        <f>SUM(AI5:AI14)</f>
        <v/>
      </c>
      <c r="AJ15" s="1306">
        <f>SUM(AJ5:AJ14)</f>
        <v/>
      </c>
      <c r="AK15" s="1306">
        <f>SUM(AK5:AK14)</f>
        <v/>
      </c>
      <c r="AL15" s="1306">
        <f>SUM(AL5:AL14)</f>
        <v/>
      </c>
      <c r="AM15" s="1306">
        <f>SUM(AM5:AM14)</f>
        <v/>
      </c>
      <c r="AN15" s="1306">
        <f>SUM(AN5:AN14)</f>
        <v/>
      </c>
      <c r="AO15" s="218">
        <f>E15+H15+K15+N15+Q15</f>
        <v/>
      </c>
      <c r="AP15" s="218">
        <f>F15+I15+L15+O15+R15</f>
        <v/>
      </c>
      <c r="AQ15" s="218">
        <f>G15+J15+M15+P15+S15</f>
        <v/>
      </c>
      <c r="AR15" s="218">
        <f>AQ15/5</f>
        <v/>
      </c>
    </row>
    <row r="16" ht="20.4" customHeight="1">
      <c r="A16" s="151" t="n"/>
      <c r="B16" s="151" t="n"/>
      <c r="C16" s="151" t="n"/>
      <c r="D16" s="151" t="n"/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</row>
    <row r="17" ht="20.4" customHeight="1">
      <c r="A17" s="151" t="n">
        <v>109</v>
      </c>
      <c r="B17" s="151" t="inlineStr">
        <is>
          <t>Columbus 700ml</t>
        </is>
      </c>
      <c r="C17" s="151" t="n">
        <v>0.7</v>
      </c>
      <c r="D17" s="151" t="inlineStr">
        <is>
          <t>1 * 12</t>
        </is>
      </c>
      <c r="E17" s="151" t="n"/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</row>
    <row r="18" ht="20.4" customHeight="1">
      <c r="A18" s="151" t="n">
        <v>110</v>
      </c>
      <c r="B18" s="151" t="inlineStr">
        <is>
          <t>Columbus 350ml</t>
        </is>
      </c>
      <c r="C18" s="151" t="n">
        <v>0.35</v>
      </c>
      <c r="D18" s="151" t="inlineStr">
        <is>
          <t>1 * 24</t>
        </is>
      </c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</row>
    <row r="19" ht="20.4" customHeight="1">
      <c r="A19" s="151" t="n">
        <v>111</v>
      </c>
      <c r="B19" s="151" t="inlineStr">
        <is>
          <t>Columbus 175ml</t>
        </is>
      </c>
      <c r="C19" s="151" t="n">
        <v>0.175</v>
      </c>
      <c r="D19" s="151" t="inlineStr">
        <is>
          <t>1 * 48</t>
        </is>
      </c>
      <c r="E19" s="151" t="n"/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</row>
    <row r="20" ht="20.4" customHeight="1">
      <c r="A20" s="151" t="n">
        <v>112</v>
      </c>
      <c r="B20" s="151" t="inlineStr">
        <is>
          <t xml:space="preserve">SRS - Columbus 700ml </t>
        </is>
      </c>
      <c r="C20" s="151" t="n">
        <v>0.7</v>
      </c>
      <c r="D20" s="151" t="inlineStr">
        <is>
          <t>1 * 12</t>
        </is>
      </c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</row>
    <row r="21" ht="20.4" customHeight="1">
      <c r="A21" s="151" t="n">
        <v>113</v>
      </c>
      <c r="B21" s="151" t="inlineStr">
        <is>
          <t xml:space="preserve">SRS - Columbus 350ml </t>
        </is>
      </c>
      <c r="C21" s="151" t="n">
        <v>0.35</v>
      </c>
      <c r="D21" s="151" t="inlineStr">
        <is>
          <t>1 * 24</t>
        </is>
      </c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</row>
    <row r="22" ht="20.4" customHeight="1">
      <c r="A22" s="151" t="n">
        <v>114</v>
      </c>
      <c r="B22" s="151" t="inlineStr">
        <is>
          <t xml:space="preserve">SRS - Columbus 175ml </t>
        </is>
      </c>
      <c r="C22" s="151" t="n">
        <v>0.175</v>
      </c>
      <c r="D22" s="151" t="inlineStr">
        <is>
          <t>1 * 48</t>
        </is>
      </c>
      <c r="E22" s="151" t="n"/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</row>
    <row r="23" ht="20.4" customHeight="1">
      <c r="A23" s="151" t="n">
        <v>115</v>
      </c>
      <c r="B23" s="151" t="inlineStr">
        <is>
          <t>Ngwe Taung 700ml</t>
        </is>
      </c>
      <c r="C23" s="151" t="n">
        <v>0.7</v>
      </c>
      <c r="D23" s="151" t="inlineStr">
        <is>
          <t>1 * 12</t>
        </is>
      </c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20.4" customHeight="1">
      <c r="A24" s="151" t="n">
        <v>116</v>
      </c>
      <c r="B24" s="151" t="inlineStr">
        <is>
          <t>Blended Whisky 700ml</t>
        </is>
      </c>
      <c r="C24" s="151" t="n">
        <v>0.7</v>
      </c>
      <c r="D24" s="151" t="inlineStr">
        <is>
          <t>1 * 12</t>
        </is>
      </c>
      <c r="E24" s="151" t="n"/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</row>
    <row r="25" ht="20.4" customHeight="1">
      <c r="A25" s="151" t="n">
        <v>117</v>
      </c>
      <c r="B25" s="151" t="inlineStr">
        <is>
          <t>Blended Whisky 350ml</t>
        </is>
      </c>
      <c r="C25" s="151" t="n">
        <v>0.35</v>
      </c>
      <c r="D25" s="151" t="inlineStr">
        <is>
          <t>1 * 24</t>
        </is>
      </c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</row>
    <row r="26" ht="20.4" customHeight="1">
      <c r="A26" s="151" t="n">
        <v>118</v>
      </c>
      <c r="B26" s="151" t="inlineStr">
        <is>
          <t>Simple Whisky 700 ML</t>
        </is>
      </c>
      <c r="C26" s="151" t="n">
        <v>0.7</v>
      </c>
      <c r="D26" s="151" t="inlineStr">
        <is>
          <t>1 * 12</t>
        </is>
      </c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</row>
    <row r="27" ht="20.4" customHeight="1">
      <c r="A27" s="151" t="n">
        <v>119</v>
      </c>
      <c r="B27" s="151" t="inlineStr">
        <is>
          <t>Simple Whisky 350 ML</t>
        </is>
      </c>
      <c r="C27" s="151" t="n">
        <v>0.35</v>
      </c>
      <c r="D27" s="151" t="inlineStr">
        <is>
          <t>1 * 24</t>
        </is>
      </c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1" t="n"/>
      <c r="AH27" s="151" t="n"/>
      <c r="AI27" s="151" t="n"/>
      <c r="AJ27" s="151" t="n"/>
      <c r="AK27" s="151" t="n"/>
      <c r="AL27" s="151" t="n"/>
      <c r="AM27" s="151" t="n"/>
      <c r="AN27" s="151" t="n"/>
    </row>
    <row r="28" ht="20.4" customHeight="1">
      <c r="A28" s="151" t="n">
        <v>120</v>
      </c>
      <c r="B28" s="151" t="inlineStr">
        <is>
          <t>Golden Triangle</t>
        </is>
      </c>
      <c r="C28" s="151" t="n">
        <v>0.7</v>
      </c>
      <c r="D28" s="151" t="inlineStr">
        <is>
          <t>1 * 6</t>
        </is>
      </c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1" t="n"/>
      <c r="AH28" s="151" t="n"/>
      <c r="AI28" s="151" t="n"/>
      <c r="AJ28" s="151" t="n"/>
      <c r="AK28" s="151" t="n"/>
      <c r="AL28" s="151" t="n"/>
      <c r="AM28" s="151" t="n"/>
      <c r="AN28" s="151" t="n"/>
    </row>
    <row r="29" ht="36.75" customHeight="1">
      <c r="A29" s="151" t="n"/>
      <c r="B29" s="151" t="inlineStr">
        <is>
          <t>Total</t>
        </is>
      </c>
      <c r="C29" s="151" t="n"/>
      <c r="D29" s="151" t="n"/>
      <c r="E29" s="171" t="n"/>
      <c r="F29" s="171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1" t="n"/>
      <c r="U29" s="171" t="n"/>
      <c r="V29" s="171" t="n"/>
      <c r="W29" s="171" t="n"/>
      <c r="X29" s="171" t="n"/>
      <c r="Y29" s="171" t="n"/>
      <c r="Z29" s="171" t="n"/>
      <c r="AA29" s="171" t="n"/>
      <c r="AB29" s="171" t="n"/>
      <c r="AC29" s="171" t="n"/>
      <c r="AD29" s="171" t="n"/>
      <c r="AE29" s="171" t="n"/>
      <c r="AF29" s="171" t="n"/>
      <c r="AG29" s="171" t="n"/>
      <c r="AH29" s="171" t="n"/>
      <c r="AI29" s="171" t="n"/>
      <c r="AJ29" s="171" t="n"/>
      <c r="AK29" s="171" t="n"/>
      <c r="AL29" s="171" t="n"/>
      <c r="AM29" s="171" t="n"/>
      <c r="AN29" s="171" t="n"/>
    </row>
    <row r="30" ht="45" customHeight="1">
      <c r="A30" s="151" t="n"/>
      <c r="B30" s="151" t="inlineStr">
        <is>
          <t>All Total</t>
        </is>
      </c>
      <c r="C30" s="151" t="n"/>
      <c r="D30" s="151" t="n"/>
      <c r="E30" s="1307">
        <f>E15+E29</f>
        <v/>
      </c>
      <c r="F30" s="1307">
        <f>F15+F29</f>
        <v/>
      </c>
      <c r="G30" s="1307">
        <f>G15+G29</f>
        <v/>
      </c>
      <c r="H30" s="1307">
        <f>H15+H29</f>
        <v/>
      </c>
      <c r="I30" s="1307">
        <f>I15+I29</f>
        <v/>
      </c>
      <c r="J30" s="1307">
        <f>J15+J29</f>
        <v/>
      </c>
      <c r="K30" s="1307">
        <f>K15+K29</f>
        <v/>
      </c>
      <c r="L30" s="1307">
        <f>L15+L29</f>
        <v/>
      </c>
      <c r="M30" s="1307">
        <f>M15+M29</f>
        <v/>
      </c>
      <c r="N30" s="1307">
        <f>N15+N29</f>
        <v/>
      </c>
      <c r="O30" s="1307">
        <f>O15+O29</f>
        <v/>
      </c>
      <c r="P30" s="1307">
        <f>P15+P29</f>
        <v/>
      </c>
      <c r="Q30" s="1307">
        <f>Q15+Q29</f>
        <v/>
      </c>
      <c r="R30" s="1307">
        <f>R15+R29</f>
        <v/>
      </c>
      <c r="S30" s="1307">
        <f>S15+S29</f>
        <v/>
      </c>
      <c r="T30" s="1307">
        <f>T15+T29</f>
        <v/>
      </c>
      <c r="U30" s="1307">
        <f>U15+U29</f>
        <v/>
      </c>
      <c r="V30" s="1307">
        <f>V15+V29</f>
        <v/>
      </c>
      <c r="W30" s="1307">
        <f>W15+W29</f>
        <v/>
      </c>
      <c r="X30" s="1307">
        <f>X15+X29</f>
        <v/>
      </c>
      <c r="Y30" s="1307">
        <f>Y15+Y29</f>
        <v/>
      </c>
      <c r="Z30" s="1307">
        <f>Z15+Z29</f>
        <v/>
      </c>
      <c r="AA30" s="1307">
        <f>AA15+AA29</f>
        <v/>
      </c>
      <c r="AB30" s="1307">
        <f>AB15+AB29</f>
        <v/>
      </c>
      <c r="AC30" s="1307">
        <f>AC15+AC29</f>
        <v/>
      </c>
      <c r="AD30" s="1307">
        <f>AD15+AD29</f>
        <v/>
      </c>
      <c r="AE30" s="1307">
        <f>AE15+AE29</f>
        <v/>
      </c>
      <c r="AF30" s="1307">
        <f>AF15+AF29</f>
        <v/>
      </c>
      <c r="AG30" s="1307">
        <f>AG15+AG29</f>
        <v/>
      </c>
      <c r="AH30" s="1307">
        <f>AH15+AH29</f>
        <v/>
      </c>
      <c r="AI30" s="1307">
        <f>AI15+AI29</f>
        <v/>
      </c>
      <c r="AJ30" s="1307">
        <f>AJ15+AJ29</f>
        <v/>
      </c>
      <c r="AK30" s="1307">
        <f>AK15+AK29</f>
        <v/>
      </c>
      <c r="AL30" s="1307">
        <f>AL15+AL29</f>
        <v/>
      </c>
      <c r="AM30" s="1307">
        <f>AM15+AM29</f>
        <v/>
      </c>
      <c r="AN30" s="1307">
        <f>AN15+AN29</f>
        <v/>
      </c>
    </row>
    <row r="31" ht="20.4" customHeight="1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1" t="n"/>
      <c r="AH31" s="151" t="n"/>
      <c r="AI31" s="151" t="n"/>
      <c r="AJ31" s="151" t="n"/>
      <c r="AK31" s="151" t="n"/>
      <c r="AL31" s="151" t="n"/>
      <c r="AM31" s="151" t="n"/>
      <c r="AN31" s="151" t="n"/>
    </row>
  </sheetData>
  <autoFilter ref="A4:AS15"/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FF0000"/>
    <outlinePr summaryBelow="1" summaryRight="1"/>
    <pageSetUpPr/>
  </sheetPr>
  <dimension ref="A1:AS28"/>
  <sheetViews>
    <sheetView workbookViewId="0">
      <pane xSplit="4" ySplit="4" topLeftCell="K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2"/>
    </sheetView>
  </sheetViews>
  <sheetFormatPr baseColWidth="8" defaultColWidth="9.109375" defaultRowHeight="13.8"/>
  <cols>
    <col width="5.44140625" customWidth="1" style="162" min="1" max="1"/>
    <col width="31.5546875" customWidth="1" style="162" min="2" max="2"/>
    <col width="9.109375" customWidth="1" style="162" min="3" max="4"/>
    <col width="9.5546875" customWidth="1" style="162" min="5" max="5"/>
    <col width="10.5546875" customWidth="1" style="162" min="6" max="7"/>
    <col width="9.33203125" bestFit="1" customWidth="1" style="162" min="8" max="9"/>
    <col width="9.5546875" bestFit="1" customWidth="1" style="162" min="10" max="10"/>
    <col width="9.33203125" bestFit="1" customWidth="1" style="162" min="11" max="12"/>
    <col width="9.5546875" bestFit="1" customWidth="1" style="162" min="13" max="13"/>
    <col width="9.33203125" bestFit="1" customWidth="1" style="162" min="14" max="15"/>
    <col width="9.5546875" bestFit="1" customWidth="1" style="162" min="16" max="16"/>
    <col width="9.33203125" bestFit="1" customWidth="1" style="162" min="17" max="18"/>
    <col width="9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55.5" customHeight="1">
      <c r="B1" s="148" t="inlineStr">
        <is>
          <t>2025 - Sales Details Meiktila (Myingan Township)</t>
        </is>
      </c>
      <c r="C1" s="149" t="n"/>
      <c r="D1" s="149" t="n"/>
    </row>
    <row r="2" ht="27" customHeight="1"/>
    <row r="3" ht="47.2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5" t="inlineStr">
        <is>
          <t>January</t>
        </is>
      </c>
      <c r="F3" s="970" t="n"/>
      <c r="G3" s="971" t="n"/>
      <c r="H3" s="965" t="inlineStr">
        <is>
          <t>February</t>
        </is>
      </c>
      <c r="I3" s="970" t="n"/>
      <c r="J3" s="971" t="n"/>
      <c r="K3" s="965" t="inlineStr">
        <is>
          <t>March</t>
        </is>
      </c>
      <c r="L3" s="970" t="n"/>
      <c r="M3" s="971" t="n"/>
      <c r="N3" s="965" t="inlineStr">
        <is>
          <t>April</t>
        </is>
      </c>
      <c r="O3" s="970" t="n"/>
      <c r="P3" s="971" t="n"/>
      <c r="Q3" s="965" t="inlineStr">
        <is>
          <t>May</t>
        </is>
      </c>
      <c r="R3" s="970" t="n"/>
      <c r="S3" s="971" t="n"/>
      <c r="T3" s="965" t="inlineStr">
        <is>
          <t>June</t>
        </is>
      </c>
      <c r="U3" s="970" t="n"/>
      <c r="V3" s="971" t="n"/>
      <c r="W3" s="965" t="inlineStr">
        <is>
          <t>July</t>
        </is>
      </c>
      <c r="X3" s="970" t="n"/>
      <c r="Y3" s="971" t="n"/>
      <c r="Z3" s="965" t="inlineStr">
        <is>
          <t>August</t>
        </is>
      </c>
      <c r="AA3" s="970" t="n"/>
      <c r="AB3" s="971" t="n"/>
      <c r="AC3" s="965" t="inlineStr">
        <is>
          <t>September</t>
        </is>
      </c>
      <c r="AD3" s="970" t="n"/>
      <c r="AE3" s="971" t="n"/>
      <c r="AF3" s="965" t="inlineStr">
        <is>
          <t>October</t>
        </is>
      </c>
      <c r="AG3" s="970" t="n"/>
      <c r="AH3" s="971" t="n"/>
      <c r="AI3" s="965" t="inlineStr">
        <is>
          <t>November</t>
        </is>
      </c>
      <c r="AJ3" s="970" t="n"/>
      <c r="AK3" s="971" t="n"/>
      <c r="AL3" s="965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28.5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4" customHeight="1">
      <c r="A5" s="151" t="n">
        <v>1</v>
      </c>
      <c r="B5" s="151" t="inlineStr">
        <is>
          <t>"Zay" Vodka 700-ml</t>
        </is>
      </c>
      <c r="C5" s="151" t="n">
        <v>0.7</v>
      </c>
      <c r="D5" s="151" t="inlineStr">
        <is>
          <t>1 * 12</t>
        </is>
      </c>
      <c r="E5" s="151" t="n"/>
      <c r="F5" s="151" t="n"/>
      <c r="G5" s="151" t="n"/>
      <c r="H5" s="151" t="n">
        <v>150</v>
      </c>
      <c r="I5" s="151" t="n">
        <v>1800</v>
      </c>
      <c r="J5" s="1305" t="n">
        <v>1260</v>
      </c>
      <c r="K5" s="151" t="n"/>
      <c r="L5" s="151" t="n"/>
      <c r="M5" s="151" t="n"/>
      <c r="N5" s="151" t="n"/>
      <c r="O5" s="151" t="n"/>
      <c r="P5" s="151" t="n"/>
      <c r="Q5" s="151" t="n">
        <v>215</v>
      </c>
      <c r="R5" s="151" t="n">
        <v>2580</v>
      </c>
      <c r="S5" s="169">
        <f>R5*$C5</f>
        <v/>
      </c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62">
        <f>E5+H5+K5+N5+Q5</f>
        <v/>
      </c>
      <c r="AP5" s="162">
        <f>F5+I5+L5+O5+R5</f>
        <v/>
      </c>
      <c r="AQ5" s="218">
        <f>G5+J5+M5+P5+S5</f>
        <v/>
      </c>
      <c r="AR5" s="218">
        <f>AQ5/5</f>
        <v/>
      </c>
    </row>
    <row r="6" ht="20.4" customHeight="1">
      <c r="A6" s="151" t="n">
        <v>8</v>
      </c>
      <c r="B6" s="151" t="inlineStr">
        <is>
          <t>"Zay" - 640ml</t>
        </is>
      </c>
      <c r="C6" s="151" t="n">
        <v>0.64</v>
      </c>
      <c r="D6" s="151" t="inlineStr">
        <is>
          <t>1 * 14</t>
        </is>
      </c>
      <c r="E6" s="151" t="n">
        <v>835</v>
      </c>
      <c r="F6" s="151" t="n">
        <v>11690</v>
      </c>
      <c r="G6" s="151" t="n">
        <v>7481.6</v>
      </c>
      <c r="H6" s="151" t="n">
        <v>470</v>
      </c>
      <c r="I6" s="151" t="n">
        <v>6580</v>
      </c>
      <c r="J6" s="1305" t="n">
        <v>4211.2</v>
      </c>
      <c r="K6" s="151" t="n">
        <v>680</v>
      </c>
      <c r="L6" s="151" t="n">
        <v>9520</v>
      </c>
      <c r="M6" s="169">
        <f>L6*$C6</f>
        <v/>
      </c>
      <c r="N6" s="151" t="n">
        <v>200</v>
      </c>
      <c r="O6" s="151" t="n">
        <v>2800</v>
      </c>
      <c r="P6" s="169">
        <f>O6*$C6</f>
        <v/>
      </c>
      <c r="Q6" s="151" t="n">
        <v>797</v>
      </c>
      <c r="R6" s="151" t="n">
        <v>11158</v>
      </c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62">
        <f>E6+H6+K6+N6+Q6</f>
        <v/>
      </c>
      <c r="AP6" s="162">
        <f>F6+I6+L6+O6+R6</f>
        <v/>
      </c>
      <c r="AQ6" s="218">
        <f>G6+J6+M6+P6+S6</f>
        <v/>
      </c>
      <c r="AR6" s="218">
        <f>AQ6/5</f>
        <v/>
      </c>
    </row>
    <row r="7" ht="20.4" customHeight="1">
      <c r="A7" s="151" t="n">
        <v>11</v>
      </c>
      <c r="B7" s="151" t="inlineStr">
        <is>
          <t>Kaung Kyi (1 Liter)_25%</t>
        </is>
      </c>
      <c r="C7" s="151" t="n">
        <v>1</v>
      </c>
      <c r="D7" s="151" t="inlineStr">
        <is>
          <t>1 * 12</t>
        </is>
      </c>
      <c r="E7" s="151" t="n"/>
      <c r="F7" s="151" t="n"/>
      <c r="G7" s="151" t="n"/>
      <c r="H7" s="151" t="n"/>
      <c r="I7" s="151" t="n"/>
      <c r="J7" s="1305">
        <f>I7*$C7</f>
        <v/>
      </c>
      <c r="K7" s="151" t="n"/>
      <c r="L7" s="151" t="n"/>
      <c r="M7" s="169">
        <f>L7*$C7</f>
        <v/>
      </c>
      <c r="N7" s="151" t="n"/>
      <c r="O7" s="151" t="n"/>
      <c r="P7" s="169">
        <f>O7*$C7</f>
        <v/>
      </c>
      <c r="Q7" s="151" t="n">
        <v>30</v>
      </c>
      <c r="R7" s="151" t="n">
        <v>360</v>
      </c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62">
        <f>E7+H7+K7+N7+Q7</f>
        <v/>
      </c>
      <c r="AP7" s="162">
        <f>F7+I7+L7+O7+R7</f>
        <v/>
      </c>
      <c r="AQ7" s="218">
        <f>G7+J7+M7+P7+S7</f>
        <v/>
      </c>
      <c r="AR7" s="218">
        <f>AQ7/5</f>
        <v/>
      </c>
    </row>
    <row r="8" ht="20.4" customHeight="1">
      <c r="A8" s="151" t="n">
        <v>17</v>
      </c>
      <c r="B8" s="151" t="inlineStr">
        <is>
          <t xml:space="preserve">Kaung Kyi </t>
        </is>
      </c>
      <c r="C8" s="151" t="n">
        <v>0.64</v>
      </c>
      <c r="D8" s="151" t="inlineStr">
        <is>
          <t>1 * 14</t>
        </is>
      </c>
      <c r="E8" s="151" t="n">
        <v>65</v>
      </c>
      <c r="F8" s="151" t="n">
        <v>910</v>
      </c>
      <c r="G8" s="151" t="n">
        <v>582.4000000000001</v>
      </c>
      <c r="H8" s="151" t="n">
        <v>20</v>
      </c>
      <c r="I8" s="151" t="n">
        <v>280</v>
      </c>
      <c r="J8" s="1305" t="n">
        <v>179.2</v>
      </c>
      <c r="K8" s="151" t="n">
        <v>70</v>
      </c>
      <c r="L8" s="151" t="n">
        <v>980</v>
      </c>
      <c r="M8" s="169">
        <f>L8*$C8</f>
        <v/>
      </c>
      <c r="N8" s="151" t="n"/>
      <c r="O8" s="151" t="n"/>
      <c r="P8" s="169">
        <f>O8*$C8</f>
        <v/>
      </c>
      <c r="Q8" s="151" t="n">
        <v>315</v>
      </c>
      <c r="R8" s="151" t="n">
        <v>4410</v>
      </c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62">
        <f>E8+H8+K8+N8+Q8</f>
        <v/>
      </c>
      <c r="AP8" s="162">
        <f>F8+I8+L8+O8+R8</f>
        <v/>
      </c>
      <c r="AQ8" s="218">
        <f>G8+J8+M8+P8+S8</f>
        <v/>
      </c>
      <c r="AR8" s="218">
        <f>AQ8/5</f>
        <v/>
      </c>
    </row>
    <row r="9" ht="20.4" customHeight="1">
      <c r="A9" s="151" t="n">
        <v>61</v>
      </c>
      <c r="B9" s="151" t="inlineStr">
        <is>
          <t xml:space="preserve">Dagon Pineapple </t>
        </is>
      </c>
      <c r="C9" s="151" t="n">
        <v>0.64</v>
      </c>
      <c r="D9" s="151" t="inlineStr">
        <is>
          <t>1 * 24</t>
        </is>
      </c>
      <c r="E9" s="151" t="n">
        <v>85</v>
      </c>
      <c r="F9" s="151" t="n">
        <v>2040</v>
      </c>
      <c r="G9" s="151" t="n">
        <v>1305.6</v>
      </c>
      <c r="H9" s="151" t="n">
        <v>90</v>
      </c>
      <c r="I9" s="151" t="n">
        <v>2160</v>
      </c>
      <c r="J9" s="1305" t="n">
        <v>1382.4</v>
      </c>
      <c r="K9" s="151" t="n">
        <v>240</v>
      </c>
      <c r="L9" s="151" t="n">
        <v>5760</v>
      </c>
      <c r="M9" s="169">
        <f>L9*$C9</f>
        <v/>
      </c>
      <c r="N9" s="151" t="n"/>
      <c r="O9" s="151" t="n"/>
      <c r="P9" s="169">
        <f>O9*$C9</f>
        <v/>
      </c>
      <c r="Q9" s="151" t="n">
        <v>230</v>
      </c>
      <c r="R9" s="151" t="n">
        <v>5520</v>
      </c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62">
        <f>E9+H9+K9+N9+Q9</f>
        <v/>
      </c>
      <c r="AP9" s="162">
        <f>F9+I9+L9+O9+R9</f>
        <v/>
      </c>
      <c r="AQ9" s="218">
        <f>G9+J9+M9+P9+S9</f>
        <v/>
      </c>
      <c r="AR9" s="218">
        <f>AQ9/5</f>
        <v/>
      </c>
    </row>
    <row r="10" ht="20.4" customHeight="1">
      <c r="A10" s="151" t="n">
        <v>80</v>
      </c>
      <c r="B10" s="151" t="inlineStr">
        <is>
          <t>ရွှေမင်းသားခေါင်ရည်</t>
        </is>
      </c>
      <c r="C10" s="151" t="n">
        <v>0.64</v>
      </c>
      <c r="D10" s="151" t="inlineStr">
        <is>
          <t>1*24</t>
        </is>
      </c>
      <c r="E10" s="151" t="n">
        <v>30</v>
      </c>
      <c r="F10" s="151" t="n">
        <v>720</v>
      </c>
      <c r="G10" s="151" t="n">
        <v>460.8</v>
      </c>
      <c r="H10" s="151" t="n"/>
      <c r="I10" s="151" t="n"/>
      <c r="J10" s="1305" t="n"/>
      <c r="K10" s="151" t="n"/>
      <c r="L10" s="151" t="n"/>
      <c r="M10" s="169">
        <f>L10*$C10</f>
        <v/>
      </c>
      <c r="N10" s="151" t="n"/>
      <c r="O10" s="151" t="n"/>
      <c r="P10" s="169">
        <f>O10*$C10</f>
        <v/>
      </c>
      <c r="Q10" s="151" t="n">
        <v>20</v>
      </c>
      <c r="R10" s="151" t="n">
        <v>480</v>
      </c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62">
        <f>E10+H10+K10+N10+Q10</f>
        <v/>
      </c>
      <c r="AP10" s="162">
        <f>F10+I10+L10+O10+R10</f>
        <v/>
      </c>
      <c r="AQ10" s="218">
        <f>G10+J10+M10+P10+S10</f>
        <v/>
      </c>
      <c r="AR10" s="218">
        <f>AQ10/5</f>
        <v/>
      </c>
    </row>
    <row r="11" ht="20.4" customHeight="1">
      <c r="A11" s="151" t="n">
        <v>91</v>
      </c>
      <c r="B11" s="151" t="inlineStr">
        <is>
          <t>Formula Rum 700ml</t>
        </is>
      </c>
      <c r="C11" s="151" t="n">
        <v>0.7</v>
      </c>
      <c r="D11" s="151" t="inlineStr">
        <is>
          <t>1 * 12</t>
        </is>
      </c>
      <c r="E11" s="151" t="n"/>
      <c r="F11" s="151" t="n"/>
      <c r="G11" s="151" t="n"/>
      <c r="H11" s="151" t="n"/>
      <c r="I11" s="151" t="n"/>
      <c r="J11" s="1305">
        <f>I11*$C11</f>
        <v/>
      </c>
      <c r="K11" s="151" t="n"/>
      <c r="L11" s="151" t="n"/>
      <c r="M11" s="169">
        <f>L11*$C11</f>
        <v/>
      </c>
      <c r="N11" s="151" t="n"/>
      <c r="O11" s="151" t="n"/>
      <c r="P11" s="169">
        <f>O11*$C11</f>
        <v/>
      </c>
      <c r="Q11" s="151" t="n">
        <v>20</v>
      </c>
      <c r="R11" s="151" t="n">
        <v>240</v>
      </c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62">
        <f>E11+H11+K11+N11+Q11</f>
        <v/>
      </c>
      <c r="AP11" s="162">
        <f>F11+I11+L11+O11+R11</f>
        <v/>
      </c>
      <c r="AQ11" s="218">
        <f>G11+J11+M11+P11+S11</f>
        <v/>
      </c>
      <c r="AR11" s="218">
        <f>AQ11/5</f>
        <v/>
      </c>
    </row>
    <row r="12" ht="34.5" customHeight="1">
      <c r="A12" s="151" t="n"/>
      <c r="B12" s="151" t="inlineStr">
        <is>
          <t>Total</t>
        </is>
      </c>
      <c r="C12" s="151" t="n"/>
      <c r="D12" s="151" t="n"/>
      <c r="E12" s="1306">
        <f>SUM(E5:E11)</f>
        <v/>
      </c>
      <c r="F12" s="1306">
        <f>SUM(F5:F11)</f>
        <v/>
      </c>
      <c r="G12" s="1306">
        <f>SUM(G5:G11)</f>
        <v/>
      </c>
      <c r="H12" s="1306">
        <f>SUM(H5:H11)</f>
        <v/>
      </c>
      <c r="I12" s="1306">
        <f>SUM(I5:I11)</f>
        <v/>
      </c>
      <c r="J12" s="1306">
        <f>SUM(J5:J11)</f>
        <v/>
      </c>
      <c r="K12" s="1306">
        <f>SUM(K5:K11)</f>
        <v/>
      </c>
      <c r="L12" s="1306">
        <f>SUM(L5:L11)</f>
        <v/>
      </c>
      <c r="M12" s="1306">
        <f>SUM(M5:M11)</f>
        <v/>
      </c>
      <c r="N12" s="1306">
        <f>SUM(N5:N11)</f>
        <v/>
      </c>
      <c r="O12" s="1306">
        <f>SUM(O5:O11)</f>
        <v/>
      </c>
      <c r="P12" s="1306">
        <f>SUM(P5:P11)</f>
        <v/>
      </c>
      <c r="Q12" s="1306">
        <f>SUM(Q5:Q11)</f>
        <v/>
      </c>
      <c r="R12" s="1306">
        <f>SUM(R5:R11)</f>
        <v/>
      </c>
      <c r="S12" s="1306">
        <f>SUM(S5:S11)</f>
        <v/>
      </c>
      <c r="T12" s="1306">
        <f>SUM(T5:T11)</f>
        <v/>
      </c>
      <c r="U12" s="1306">
        <f>SUM(U5:U11)</f>
        <v/>
      </c>
      <c r="V12" s="1306">
        <f>SUM(V5:V11)</f>
        <v/>
      </c>
      <c r="W12" s="1306">
        <f>SUM(W5:W11)</f>
        <v/>
      </c>
      <c r="X12" s="1306">
        <f>SUM(X5:X11)</f>
        <v/>
      </c>
      <c r="Y12" s="1306">
        <f>SUM(Y5:Y11)</f>
        <v/>
      </c>
      <c r="Z12" s="1306">
        <f>SUM(Z5:Z11)</f>
        <v/>
      </c>
      <c r="AA12" s="1306">
        <f>SUM(AA5:AA11)</f>
        <v/>
      </c>
      <c r="AB12" s="1306">
        <f>SUM(AB5:AB11)</f>
        <v/>
      </c>
      <c r="AC12" s="1306">
        <f>SUM(AC5:AC11)</f>
        <v/>
      </c>
      <c r="AD12" s="1306">
        <f>SUM(AD5:AD11)</f>
        <v/>
      </c>
      <c r="AE12" s="1306">
        <f>SUM(AE5:AE11)</f>
        <v/>
      </c>
      <c r="AF12" s="1306">
        <f>SUM(AF5:AF11)</f>
        <v/>
      </c>
      <c r="AG12" s="1306">
        <f>SUM(AG5:AG11)</f>
        <v/>
      </c>
      <c r="AH12" s="1306">
        <f>SUM(AH5:AH11)</f>
        <v/>
      </c>
      <c r="AI12" s="1306">
        <f>SUM(AI5:AI11)</f>
        <v/>
      </c>
      <c r="AJ12" s="1306">
        <f>SUM(AJ5:AJ11)</f>
        <v/>
      </c>
      <c r="AK12" s="1306">
        <f>SUM(AK5:AK11)</f>
        <v/>
      </c>
      <c r="AL12" s="1306">
        <f>SUM(AL5:AL11)</f>
        <v/>
      </c>
      <c r="AM12" s="1306">
        <f>SUM(AM5:AM11)</f>
        <v/>
      </c>
      <c r="AN12" s="1306">
        <f>SUM(AN5:AN11)</f>
        <v/>
      </c>
      <c r="AO12" s="162">
        <f>E12+H12+K12+N12+Q12</f>
        <v/>
      </c>
      <c r="AP12" s="162">
        <f>F12+I12+L12+O12+R12</f>
        <v/>
      </c>
      <c r="AQ12" s="218">
        <f>G12+J12+M12+P12+S12</f>
        <v/>
      </c>
      <c r="AR12" s="218">
        <f>AQ12/5</f>
        <v/>
      </c>
    </row>
    <row r="13" ht="20.4" customHeight="1">
      <c r="A13" s="151" t="n"/>
      <c r="B13" s="151" t="n"/>
      <c r="C13" s="151" t="n"/>
      <c r="D13" s="151" t="n"/>
      <c r="E13" s="151" t="n"/>
      <c r="F13" s="151" t="n"/>
      <c r="G13" s="151" t="n"/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</row>
    <row r="14" ht="20.4" customHeight="1">
      <c r="A14" s="151" t="n">
        <v>109</v>
      </c>
      <c r="B14" s="151" t="inlineStr">
        <is>
          <t>Columbus 700ml</t>
        </is>
      </c>
      <c r="C14" s="151" t="n">
        <v>0.7</v>
      </c>
      <c r="D14" s="151" t="inlineStr">
        <is>
          <t>1 * 12</t>
        </is>
      </c>
      <c r="E14" s="151" t="n"/>
      <c r="F14" s="151" t="n"/>
      <c r="G14" s="151" t="n"/>
      <c r="H14" s="151" t="n"/>
      <c r="I14" s="151" t="n"/>
      <c r="J14" s="151" t="n"/>
      <c r="K14" s="151" t="n"/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</row>
    <row r="15" ht="20.4" customHeight="1">
      <c r="A15" s="151" t="n">
        <v>110</v>
      </c>
      <c r="B15" s="151" t="inlineStr">
        <is>
          <t>Columbus 350ml</t>
        </is>
      </c>
      <c r="C15" s="151" t="n">
        <v>0.35</v>
      </c>
      <c r="D15" s="151" t="inlineStr">
        <is>
          <t>1 * 24</t>
        </is>
      </c>
      <c r="E15" s="151" t="n"/>
      <c r="F15" s="151" t="n"/>
      <c r="G15" s="151" t="n"/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</row>
    <row r="16" ht="20.4" customHeight="1">
      <c r="A16" s="151" t="n">
        <v>111</v>
      </c>
      <c r="B16" s="151" t="inlineStr">
        <is>
          <t>Columbus 175ml</t>
        </is>
      </c>
      <c r="C16" s="151" t="n">
        <v>0.175</v>
      </c>
      <c r="D16" s="151" t="inlineStr">
        <is>
          <t>1 * 48</t>
        </is>
      </c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</row>
    <row r="17" ht="20.4" customHeight="1">
      <c r="A17" s="151" t="n">
        <v>112</v>
      </c>
      <c r="B17" s="151" t="inlineStr">
        <is>
          <t xml:space="preserve">SRS - Columbus 700ml </t>
        </is>
      </c>
      <c r="C17" s="151" t="n">
        <v>0.7</v>
      </c>
      <c r="D17" s="151" t="inlineStr">
        <is>
          <t>1 * 12</t>
        </is>
      </c>
      <c r="E17" s="151" t="n"/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</row>
    <row r="18" ht="20.4" customHeight="1">
      <c r="A18" s="151" t="n">
        <v>113</v>
      </c>
      <c r="B18" s="151" t="inlineStr">
        <is>
          <t xml:space="preserve">SRS - Columbus 350ml </t>
        </is>
      </c>
      <c r="C18" s="151" t="n">
        <v>0.35</v>
      </c>
      <c r="D18" s="151" t="inlineStr">
        <is>
          <t>1 * 24</t>
        </is>
      </c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</row>
    <row r="19" ht="20.4" customHeight="1">
      <c r="A19" s="151" t="n">
        <v>114</v>
      </c>
      <c r="B19" s="151" t="inlineStr">
        <is>
          <t xml:space="preserve">SRS - Columbus 175ml </t>
        </is>
      </c>
      <c r="C19" s="151" t="n">
        <v>0.175</v>
      </c>
      <c r="D19" s="151" t="inlineStr">
        <is>
          <t>1 * 48</t>
        </is>
      </c>
      <c r="E19" s="151" t="n"/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</row>
    <row r="20" ht="20.4" customHeight="1">
      <c r="A20" s="151" t="n">
        <v>115</v>
      </c>
      <c r="B20" s="151" t="inlineStr">
        <is>
          <t>Ngwe Taung 700ml</t>
        </is>
      </c>
      <c r="C20" s="151" t="n">
        <v>0.7</v>
      </c>
      <c r="D20" s="151" t="inlineStr">
        <is>
          <t>1 * 12</t>
        </is>
      </c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</row>
    <row r="21" ht="20.4" customHeight="1">
      <c r="A21" s="151" t="n">
        <v>116</v>
      </c>
      <c r="B21" s="151" t="inlineStr">
        <is>
          <t>Blended Whisky 700ml</t>
        </is>
      </c>
      <c r="C21" s="151" t="n">
        <v>0.7</v>
      </c>
      <c r="D21" s="151" t="inlineStr">
        <is>
          <t>1 * 12</t>
        </is>
      </c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</row>
    <row r="22" ht="20.4" customHeight="1">
      <c r="A22" s="151" t="n">
        <v>117</v>
      </c>
      <c r="B22" s="151" t="inlineStr">
        <is>
          <t>Blended Whisky 350ml</t>
        </is>
      </c>
      <c r="C22" s="151" t="n">
        <v>0.35</v>
      </c>
      <c r="D22" s="151" t="inlineStr">
        <is>
          <t>1 * 24</t>
        </is>
      </c>
      <c r="E22" s="151" t="n"/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</row>
    <row r="23" ht="20.4" customHeight="1">
      <c r="A23" s="151" t="n">
        <v>118</v>
      </c>
      <c r="B23" s="151" t="inlineStr">
        <is>
          <t>Simple Whisky 700 ML</t>
        </is>
      </c>
      <c r="C23" s="151" t="n">
        <v>0.7</v>
      </c>
      <c r="D23" s="151" t="inlineStr">
        <is>
          <t>1 * 12</t>
        </is>
      </c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20.4" customHeight="1">
      <c r="A24" s="151" t="n">
        <v>119</v>
      </c>
      <c r="B24" s="151" t="inlineStr">
        <is>
          <t>Simple Whisky 350 ML</t>
        </is>
      </c>
      <c r="C24" s="151" t="n">
        <v>0.35</v>
      </c>
      <c r="D24" s="151" t="inlineStr">
        <is>
          <t>1 * 24</t>
        </is>
      </c>
      <c r="E24" s="151" t="n"/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</row>
    <row r="25" ht="20.4" customHeight="1">
      <c r="A25" s="151" t="n">
        <v>120</v>
      </c>
      <c r="B25" s="151" t="inlineStr">
        <is>
          <t>Golden Triangle</t>
        </is>
      </c>
      <c r="C25" s="151" t="n">
        <v>0.7</v>
      </c>
      <c r="D25" s="151" t="inlineStr">
        <is>
          <t>1 * 6</t>
        </is>
      </c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</row>
    <row r="26" ht="36.75" customHeight="1">
      <c r="A26" s="151" t="n"/>
      <c r="B26" s="151" t="inlineStr">
        <is>
          <t>Total</t>
        </is>
      </c>
      <c r="C26" s="151" t="n"/>
      <c r="D26" s="151" t="n"/>
      <c r="E26" s="171" t="n"/>
      <c r="F26" s="171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1" t="n"/>
      <c r="U26" s="171" t="n"/>
      <c r="V26" s="171" t="n"/>
      <c r="W26" s="171" t="n"/>
      <c r="X26" s="171" t="n"/>
      <c r="Y26" s="171" t="n"/>
      <c r="Z26" s="171" t="n"/>
      <c r="AA26" s="171" t="n"/>
      <c r="AB26" s="171" t="n"/>
      <c r="AC26" s="171" t="n"/>
      <c r="AD26" s="171" t="n"/>
      <c r="AE26" s="171" t="n"/>
      <c r="AF26" s="171" t="n"/>
      <c r="AG26" s="171" t="n"/>
      <c r="AH26" s="171" t="n"/>
      <c r="AI26" s="171" t="n"/>
      <c r="AJ26" s="171" t="n"/>
      <c r="AK26" s="171" t="n"/>
      <c r="AL26" s="171" t="n"/>
      <c r="AM26" s="171" t="n"/>
      <c r="AN26" s="171" t="n"/>
    </row>
    <row r="27" ht="43.5" customHeight="1">
      <c r="A27" s="151" t="n"/>
      <c r="B27" s="151" t="inlineStr">
        <is>
          <t>All Total</t>
        </is>
      </c>
      <c r="C27" s="151" t="n"/>
      <c r="D27" s="151" t="n"/>
      <c r="E27" s="1307">
        <f>E12+E26</f>
        <v/>
      </c>
      <c r="F27" s="1307">
        <f>F12+F26</f>
        <v/>
      </c>
      <c r="G27" s="1307">
        <f>G12+G26</f>
        <v/>
      </c>
      <c r="H27" s="1307">
        <f>H12+H26</f>
        <v/>
      </c>
      <c r="I27" s="1307">
        <f>I12+I26</f>
        <v/>
      </c>
      <c r="J27" s="1307">
        <f>J12+J26</f>
        <v/>
      </c>
      <c r="K27" s="1307">
        <f>K12+K26</f>
        <v/>
      </c>
      <c r="L27" s="1307">
        <f>L12+L26</f>
        <v/>
      </c>
      <c r="M27" s="1307">
        <f>M12+M26</f>
        <v/>
      </c>
      <c r="N27" s="1307">
        <f>N12+N26</f>
        <v/>
      </c>
      <c r="O27" s="1307">
        <f>O12+O26</f>
        <v/>
      </c>
      <c r="P27" s="1307">
        <f>P12+P26</f>
        <v/>
      </c>
      <c r="Q27" s="1307">
        <f>Q12+Q26</f>
        <v/>
      </c>
      <c r="R27" s="1307">
        <f>R12+R26</f>
        <v/>
      </c>
      <c r="S27" s="1307">
        <f>S12+S26</f>
        <v/>
      </c>
      <c r="T27" s="1307">
        <f>T12+T26</f>
        <v/>
      </c>
      <c r="U27" s="1307">
        <f>U12+U26</f>
        <v/>
      </c>
      <c r="V27" s="1307">
        <f>V12+V26</f>
        <v/>
      </c>
      <c r="W27" s="1307">
        <f>W12+W26</f>
        <v/>
      </c>
      <c r="X27" s="1307">
        <f>X12+X26</f>
        <v/>
      </c>
      <c r="Y27" s="1307">
        <f>Y12+Y26</f>
        <v/>
      </c>
      <c r="Z27" s="1307">
        <f>Z12+Z26</f>
        <v/>
      </c>
      <c r="AA27" s="1307">
        <f>AA12+AA26</f>
        <v/>
      </c>
      <c r="AB27" s="1307">
        <f>AB12+AB26</f>
        <v/>
      </c>
      <c r="AC27" s="1307">
        <f>AC12+AC26</f>
        <v/>
      </c>
      <c r="AD27" s="1307">
        <f>AD12+AD26</f>
        <v/>
      </c>
      <c r="AE27" s="1307">
        <f>AE12+AE26</f>
        <v/>
      </c>
      <c r="AF27" s="1307">
        <f>AF12+AF26</f>
        <v/>
      </c>
      <c r="AG27" s="1307">
        <f>AG12+AG26</f>
        <v/>
      </c>
      <c r="AH27" s="1307">
        <f>AH12+AH26</f>
        <v/>
      </c>
      <c r="AI27" s="1307">
        <f>AI12+AI26</f>
        <v/>
      </c>
      <c r="AJ27" s="1307">
        <f>AJ12+AJ26</f>
        <v/>
      </c>
      <c r="AK27" s="1307">
        <f>AK12+AK26</f>
        <v/>
      </c>
      <c r="AL27" s="1307">
        <f>AL12+AL26</f>
        <v/>
      </c>
      <c r="AM27" s="1307">
        <f>AM12+AM26</f>
        <v/>
      </c>
      <c r="AN27" s="1307">
        <f>AN12+AN26</f>
        <v/>
      </c>
    </row>
    <row r="28" ht="20.4" customHeight="1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1" t="n"/>
      <c r="AH28" s="151" t="n"/>
      <c r="AI28" s="151" t="n"/>
      <c r="AJ28" s="151" t="n"/>
      <c r="AK28" s="151" t="n"/>
      <c r="AL28" s="151" t="n"/>
      <c r="AM28" s="151" t="n"/>
      <c r="AN28" s="151" t="n"/>
    </row>
  </sheetData>
  <autoFilter ref="A4:AS12"/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FF0000"/>
    <outlinePr summaryBelow="1" summaryRight="1"/>
    <pageSetUpPr/>
  </sheetPr>
  <dimension ref="A1:AS37"/>
  <sheetViews>
    <sheetView workbookViewId="0">
      <pane xSplit="4" ySplit="4" topLeftCell="K17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21"/>
    </sheetView>
  </sheetViews>
  <sheetFormatPr baseColWidth="8" defaultColWidth="9.109375" defaultRowHeight="13.8"/>
  <cols>
    <col width="7" customWidth="1" style="162" min="1" max="1"/>
    <col width="29.109375" customWidth="1" style="162" min="2" max="2"/>
    <col width="9.109375" customWidth="1" style="162" min="3" max="4"/>
    <col width="9.5546875" customWidth="1" style="162" min="5" max="5"/>
    <col width="10.5546875" customWidth="1" style="162" min="6" max="7"/>
    <col width="9.33203125" bestFit="1" customWidth="1" style="162" min="8" max="12"/>
    <col width="10.5546875" bestFit="1" customWidth="1" style="162" min="13" max="13"/>
    <col width="9.33203125" bestFit="1" customWidth="1" style="162" min="14" max="15"/>
    <col width="9.5546875" bestFit="1" customWidth="1" style="162" min="16" max="16"/>
    <col width="9.33203125" bestFit="1" customWidth="1" style="162" min="17" max="18"/>
    <col width="9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47.25" customHeight="1">
      <c r="B1" s="148" t="inlineStr">
        <is>
          <t>2025 - Sales Details Meiktila (Bagan Township)</t>
        </is>
      </c>
      <c r="C1" s="149" t="n"/>
    </row>
    <row r="2" ht="25.5" customHeight="1"/>
    <row r="3" ht="39.7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5" t="inlineStr">
        <is>
          <t>January</t>
        </is>
      </c>
      <c r="F3" s="970" t="n"/>
      <c r="G3" s="971" t="n"/>
      <c r="H3" s="965" t="inlineStr">
        <is>
          <t>February</t>
        </is>
      </c>
      <c r="I3" s="970" t="n"/>
      <c r="J3" s="971" t="n"/>
      <c r="K3" s="965" t="inlineStr">
        <is>
          <t>March</t>
        </is>
      </c>
      <c r="L3" s="970" t="n"/>
      <c r="M3" s="971" t="n"/>
      <c r="N3" s="965" t="inlineStr">
        <is>
          <t>April</t>
        </is>
      </c>
      <c r="O3" s="970" t="n"/>
      <c r="P3" s="971" t="n"/>
      <c r="Q3" s="965" t="inlineStr">
        <is>
          <t>May</t>
        </is>
      </c>
      <c r="R3" s="970" t="n"/>
      <c r="S3" s="971" t="n"/>
      <c r="T3" s="965" t="inlineStr">
        <is>
          <t>June</t>
        </is>
      </c>
      <c r="U3" s="970" t="n"/>
      <c r="V3" s="971" t="n"/>
      <c r="W3" s="965" t="inlineStr">
        <is>
          <t>July</t>
        </is>
      </c>
      <c r="X3" s="970" t="n"/>
      <c r="Y3" s="971" t="n"/>
      <c r="Z3" s="965" t="inlineStr">
        <is>
          <t>August</t>
        </is>
      </c>
      <c r="AA3" s="970" t="n"/>
      <c r="AB3" s="971" t="n"/>
      <c r="AC3" s="965" t="inlineStr">
        <is>
          <t>September</t>
        </is>
      </c>
      <c r="AD3" s="970" t="n"/>
      <c r="AE3" s="971" t="n"/>
      <c r="AF3" s="965" t="inlineStr">
        <is>
          <t>October</t>
        </is>
      </c>
      <c r="AG3" s="970" t="n"/>
      <c r="AH3" s="971" t="n"/>
      <c r="AI3" s="965" t="inlineStr">
        <is>
          <t>November</t>
        </is>
      </c>
      <c r="AJ3" s="970" t="n"/>
      <c r="AK3" s="971" t="n"/>
      <c r="AL3" s="965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36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4" customHeight="1">
      <c r="A5" s="151" t="n">
        <v>8</v>
      </c>
      <c r="B5" s="151" t="inlineStr">
        <is>
          <t>"Zay" - 640ml</t>
        </is>
      </c>
      <c r="C5" s="151" t="n">
        <v>0.64</v>
      </c>
      <c r="D5" s="151" t="inlineStr">
        <is>
          <t>1 * 14</t>
        </is>
      </c>
      <c r="E5" s="151" t="n">
        <v>653</v>
      </c>
      <c r="F5" s="151" t="n">
        <v>9142</v>
      </c>
      <c r="G5" s="151" t="n">
        <v>5851</v>
      </c>
      <c r="H5" s="151" t="n">
        <v>567</v>
      </c>
      <c r="I5" s="151" t="n">
        <v>7951</v>
      </c>
      <c r="J5" s="1305" t="n">
        <v>5088.640000000001</v>
      </c>
      <c r="K5" s="151" t="n">
        <v>2166</v>
      </c>
      <c r="L5" s="151" t="n">
        <v>30324</v>
      </c>
      <c r="M5" s="169">
        <f>L5*$C5</f>
        <v/>
      </c>
      <c r="N5" s="151" t="n">
        <v>321</v>
      </c>
      <c r="O5" s="151" t="n">
        <v>4494</v>
      </c>
      <c r="P5" s="169">
        <f>O5*$C5</f>
        <v/>
      </c>
      <c r="Q5" s="151" t="n">
        <v>339</v>
      </c>
      <c r="R5" s="151" t="n">
        <v>4746</v>
      </c>
      <c r="S5" s="169">
        <f>R5*$C5</f>
        <v/>
      </c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62">
        <f>E5+H5+K5+N5+Q5</f>
        <v/>
      </c>
      <c r="AP5" s="162">
        <f>F5+I5+L5+O5+R5</f>
        <v/>
      </c>
      <c r="AQ5" s="218">
        <f>G5+J5+M5+P5+S5</f>
        <v/>
      </c>
      <c r="AR5" s="218">
        <f>AQ5/5</f>
        <v/>
      </c>
    </row>
    <row r="6" ht="20.4" customHeight="1">
      <c r="A6" s="151" t="n">
        <v>11</v>
      </c>
      <c r="B6" s="151" t="inlineStr">
        <is>
          <t>Kaung Kyi (1 Liter)_25%</t>
        </is>
      </c>
      <c r="C6" s="151" t="n">
        <v>1</v>
      </c>
      <c r="D6" s="151" t="inlineStr">
        <is>
          <t>1 * 12</t>
        </is>
      </c>
      <c r="E6" s="151" t="n">
        <v>64</v>
      </c>
      <c r="F6" s="151" t="n">
        <v>768</v>
      </c>
      <c r="G6" s="151" t="n">
        <v>768</v>
      </c>
      <c r="H6" s="151" t="n">
        <v>152</v>
      </c>
      <c r="I6" s="151" t="n">
        <v>1824</v>
      </c>
      <c r="J6" s="1305" t="n">
        <v>1824</v>
      </c>
      <c r="K6" s="151" t="n">
        <v>920</v>
      </c>
      <c r="L6" s="151" t="n">
        <v>11040</v>
      </c>
      <c r="M6" s="169">
        <f>L6*$C6</f>
        <v/>
      </c>
      <c r="N6" s="151" t="n"/>
      <c r="O6" s="151" t="n"/>
      <c r="P6" s="169">
        <f>O6*$C6</f>
        <v/>
      </c>
      <c r="Q6" s="151" t="n">
        <v>100</v>
      </c>
      <c r="R6" s="151" t="n">
        <v>1200</v>
      </c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62">
        <f>E6+H6+K6+N6+Q6</f>
        <v/>
      </c>
      <c r="AP6" s="162">
        <f>F6+I6+L6+O6+R6</f>
        <v/>
      </c>
      <c r="AQ6" s="218">
        <f>G6+J6+M6+P6+S6</f>
        <v/>
      </c>
      <c r="AR6" s="218">
        <f>AQ6/5</f>
        <v/>
      </c>
    </row>
    <row r="7" ht="20.4" customHeight="1">
      <c r="A7" s="151" t="n">
        <v>17</v>
      </c>
      <c r="B7" s="151" t="inlineStr">
        <is>
          <t xml:space="preserve">Kaung Kyi </t>
        </is>
      </c>
      <c r="C7" s="151" t="n">
        <v>0.64</v>
      </c>
      <c r="D7" s="151" t="inlineStr">
        <is>
          <t>1 * 14</t>
        </is>
      </c>
      <c r="E7" s="151" t="n">
        <v>100</v>
      </c>
      <c r="F7" s="151" t="n">
        <v>1400</v>
      </c>
      <c r="G7" s="151" t="n">
        <v>896</v>
      </c>
      <c r="H7" s="151" t="n"/>
      <c r="I7" s="151" t="n"/>
      <c r="J7" s="1305">
        <f>I7*$C7</f>
        <v/>
      </c>
      <c r="K7" s="151" t="n"/>
      <c r="L7" s="151" t="n"/>
      <c r="M7" s="169">
        <f>L7*$C7</f>
        <v/>
      </c>
      <c r="N7" s="151" t="n">
        <v>5</v>
      </c>
      <c r="O7" s="151" t="n">
        <v>70</v>
      </c>
      <c r="P7" s="169">
        <f>O7*$C7</f>
        <v/>
      </c>
      <c r="Q7" s="151" t="n"/>
      <c r="R7" s="151" t="n"/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62">
        <f>E7+H7+K7+N7+Q7</f>
        <v/>
      </c>
      <c r="AP7" s="162">
        <f>F7+I7+L7+O7+R7</f>
        <v/>
      </c>
      <c r="AQ7" s="218">
        <f>G7+J7+M7+P7+S7</f>
        <v/>
      </c>
      <c r="AR7" s="218">
        <f>AQ7/5</f>
        <v/>
      </c>
    </row>
    <row r="8" ht="20.4" customHeight="1">
      <c r="A8" s="151" t="n">
        <v>20</v>
      </c>
      <c r="B8" s="151" t="inlineStr">
        <is>
          <t>မိုးနဲကွန်ကီကော်ဘူး(1 Liter)</t>
        </is>
      </c>
      <c r="C8" s="151" t="n">
        <v>1</v>
      </c>
      <c r="D8" s="151" t="inlineStr">
        <is>
          <t>1 * 12</t>
        </is>
      </c>
      <c r="E8" s="151" t="n"/>
      <c r="F8" s="151" t="n"/>
      <c r="G8" s="151" t="n"/>
      <c r="H8" s="151" t="n"/>
      <c r="I8" s="151" t="n"/>
      <c r="J8" s="1305">
        <f>I8*$C8</f>
        <v/>
      </c>
      <c r="K8" s="151" t="n"/>
      <c r="L8" s="151" t="n"/>
      <c r="M8" s="169">
        <f>L8*$C8</f>
        <v/>
      </c>
      <c r="N8" s="151" t="n"/>
      <c r="O8" s="151" t="n"/>
      <c r="P8" s="169">
        <f>O8*$C8</f>
        <v/>
      </c>
      <c r="Q8" s="151" t="n">
        <v>5</v>
      </c>
      <c r="R8" s="151" t="n">
        <v>60</v>
      </c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62">
        <f>E8+H8+K8+N8+Q8</f>
        <v/>
      </c>
      <c r="AP8" s="162">
        <f>F8+I8+L8+O8+R8</f>
        <v/>
      </c>
      <c r="AQ8" s="218">
        <f>G8+J8+M8+P8+S8</f>
        <v/>
      </c>
      <c r="AR8" s="218">
        <f>AQ8/5</f>
        <v/>
      </c>
    </row>
    <row r="9" ht="20.4" customHeight="1">
      <c r="A9" s="151" t="n">
        <v>22</v>
      </c>
      <c r="B9" s="151" t="inlineStr">
        <is>
          <t xml:space="preserve">Moe Nae Kon Ki </t>
        </is>
      </c>
      <c r="C9" s="151" t="n">
        <v>0.64</v>
      </c>
      <c r="D9" s="151" t="inlineStr">
        <is>
          <t>1 * 14</t>
        </is>
      </c>
      <c r="E9" s="151" t="n">
        <v>59</v>
      </c>
      <c r="F9" s="151" t="n">
        <v>819</v>
      </c>
      <c r="G9" s="151" t="n">
        <v>524</v>
      </c>
      <c r="H9" s="151" t="n">
        <v>8</v>
      </c>
      <c r="I9" s="151" t="n">
        <v>112</v>
      </c>
      <c r="J9" s="1305" t="n">
        <v>71.68000000000001</v>
      </c>
      <c r="K9" s="151" t="n">
        <v>20</v>
      </c>
      <c r="L9" s="151" t="n">
        <v>280</v>
      </c>
      <c r="M9" s="169">
        <f>L9*$C9</f>
        <v/>
      </c>
      <c r="N9" s="151" t="n"/>
      <c r="O9" s="151" t="n"/>
      <c r="P9" s="169">
        <f>O9*$C9</f>
        <v/>
      </c>
      <c r="Q9" s="151" t="n"/>
      <c r="R9" s="151" t="n"/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62">
        <f>E9+H9+K9+N9+Q9</f>
        <v/>
      </c>
      <c r="AP9" s="162">
        <f>F9+I9+L9+O9+R9</f>
        <v/>
      </c>
      <c r="AQ9" s="218">
        <f>G9+J9+M9+P9+S9</f>
        <v/>
      </c>
      <c r="AR9" s="218">
        <f>AQ9/5</f>
        <v/>
      </c>
    </row>
    <row r="10" ht="20.4" customHeight="1">
      <c r="A10" s="151" t="n">
        <v>31</v>
      </c>
      <c r="B10" s="151" t="inlineStr">
        <is>
          <t>Zeyawaddy Rum (43%)</t>
        </is>
      </c>
      <c r="C10" s="151" t="n">
        <v>0.68</v>
      </c>
      <c r="D10" s="151" t="inlineStr">
        <is>
          <t>1 * 12</t>
        </is>
      </c>
      <c r="E10" s="151" t="n">
        <v>1</v>
      </c>
      <c r="F10" s="151" t="n">
        <v>12</v>
      </c>
      <c r="G10" s="151" t="n">
        <v>8</v>
      </c>
      <c r="H10" s="151" t="n"/>
      <c r="I10" s="151" t="n"/>
      <c r="J10" s="1305">
        <f>I10*$C10</f>
        <v/>
      </c>
      <c r="K10" s="151" t="n"/>
      <c r="L10" s="151" t="n"/>
      <c r="M10" s="169">
        <f>L10*$C10</f>
        <v/>
      </c>
      <c r="N10" s="151" t="n">
        <v>5</v>
      </c>
      <c r="O10" s="151" t="n">
        <v>60</v>
      </c>
      <c r="P10" s="169">
        <f>O10*$C10</f>
        <v/>
      </c>
      <c r="Q10" s="151" t="n"/>
      <c r="R10" s="151" t="n"/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62">
        <f>E10+H10+K10+N10+Q10</f>
        <v/>
      </c>
      <c r="AP10" s="162">
        <f>F10+I10+L10+O10+R10</f>
        <v/>
      </c>
      <c r="AQ10" s="218">
        <f>G10+J10+M10+P10+S10</f>
        <v/>
      </c>
      <c r="AR10" s="218">
        <f>AQ10/5</f>
        <v/>
      </c>
    </row>
    <row r="11" ht="20.4" customHeight="1">
      <c r="A11" s="151" t="n">
        <v>37</v>
      </c>
      <c r="B11" s="151" t="inlineStr">
        <is>
          <t>ဇေယျဝတီ Red (ပု)</t>
        </is>
      </c>
      <c r="C11" s="151" t="n">
        <v>0.64</v>
      </c>
      <c r="D11" s="151" t="inlineStr">
        <is>
          <t>1 * 14</t>
        </is>
      </c>
      <c r="E11" s="151" t="n"/>
      <c r="F11" s="151" t="n"/>
      <c r="G11" s="151" t="n"/>
      <c r="H11" s="151" t="n">
        <v>10</v>
      </c>
      <c r="I11" s="151" t="n">
        <v>140</v>
      </c>
      <c r="J11" s="1305" t="n">
        <v>89.60000000000001</v>
      </c>
      <c r="K11" s="151" t="n">
        <v>5</v>
      </c>
      <c r="L11" s="151" t="n">
        <v>70</v>
      </c>
      <c r="M11" s="169">
        <f>L11*$C11</f>
        <v/>
      </c>
      <c r="N11" s="151" t="n"/>
      <c r="O11" s="151" t="n"/>
      <c r="P11" s="169">
        <f>O11*$C11</f>
        <v/>
      </c>
      <c r="Q11" s="151" t="n"/>
      <c r="R11" s="151" t="n"/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62">
        <f>E11+H11+K11+N11+Q11</f>
        <v/>
      </c>
      <c r="AP11" s="162">
        <f>F11+I11+L11+O11+R11</f>
        <v/>
      </c>
      <c r="AQ11" s="218">
        <f>G11+J11+M11+P11+S11</f>
        <v/>
      </c>
      <c r="AR11" s="218">
        <f>AQ11/5</f>
        <v/>
      </c>
    </row>
    <row r="12" ht="20.4" customHeight="1">
      <c r="A12" s="151" t="n">
        <v>52</v>
      </c>
      <c r="B12" s="151" t="inlineStr">
        <is>
          <t>2 in 1 မန်ကျည်း</t>
        </is>
      </c>
      <c r="C12" s="151" t="n">
        <v>0.64</v>
      </c>
      <c r="D12" s="151" t="inlineStr">
        <is>
          <t>1 * 14</t>
        </is>
      </c>
      <c r="E12" s="151" t="n">
        <v>70</v>
      </c>
      <c r="F12" s="151" t="n">
        <v>980</v>
      </c>
      <c r="G12" s="151" t="n">
        <v>627</v>
      </c>
      <c r="H12" s="151" t="n">
        <v>50</v>
      </c>
      <c r="I12" s="151" t="n">
        <v>700</v>
      </c>
      <c r="J12" s="1305" t="n">
        <v>448</v>
      </c>
      <c r="K12" s="151" t="n">
        <v>205</v>
      </c>
      <c r="L12" s="151" t="n">
        <v>2870</v>
      </c>
      <c r="M12" s="169">
        <f>L12*$C12</f>
        <v/>
      </c>
      <c r="N12" s="151" t="n"/>
      <c r="O12" s="151" t="n"/>
      <c r="P12" s="169">
        <f>O12*$C12</f>
        <v/>
      </c>
      <c r="Q12" s="151" t="n">
        <v>80</v>
      </c>
      <c r="R12" s="151" t="n">
        <v>1120</v>
      </c>
      <c r="S12" s="169">
        <f>R12*$C12</f>
        <v/>
      </c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162">
        <f>E12+H12+K12+N12+Q12</f>
        <v/>
      </c>
      <c r="AP12" s="162">
        <f>F12+I12+L12+O12+R12</f>
        <v/>
      </c>
      <c r="AQ12" s="218">
        <f>G12+J12+M12+P12+S12</f>
        <v/>
      </c>
      <c r="AR12" s="218">
        <f>AQ12/5</f>
        <v/>
      </c>
    </row>
    <row r="13" ht="20.4" customHeight="1">
      <c r="A13" s="151" t="n">
        <v>72</v>
      </c>
      <c r="B13" s="151" t="inlineStr">
        <is>
          <t>ချယ်ရီကော်ဘူး(0.6 Liter)</t>
        </is>
      </c>
      <c r="C13" s="151" t="n">
        <v>0.6</v>
      </c>
      <c r="D13" s="151" t="inlineStr">
        <is>
          <t>1 * 24</t>
        </is>
      </c>
      <c r="E13" s="151" t="n">
        <v>40</v>
      </c>
      <c r="F13" s="151" t="n">
        <v>960</v>
      </c>
      <c r="G13" s="151" t="n">
        <v>576</v>
      </c>
      <c r="H13" s="151" t="n">
        <v>8</v>
      </c>
      <c r="I13" s="151" t="n">
        <v>204</v>
      </c>
      <c r="J13" s="1305" t="n">
        <v>122.4</v>
      </c>
      <c r="K13" s="151" t="n">
        <v>27</v>
      </c>
      <c r="L13" s="151" t="n">
        <v>648</v>
      </c>
      <c r="M13" s="169">
        <f>L13*$C13</f>
        <v/>
      </c>
      <c r="N13" s="151" t="n">
        <v>19</v>
      </c>
      <c r="O13" s="151" t="n">
        <v>456</v>
      </c>
      <c r="P13" s="169">
        <f>O13*$C13</f>
        <v/>
      </c>
      <c r="Q13" s="151" t="n">
        <v>6</v>
      </c>
      <c r="R13" s="151" t="n">
        <v>144</v>
      </c>
      <c r="S13" s="169">
        <f>R13*$C13</f>
        <v/>
      </c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62">
        <f>E13+H13+K13+N13+Q13</f>
        <v/>
      </c>
      <c r="AP13" s="162">
        <f>F13+I13+L13+O13+R13</f>
        <v/>
      </c>
      <c r="AQ13" s="218">
        <f>G13+J13+M13+P13+S13</f>
        <v/>
      </c>
      <c r="AR13" s="218">
        <f>AQ13/5</f>
        <v/>
      </c>
    </row>
    <row r="14" ht="20.4" customHeight="1">
      <c r="A14" s="151" t="n">
        <v>73</v>
      </c>
      <c r="B14" s="151" t="inlineStr">
        <is>
          <t>ချယ်ရီအရက်သန့်</t>
        </is>
      </c>
      <c r="C14" s="151" t="n">
        <v>0.64</v>
      </c>
      <c r="D14" s="151" t="inlineStr">
        <is>
          <t>1 * 14</t>
        </is>
      </c>
      <c r="E14" s="151" t="n">
        <v>5</v>
      </c>
      <c r="F14" s="151" t="n">
        <v>70</v>
      </c>
      <c r="G14" s="151" t="n">
        <v>45</v>
      </c>
      <c r="H14" s="151" t="n"/>
      <c r="I14" s="151" t="n"/>
      <c r="J14" s="1305">
        <f>I14*$C14</f>
        <v/>
      </c>
      <c r="K14" s="151" t="n"/>
      <c r="L14" s="151" t="n"/>
      <c r="M14" s="169">
        <f>L14*$C14</f>
        <v/>
      </c>
      <c r="N14" s="151" t="n"/>
      <c r="O14" s="151" t="n"/>
      <c r="P14" s="169">
        <f>O14*$C14</f>
        <v/>
      </c>
      <c r="Q14" s="151" t="n"/>
      <c r="R14" s="151" t="n"/>
      <c r="S14" s="169">
        <f>R14*$C14</f>
        <v/>
      </c>
      <c r="T14" s="151" t="n"/>
      <c r="U14" s="151" t="n"/>
      <c r="V14" s="151" t="n"/>
      <c r="W14" s="151" t="n"/>
      <c r="X14" s="151" t="n"/>
      <c r="Y14" s="151" t="n"/>
      <c r="Z14" s="151" t="n"/>
      <c r="AA14" s="151" t="n"/>
      <c r="AB14" s="151" t="n"/>
      <c r="AC14" s="151" t="n"/>
      <c r="AD14" s="151" t="n"/>
      <c r="AE14" s="151" t="n"/>
      <c r="AF14" s="151" t="n"/>
      <c r="AG14" s="151" t="n"/>
      <c r="AH14" s="151" t="n"/>
      <c r="AI14" s="151" t="n"/>
      <c r="AJ14" s="151" t="n"/>
      <c r="AK14" s="151" t="n"/>
      <c r="AL14" s="151" t="n"/>
      <c r="AM14" s="151" t="n"/>
      <c r="AN14" s="151" t="n"/>
      <c r="AO14" s="162">
        <f>E14+H14+K14+N14+Q14</f>
        <v/>
      </c>
      <c r="AP14" s="162">
        <f>F14+I14+L14+O14+R14</f>
        <v/>
      </c>
      <c r="AQ14" s="218">
        <f>G14+J14+M14+P14+S14</f>
        <v/>
      </c>
      <c r="AR14" s="218">
        <f>AQ14/5</f>
        <v/>
      </c>
    </row>
    <row r="15" ht="20.4" customHeight="1">
      <c r="A15" s="151" t="n">
        <v>75</v>
      </c>
      <c r="B15" s="151" t="inlineStr">
        <is>
          <t>ချယ်ရီသံပုရာ (1 Liter )</t>
        </is>
      </c>
      <c r="C15" s="151" t="n">
        <v>1</v>
      </c>
      <c r="D15" s="151" t="inlineStr">
        <is>
          <t>1 * 12</t>
        </is>
      </c>
      <c r="E15" s="151" t="n">
        <v>15</v>
      </c>
      <c r="F15" s="151" t="n">
        <v>180</v>
      </c>
      <c r="G15" s="151" t="n">
        <v>180</v>
      </c>
      <c r="H15" s="151" t="n">
        <v>12</v>
      </c>
      <c r="I15" s="151" t="n">
        <v>144</v>
      </c>
      <c r="J15" s="1305" t="n">
        <v>144</v>
      </c>
      <c r="K15" s="151" t="n">
        <v>11</v>
      </c>
      <c r="L15" s="151" t="n">
        <v>132</v>
      </c>
      <c r="M15" s="169">
        <f>L15*$C15</f>
        <v/>
      </c>
      <c r="N15" s="151" t="n">
        <v>9</v>
      </c>
      <c r="O15" s="151" t="n">
        <v>108</v>
      </c>
      <c r="P15" s="169">
        <f>O15*$C15</f>
        <v/>
      </c>
      <c r="Q15" s="151" t="n">
        <v>8</v>
      </c>
      <c r="R15" s="151" t="n">
        <v>96</v>
      </c>
      <c r="S15" s="169">
        <f>R15*$C15</f>
        <v/>
      </c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  <c r="AO15" s="162">
        <f>E15+H15+K15+N15+Q15</f>
        <v/>
      </c>
      <c r="AP15" s="162">
        <f>F15+I15+L15+O15+R15</f>
        <v/>
      </c>
      <c r="AQ15" s="218">
        <f>G15+J15+M15+P15+S15</f>
        <v/>
      </c>
      <c r="AR15" s="218">
        <f>AQ15/5</f>
        <v/>
      </c>
    </row>
    <row r="16" ht="20.4" customHeight="1">
      <c r="A16" s="151" t="n">
        <v>76</v>
      </c>
      <c r="B16" s="151" t="inlineStr">
        <is>
          <t>ချယ်ရီသံပုရာ (0.6 Liter )</t>
        </is>
      </c>
      <c r="C16" s="151" t="n">
        <v>0.6</v>
      </c>
      <c r="D16" s="151" t="inlineStr">
        <is>
          <t>1 * 24</t>
        </is>
      </c>
      <c r="E16" s="151" t="n">
        <v>3</v>
      </c>
      <c r="F16" s="151" t="n">
        <v>72</v>
      </c>
      <c r="G16" s="151" t="n">
        <v>43</v>
      </c>
      <c r="H16" s="151" t="n"/>
      <c r="I16" s="151" t="n"/>
      <c r="J16" s="1305">
        <f>I16*$C16</f>
        <v/>
      </c>
      <c r="K16" s="151" t="n">
        <v>1</v>
      </c>
      <c r="L16" s="151" t="n">
        <v>24</v>
      </c>
      <c r="M16" s="169">
        <f>L16*$C16</f>
        <v/>
      </c>
      <c r="N16" s="151" t="n">
        <v>10</v>
      </c>
      <c r="O16" s="151" t="n">
        <v>240</v>
      </c>
      <c r="P16" s="169">
        <f>O16*$C16</f>
        <v/>
      </c>
      <c r="Q16" s="151" t="n">
        <v>5</v>
      </c>
      <c r="R16" s="151" t="n">
        <v>120</v>
      </c>
      <c r="S16" s="169">
        <f>R16*$C16</f>
        <v/>
      </c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62">
        <f>E16+H16+K16+N16+Q16</f>
        <v/>
      </c>
      <c r="AP16" s="162">
        <f>F16+I16+L16+O16+R16</f>
        <v/>
      </c>
      <c r="AQ16" s="218">
        <f>G16+J16+M16+P16+S16</f>
        <v/>
      </c>
      <c r="AR16" s="218">
        <f>AQ16/5</f>
        <v/>
      </c>
    </row>
    <row r="17" ht="20.4" customHeight="1">
      <c r="A17" s="151" t="n">
        <v>80</v>
      </c>
      <c r="B17" s="151" t="inlineStr">
        <is>
          <t>ရွှေမင်းသားခေါင်ရည်</t>
        </is>
      </c>
      <c r="C17" s="151" t="n">
        <v>0.64</v>
      </c>
      <c r="D17" s="151" t="inlineStr">
        <is>
          <t>1*24</t>
        </is>
      </c>
      <c r="E17" s="151" t="n">
        <v>146</v>
      </c>
      <c r="F17" s="151" t="n">
        <v>3504</v>
      </c>
      <c r="G17" s="151" t="n">
        <v>2243</v>
      </c>
      <c r="H17" s="151" t="n">
        <v>59</v>
      </c>
      <c r="I17" s="151" t="n">
        <v>1416</v>
      </c>
      <c r="J17" s="1305" t="n">
        <v>906.24</v>
      </c>
      <c r="K17" s="151" t="n">
        <v>256</v>
      </c>
      <c r="L17" s="151" t="n">
        <v>6154</v>
      </c>
      <c r="M17" s="169">
        <f>L17*$C17</f>
        <v/>
      </c>
      <c r="N17" s="151" t="n">
        <v>70</v>
      </c>
      <c r="O17" s="151" t="n">
        <v>1680</v>
      </c>
      <c r="P17" s="169">
        <f>O17*$C17</f>
        <v/>
      </c>
      <c r="Q17" s="151" t="n">
        <v>241</v>
      </c>
      <c r="R17" s="151" t="n">
        <v>5784</v>
      </c>
      <c r="S17" s="169">
        <f>R17*$C17</f>
        <v/>
      </c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  <c r="AO17" s="162">
        <f>E17+H17+K17+N17+Q17</f>
        <v/>
      </c>
      <c r="AP17" s="162">
        <f>F17+I17+L17+O17+R17</f>
        <v/>
      </c>
      <c r="AQ17" s="218">
        <f>G17+J17+M17+P17+S17</f>
        <v/>
      </c>
      <c r="AR17" s="218">
        <f>AQ17/5</f>
        <v/>
      </c>
    </row>
    <row r="18" ht="20.4" customHeight="1">
      <c r="A18" s="151" t="n">
        <v>81</v>
      </c>
      <c r="B18" s="151" t="inlineStr">
        <is>
          <t>ရွှေမင်းသားမန်ကျည်းခေါင်ရည်</t>
        </is>
      </c>
      <c r="C18" s="151" t="n">
        <v>0.64</v>
      </c>
      <c r="D18" s="151" t="n"/>
      <c r="E18" s="151" t="n"/>
      <c r="F18" s="151" t="n"/>
      <c r="G18" s="151" t="n"/>
      <c r="H18" s="151" t="n"/>
      <c r="I18" s="151" t="n"/>
      <c r="J18" s="1305" t="n"/>
      <c r="K18" s="151" t="n"/>
      <c r="L18" s="151" t="n"/>
      <c r="M18" s="169" t="n"/>
      <c r="N18" s="151" t="n">
        <v>10</v>
      </c>
      <c r="O18" s="151" t="n">
        <v>140</v>
      </c>
      <c r="P18" s="169">
        <f>O18*$C18</f>
        <v/>
      </c>
      <c r="Q18" s="151" t="n">
        <v>3</v>
      </c>
      <c r="R18" s="151" t="n">
        <v>42</v>
      </c>
      <c r="S18" s="169">
        <f>R18*$C18</f>
        <v/>
      </c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  <c r="AO18" s="162">
        <f>E18+H18+K18+N18+Q18</f>
        <v/>
      </c>
      <c r="AP18" s="162">
        <f>F18+I18+L18+O18+R18</f>
        <v/>
      </c>
      <c r="AQ18" s="218">
        <f>G18+J18+M18+P18+S18</f>
        <v/>
      </c>
      <c r="AR18" s="218">
        <f>AQ18/5</f>
        <v/>
      </c>
    </row>
    <row r="19" ht="20.4" customHeight="1">
      <c r="A19" s="151" t="n">
        <v>91</v>
      </c>
      <c r="B19" s="151" t="inlineStr">
        <is>
          <t>Formula Rum 700ml</t>
        </is>
      </c>
      <c r="C19" s="151" t="n">
        <v>0.7</v>
      </c>
      <c r="D19" s="151" t="inlineStr">
        <is>
          <t>1 * 12</t>
        </is>
      </c>
      <c r="E19" s="151" t="n">
        <v>7</v>
      </c>
      <c r="F19" s="151" t="n">
        <v>84</v>
      </c>
      <c r="G19" s="151" t="n">
        <v>59</v>
      </c>
      <c r="H19" s="151" t="n">
        <v>5</v>
      </c>
      <c r="I19" s="151" t="n">
        <v>60</v>
      </c>
      <c r="J19" s="1305" t="n">
        <v>42</v>
      </c>
      <c r="K19" s="151" t="n">
        <v>15</v>
      </c>
      <c r="L19" s="151" t="n">
        <v>180</v>
      </c>
      <c r="M19" s="169">
        <f>L19*$C19</f>
        <v/>
      </c>
      <c r="N19" s="151" t="n"/>
      <c r="O19" s="151" t="n"/>
      <c r="P19" s="169">
        <f>O19*$C19</f>
        <v/>
      </c>
      <c r="Q19" s="151" t="n">
        <v>10</v>
      </c>
      <c r="R19" s="151" t="n">
        <v>120</v>
      </c>
      <c r="S19" s="169">
        <f>R19*$C19</f>
        <v/>
      </c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62">
        <f>E19+H19+K19+N19+Q19</f>
        <v/>
      </c>
      <c r="AP19" s="162">
        <f>F19+I19+L19+O19+R19</f>
        <v/>
      </c>
      <c r="AQ19" s="218">
        <f>G19+J19+M19+P19+S19</f>
        <v/>
      </c>
      <c r="AR19" s="218">
        <f>AQ19/5</f>
        <v/>
      </c>
    </row>
    <row r="20" ht="20.4" customHeight="1">
      <c r="A20" s="151" t="n"/>
      <c r="B20" s="151" t="n"/>
      <c r="C20" s="151" t="n"/>
      <c r="D20" s="151" t="n"/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62">
        <f>E20+H20+K20+N20+Q20</f>
        <v/>
      </c>
      <c r="AP20" s="162">
        <f>F20+I20+L20+O20+R20</f>
        <v/>
      </c>
      <c r="AQ20" s="218">
        <f>G20+J20+M20+P20+S20</f>
        <v/>
      </c>
      <c r="AR20" s="218">
        <f>AQ20/5</f>
        <v/>
      </c>
    </row>
    <row r="21" ht="33.75" customHeight="1">
      <c r="A21" s="151" t="n"/>
      <c r="B21" s="151" t="inlineStr">
        <is>
          <t>Total</t>
        </is>
      </c>
      <c r="C21" s="151" t="n"/>
      <c r="D21" s="151" t="n"/>
      <c r="E21" s="1306">
        <f>SUM(E5:E20)</f>
        <v/>
      </c>
      <c r="F21" s="1306">
        <f>SUM(F5:F20)</f>
        <v/>
      </c>
      <c r="G21" s="1306">
        <f>SUM(G5:G20)</f>
        <v/>
      </c>
      <c r="H21" s="1306">
        <f>SUM(H5:H20)</f>
        <v/>
      </c>
      <c r="I21" s="1306">
        <f>SUM(I5:I20)</f>
        <v/>
      </c>
      <c r="J21" s="1306">
        <f>SUM(J5:J20)</f>
        <v/>
      </c>
      <c r="K21" s="1306">
        <f>SUM(K5:K20)</f>
        <v/>
      </c>
      <c r="L21" s="1306">
        <f>SUM(L5:L20)</f>
        <v/>
      </c>
      <c r="M21" s="1306">
        <f>SUM(M5:M20)</f>
        <v/>
      </c>
      <c r="N21" s="1306">
        <f>SUM(N5:N20)</f>
        <v/>
      </c>
      <c r="O21" s="1306">
        <f>SUM(O5:O20)</f>
        <v/>
      </c>
      <c r="P21" s="1306">
        <f>SUM(P5:P20)</f>
        <v/>
      </c>
      <c r="Q21" s="1306">
        <f>SUM(Q5:Q20)</f>
        <v/>
      </c>
      <c r="R21" s="1306">
        <f>SUM(R5:R20)</f>
        <v/>
      </c>
      <c r="S21" s="1306">
        <f>SUM(S5:S20)</f>
        <v/>
      </c>
      <c r="T21" s="1306">
        <f>SUM(T5:T20)</f>
        <v/>
      </c>
      <c r="U21" s="1306">
        <f>SUM(U5:U20)</f>
        <v/>
      </c>
      <c r="V21" s="1306">
        <f>SUM(V5:V20)</f>
        <v/>
      </c>
      <c r="W21" s="1306">
        <f>SUM(W5:W20)</f>
        <v/>
      </c>
      <c r="X21" s="1306">
        <f>SUM(X5:X20)</f>
        <v/>
      </c>
      <c r="Y21" s="1306">
        <f>SUM(Y5:Y20)</f>
        <v/>
      </c>
      <c r="Z21" s="1306">
        <f>SUM(Z5:Z20)</f>
        <v/>
      </c>
      <c r="AA21" s="1306">
        <f>SUM(AA5:AA20)</f>
        <v/>
      </c>
      <c r="AB21" s="1306">
        <f>SUM(AB5:AB20)</f>
        <v/>
      </c>
      <c r="AC21" s="1306">
        <f>SUM(AC5:AC20)</f>
        <v/>
      </c>
      <c r="AD21" s="1306">
        <f>SUM(AD5:AD20)</f>
        <v/>
      </c>
      <c r="AE21" s="1306">
        <f>SUM(AE5:AE20)</f>
        <v/>
      </c>
      <c r="AF21" s="1306">
        <f>SUM(AF5:AF20)</f>
        <v/>
      </c>
      <c r="AG21" s="1306">
        <f>SUM(AG5:AG20)</f>
        <v/>
      </c>
      <c r="AH21" s="1306">
        <f>SUM(AH5:AH20)</f>
        <v/>
      </c>
      <c r="AI21" s="1306">
        <f>SUM(AI5:AI20)</f>
        <v/>
      </c>
      <c r="AJ21" s="1306">
        <f>SUM(AJ5:AJ20)</f>
        <v/>
      </c>
      <c r="AK21" s="1306">
        <f>SUM(AK5:AK20)</f>
        <v/>
      </c>
      <c r="AL21" s="1306">
        <f>SUM(AL5:AL20)</f>
        <v/>
      </c>
      <c r="AM21" s="1306">
        <f>SUM(AM5:AM20)</f>
        <v/>
      </c>
      <c r="AN21" s="1306">
        <f>SUM(AN5:AN20)</f>
        <v/>
      </c>
      <c r="AO21" s="162">
        <f>E21+H21+K21+N21+Q21</f>
        <v/>
      </c>
      <c r="AP21" s="162">
        <f>F21+I21+L21+O21+R21</f>
        <v/>
      </c>
      <c r="AQ21" s="218">
        <f>G21+J21+M21+P21+S21</f>
        <v/>
      </c>
      <c r="AR21" s="218">
        <f>AQ21/5</f>
        <v/>
      </c>
    </row>
    <row r="22" ht="20.4" customHeight="1">
      <c r="A22" s="151" t="n"/>
      <c r="B22" s="151" t="n"/>
      <c r="C22" s="151" t="n"/>
      <c r="D22" s="151" t="n"/>
      <c r="E22" s="151" t="n"/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</row>
    <row r="23" ht="20.4" customHeight="1">
      <c r="A23" s="151" t="n">
        <v>109</v>
      </c>
      <c r="B23" s="151" t="inlineStr">
        <is>
          <t>Columbus 700ml</t>
        </is>
      </c>
      <c r="C23" s="151" t="n">
        <v>0.7</v>
      </c>
      <c r="D23" s="151" t="inlineStr">
        <is>
          <t>1 * 12</t>
        </is>
      </c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20.4" customHeight="1">
      <c r="A24" s="151" t="n">
        <v>110</v>
      </c>
      <c r="B24" s="151" t="inlineStr">
        <is>
          <t>Columbus 350ml</t>
        </is>
      </c>
      <c r="C24" s="151" t="n">
        <v>0.35</v>
      </c>
      <c r="D24" s="151" t="inlineStr">
        <is>
          <t>1 * 24</t>
        </is>
      </c>
      <c r="E24" s="151" t="n"/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</row>
    <row r="25" ht="20.4" customHeight="1">
      <c r="A25" s="151" t="n">
        <v>111</v>
      </c>
      <c r="B25" s="151" t="inlineStr">
        <is>
          <t>Columbus 175ml</t>
        </is>
      </c>
      <c r="C25" s="151" t="n">
        <v>0.175</v>
      </c>
      <c r="D25" s="151" t="inlineStr">
        <is>
          <t>1 * 48</t>
        </is>
      </c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</row>
    <row r="26" ht="20.4" customHeight="1">
      <c r="A26" s="151" t="n">
        <v>112</v>
      </c>
      <c r="B26" s="151" t="inlineStr">
        <is>
          <t xml:space="preserve">SRS - Columbus 700ml </t>
        </is>
      </c>
      <c r="C26" s="151" t="n">
        <v>0.7</v>
      </c>
      <c r="D26" s="151" t="inlineStr">
        <is>
          <t>1 * 12</t>
        </is>
      </c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>
        <v>2</v>
      </c>
      <c r="O26" s="151" t="n">
        <v>24</v>
      </c>
      <c r="P26" s="169">
        <f>O26*C26</f>
        <v/>
      </c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</row>
    <row r="27" ht="20.4" customHeight="1">
      <c r="A27" s="151" t="n">
        <v>113</v>
      </c>
      <c r="B27" s="151" t="inlineStr">
        <is>
          <t xml:space="preserve">SRS - Columbus 350ml </t>
        </is>
      </c>
      <c r="C27" s="151" t="n">
        <v>0.35</v>
      </c>
      <c r="D27" s="151" t="inlineStr">
        <is>
          <t>1 * 24</t>
        </is>
      </c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69">
        <f>O27*C27</f>
        <v/>
      </c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1" t="n"/>
      <c r="AH27" s="151" t="n"/>
      <c r="AI27" s="151" t="n"/>
      <c r="AJ27" s="151" t="n"/>
      <c r="AK27" s="151" t="n"/>
      <c r="AL27" s="151" t="n"/>
      <c r="AM27" s="151" t="n"/>
      <c r="AN27" s="151" t="n"/>
    </row>
    <row r="28" ht="20.4" customHeight="1">
      <c r="A28" s="151" t="n">
        <v>114</v>
      </c>
      <c r="B28" s="151" t="inlineStr">
        <is>
          <t xml:space="preserve">SRS - Columbus 175ml </t>
        </is>
      </c>
      <c r="C28" s="151" t="n">
        <v>0.175</v>
      </c>
      <c r="D28" s="151" t="inlineStr">
        <is>
          <t>1 * 48</t>
        </is>
      </c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69">
        <f>O28*C28</f>
        <v/>
      </c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1" t="n"/>
      <c r="AH28" s="151" t="n"/>
      <c r="AI28" s="151" t="n"/>
      <c r="AJ28" s="151" t="n"/>
      <c r="AK28" s="151" t="n"/>
      <c r="AL28" s="151" t="n"/>
      <c r="AM28" s="151" t="n"/>
      <c r="AN28" s="151" t="n"/>
    </row>
    <row r="29" ht="20.4" customHeight="1">
      <c r="A29" s="151" t="n">
        <v>115</v>
      </c>
      <c r="B29" s="151" t="inlineStr">
        <is>
          <t>Ngwe Taung 700ml</t>
        </is>
      </c>
      <c r="C29" s="151" t="n">
        <v>0.7</v>
      </c>
      <c r="D29" s="151" t="inlineStr">
        <is>
          <t>1 * 12</t>
        </is>
      </c>
      <c r="E29" s="151" t="n"/>
      <c r="F29" s="151" t="n"/>
      <c r="G29" s="151" t="n"/>
      <c r="H29" s="151" t="n"/>
      <c r="I29" s="151" t="n"/>
      <c r="J29" s="151" t="n"/>
      <c r="K29" s="151" t="n"/>
      <c r="L29" s="151" t="n"/>
      <c r="M29" s="151" t="n"/>
      <c r="N29" s="151" t="n"/>
      <c r="O29" s="151" t="n"/>
      <c r="P29" s="169">
        <f>O29*C29</f>
        <v/>
      </c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  <c r="AA29" s="151" t="n"/>
      <c r="AB29" s="151" t="n"/>
      <c r="AC29" s="151" t="n"/>
      <c r="AD29" s="151" t="n"/>
      <c r="AE29" s="151" t="n"/>
      <c r="AF29" s="151" t="n"/>
      <c r="AG29" s="151" t="n"/>
      <c r="AH29" s="151" t="n"/>
      <c r="AI29" s="151" t="n"/>
      <c r="AJ29" s="151" t="n"/>
      <c r="AK29" s="151" t="n"/>
      <c r="AL29" s="151" t="n"/>
      <c r="AM29" s="151" t="n"/>
      <c r="AN29" s="151" t="n"/>
    </row>
    <row r="30" ht="20.4" customHeight="1">
      <c r="A30" s="151" t="n">
        <v>116</v>
      </c>
      <c r="B30" s="151" t="inlineStr">
        <is>
          <t>Blended Whisky 700ml</t>
        </is>
      </c>
      <c r="C30" s="151" t="n">
        <v>0.7</v>
      </c>
      <c r="D30" s="151" t="inlineStr">
        <is>
          <t>1 * 12</t>
        </is>
      </c>
      <c r="E30" s="151" t="n"/>
      <c r="F30" s="151" t="n"/>
      <c r="G30" s="151" t="n"/>
      <c r="H30" s="151" t="n"/>
      <c r="I30" s="151" t="n"/>
      <c r="J30" s="151" t="n"/>
      <c r="K30" s="151" t="n"/>
      <c r="L30" s="151" t="n"/>
      <c r="M30" s="151" t="n"/>
      <c r="N30" s="151" t="n"/>
      <c r="O30" s="151" t="n"/>
      <c r="P30" s="169">
        <f>O30*C30</f>
        <v/>
      </c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1" t="n"/>
      <c r="AH30" s="151" t="n"/>
      <c r="AI30" s="151" t="n"/>
      <c r="AJ30" s="151" t="n"/>
      <c r="AK30" s="151" t="n"/>
      <c r="AL30" s="151" t="n"/>
      <c r="AM30" s="151" t="n"/>
      <c r="AN30" s="151" t="n"/>
    </row>
    <row r="31" ht="20.4" customHeight="1">
      <c r="A31" s="151" t="n">
        <v>117</v>
      </c>
      <c r="B31" s="151" t="inlineStr">
        <is>
          <t>Blended Whisky 350ml</t>
        </is>
      </c>
      <c r="C31" s="151" t="n">
        <v>0.35</v>
      </c>
      <c r="D31" s="151" t="inlineStr">
        <is>
          <t>1 * 24</t>
        </is>
      </c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69">
        <f>O31*C31</f>
        <v/>
      </c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  <c r="AA31" s="151" t="n"/>
      <c r="AB31" s="151" t="n"/>
      <c r="AC31" s="151" t="n"/>
      <c r="AD31" s="151" t="n"/>
      <c r="AE31" s="151" t="n"/>
      <c r="AF31" s="151" t="n"/>
      <c r="AG31" s="151" t="n"/>
      <c r="AH31" s="151" t="n"/>
      <c r="AI31" s="151" t="n"/>
      <c r="AJ31" s="151" t="n"/>
      <c r="AK31" s="151" t="n"/>
      <c r="AL31" s="151" t="n"/>
      <c r="AM31" s="151" t="n"/>
      <c r="AN31" s="151" t="n"/>
    </row>
    <row r="32" ht="20.4" customHeight="1">
      <c r="A32" s="151" t="n">
        <v>118</v>
      </c>
      <c r="B32" s="151" t="inlineStr">
        <is>
          <t>Simple Whisky 700 ML</t>
        </is>
      </c>
      <c r="C32" s="151" t="n">
        <v>0.7</v>
      </c>
      <c r="D32" s="151" t="inlineStr">
        <is>
          <t>1 * 12</t>
        </is>
      </c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69">
        <f>O32*C32</f>
        <v/>
      </c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  <c r="AA32" s="151" t="n"/>
      <c r="AB32" s="151" t="n"/>
      <c r="AC32" s="151" t="n"/>
      <c r="AD32" s="151" t="n"/>
      <c r="AE32" s="151" t="n"/>
      <c r="AF32" s="151" t="n"/>
      <c r="AG32" s="151" t="n"/>
      <c r="AH32" s="151" t="n"/>
      <c r="AI32" s="151" t="n"/>
      <c r="AJ32" s="151" t="n"/>
      <c r="AK32" s="151" t="n"/>
      <c r="AL32" s="151" t="n"/>
      <c r="AM32" s="151" t="n"/>
      <c r="AN32" s="151" t="n"/>
    </row>
    <row r="33" ht="20.4" customHeight="1">
      <c r="A33" s="151" t="n">
        <v>119</v>
      </c>
      <c r="B33" s="151" t="inlineStr">
        <is>
          <t>Simple Whisky 350 ML</t>
        </is>
      </c>
      <c r="C33" s="151" t="n">
        <v>0.35</v>
      </c>
      <c r="D33" s="151" t="inlineStr">
        <is>
          <t>1 * 24</t>
        </is>
      </c>
      <c r="E33" s="151" t="n"/>
      <c r="F33" s="151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69">
        <f>O33*C33</f>
        <v/>
      </c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  <c r="AA33" s="151" t="n"/>
      <c r="AB33" s="151" t="n"/>
      <c r="AC33" s="151" t="n"/>
      <c r="AD33" s="151" t="n"/>
      <c r="AE33" s="151" t="n"/>
      <c r="AF33" s="151" t="n"/>
      <c r="AG33" s="151" t="n"/>
      <c r="AH33" s="151" t="n"/>
      <c r="AI33" s="151" t="n"/>
      <c r="AJ33" s="151" t="n"/>
      <c r="AK33" s="151" t="n"/>
      <c r="AL33" s="151" t="n"/>
      <c r="AM33" s="151" t="n"/>
      <c r="AN33" s="151" t="n"/>
    </row>
    <row r="34" ht="20.4" customHeight="1">
      <c r="A34" s="151" t="n">
        <v>120</v>
      </c>
      <c r="B34" s="151" t="inlineStr">
        <is>
          <t>Golden Triangle</t>
        </is>
      </c>
      <c r="C34" s="151" t="n">
        <v>0.7</v>
      </c>
      <c r="D34" s="151" t="inlineStr">
        <is>
          <t>1 * 6</t>
        </is>
      </c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69">
        <f>O34*C34</f>
        <v/>
      </c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  <c r="AA34" s="151" t="n"/>
      <c r="AB34" s="151" t="n"/>
      <c r="AC34" s="151" t="n"/>
      <c r="AD34" s="151" t="n"/>
      <c r="AE34" s="151" t="n"/>
      <c r="AF34" s="151" t="n"/>
      <c r="AG34" s="151" t="n"/>
      <c r="AH34" s="151" t="n"/>
      <c r="AI34" s="151" t="n"/>
      <c r="AJ34" s="151" t="n"/>
      <c r="AK34" s="151" t="n"/>
      <c r="AL34" s="151" t="n"/>
      <c r="AM34" s="151" t="n"/>
      <c r="AN34" s="151" t="n"/>
    </row>
    <row r="35" ht="42" customHeight="1">
      <c r="A35" s="151" t="n"/>
      <c r="B35" s="151" t="inlineStr">
        <is>
          <t>Total</t>
        </is>
      </c>
      <c r="C35" s="151" t="n"/>
      <c r="D35" s="151" t="n"/>
      <c r="E35" s="171" t="n"/>
      <c r="F35" s="171" t="n"/>
      <c r="G35" s="171" t="n"/>
      <c r="H35" s="171" t="n"/>
      <c r="I35" s="171" t="n"/>
      <c r="J35" s="171" t="n"/>
      <c r="K35" s="171" t="n"/>
      <c r="L35" s="171" t="n"/>
      <c r="M35" s="171" t="n"/>
      <c r="N35" s="171">
        <f>SUM(N26:N34)</f>
        <v/>
      </c>
      <c r="O35" s="171">
        <f>SUM(O26:O34)</f>
        <v/>
      </c>
      <c r="P35" s="171">
        <f>SUM(P26:P34)</f>
        <v/>
      </c>
      <c r="Q35" s="171" t="n"/>
      <c r="R35" s="171" t="n"/>
      <c r="S35" s="171" t="n"/>
      <c r="T35" s="171" t="n"/>
      <c r="U35" s="171" t="n"/>
      <c r="V35" s="171" t="n"/>
      <c r="W35" s="171" t="n"/>
      <c r="X35" s="171" t="n"/>
      <c r="Y35" s="171" t="n"/>
      <c r="Z35" s="171" t="n"/>
      <c r="AA35" s="171" t="n"/>
      <c r="AB35" s="171" t="n"/>
      <c r="AC35" s="171" t="n"/>
      <c r="AD35" s="171" t="n"/>
      <c r="AE35" s="171" t="n"/>
      <c r="AF35" s="171" t="n"/>
      <c r="AG35" s="171" t="n"/>
      <c r="AH35" s="171" t="n"/>
      <c r="AI35" s="171" t="n"/>
      <c r="AJ35" s="171" t="n"/>
      <c r="AK35" s="171" t="n"/>
      <c r="AL35" s="171" t="n"/>
      <c r="AM35" s="171" t="n"/>
      <c r="AN35" s="171" t="n"/>
    </row>
    <row r="36" ht="44.25" customHeight="1">
      <c r="A36" s="151" t="n"/>
      <c r="B36" s="151" t="inlineStr">
        <is>
          <t>All Total</t>
        </is>
      </c>
      <c r="C36" s="151" t="n"/>
      <c r="D36" s="151" t="n"/>
      <c r="E36" s="1307">
        <f>E21+E35</f>
        <v/>
      </c>
      <c r="F36" s="1307">
        <f>F21+F35</f>
        <v/>
      </c>
      <c r="G36" s="1307">
        <f>G21+G35</f>
        <v/>
      </c>
      <c r="H36" s="1307">
        <f>H21+H35</f>
        <v/>
      </c>
      <c r="I36" s="1307">
        <f>I21+I35</f>
        <v/>
      </c>
      <c r="J36" s="1307">
        <f>J21+J35</f>
        <v/>
      </c>
      <c r="K36" s="1307">
        <f>K21+K35</f>
        <v/>
      </c>
      <c r="L36" s="1307">
        <f>L21+L35</f>
        <v/>
      </c>
      <c r="M36" s="1307">
        <f>M21+M35</f>
        <v/>
      </c>
      <c r="N36" s="1307">
        <f>N21+N35</f>
        <v/>
      </c>
      <c r="O36" s="1307">
        <f>O21+O35</f>
        <v/>
      </c>
      <c r="P36" s="1307">
        <f>P21+P35</f>
        <v/>
      </c>
      <c r="Q36" s="1307">
        <f>Q21+Q35</f>
        <v/>
      </c>
      <c r="R36" s="1307">
        <f>R21+R35</f>
        <v/>
      </c>
      <c r="S36" s="1307">
        <f>S21+S35</f>
        <v/>
      </c>
      <c r="T36" s="1307">
        <f>T21+T35</f>
        <v/>
      </c>
      <c r="U36" s="1307">
        <f>U21+U35</f>
        <v/>
      </c>
      <c r="V36" s="1307">
        <f>V21+V35</f>
        <v/>
      </c>
      <c r="W36" s="1307">
        <f>W21+W35</f>
        <v/>
      </c>
      <c r="X36" s="1307">
        <f>X21+X35</f>
        <v/>
      </c>
      <c r="Y36" s="1307">
        <f>Y21+Y35</f>
        <v/>
      </c>
      <c r="Z36" s="1307">
        <f>Z21+Z35</f>
        <v/>
      </c>
      <c r="AA36" s="1307">
        <f>AA21+AA35</f>
        <v/>
      </c>
      <c r="AB36" s="1307">
        <f>AB21+AB35</f>
        <v/>
      </c>
      <c r="AC36" s="1307">
        <f>AC21+AC35</f>
        <v/>
      </c>
      <c r="AD36" s="1307">
        <f>AD21+AD35</f>
        <v/>
      </c>
      <c r="AE36" s="1307">
        <f>AE21+AE35</f>
        <v/>
      </c>
      <c r="AF36" s="1307">
        <f>AF21+AF35</f>
        <v/>
      </c>
      <c r="AG36" s="1307">
        <f>AG21+AG35</f>
        <v/>
      </c>
      <c r="AH36" s="1307">
        <f>AH21+AH35</f>
        <v/>
      </c>
      <c r="AI36" s="1307">
        <f>AI21+AI35</f>
        <v/>
      </c>
      <c r="AJ36" s="1307">
        <f>AJ21+AJ35</f>
        <v/>
      </c>
      <c r="AK36" s="1307">
        <f>AK21+AK35</f>
        <v/>
      </c>
      <c r="AL36" s="1307">
        <f>AL21+AL35</f>
        <v/>
      </c>
      <c r="AM36" s="1307">
        <f>AM21+AM35</f>
        <v/>
      </c>
      <c r="AN36" s="1307">
        <f>AN21+AN35</f>
        <v/>
      </c>
    </row>
    <row r="37" ht="20.4" customHeight="1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  <c r="AA37" s="151" t="n"/>
      <c r="AB37" s="151" t="n"/>
      <c r="AC37" s="151" t="n"/>
      <c r="AD37" s="151" t="n"/>
      <c r="AE37" s="151" t="n"/>
      <c r="AF37" s="151" t="n"/>
      <c r="AG37" s="151" t="n"/>
      <c r="AH37" s="151" t="n"/>
      <c r="AI37" s="151" t="n"/>
      <c r="AJ37" s="151" t="n"/>
      <c r="AK37" s="151" t="n"/>
      <c r="AL37" s="151" t="n"/>
      <c r="AM37" s="151" t="n"/>
      <c r="AN37" s="151" t="n"/>
    </row>
  </sheetData>
  <autoFilter ref="A4:AS21"/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FF0000"/>
    <outlinePr summaryBelow="1" summaryRight="1"/>
    <pageSetUpPr/>
  </sheetPr>
  <dimension ref="A1:AS30"/>
  <sheetViews>
    <sheetView workbookViewId="0">
      <pane xSplit="4" ySplit="4" topLeftCell="N5" activePane="bottomRight" state="frozen"/>
      <selection activeCell="AP10" sqref="AP10"/>
      <selection pane="topRight" activeCell="AP10" sqref="AP10"/>
      <selection pane="bottomLeft" activeCell="AP10" sqref="AP10"/>
      <selection pane="bottomRight" activeCell="AR5" sqref="AR5:AR14"/>
    </sheetView>
  </sheetViews>
  <sheetFormatPr baseColWidth="8" defaultColWidth="9.109375" defaultRowHeight="13.8"/>
  <cols>
    <col width="4.44140625" customWidth="1" style="162" min="1" max="1"/>
    <col width="28.88671875" customWidth="1" style="162" min="2" max="2"/>
    <col width="7.88671875" customWidth="1" style="162" min="3" max="3"/>
    <col width="10.88671875" customWidth="1" style="162" min="4" max="4"/>
    <col width="9.5546875" bestFit="1" customWidth="1" style="162" min="5" max="5"/>
    <col width="10.5546875" bestFit="1" customWidth="1" style="162" min="6" max="7"/>
    <col width="9.33203125" bestFit="1" customWidth="1" style="162" min="8" max="12"/>
    <col width="10.5546875" bestFit="1" customWidth="1" style="162" min="13" max="13"/>
    <col width="9.33203125" bestFit="1" customWidth="1" style="162" min="14" max="15"/>
    <col width="10.5546875" bestFit="1" customWidth="1" style="162" min="16" max="16"/>
    <col width="9.33203125" bestFit="1" customWidth="1" style="162" min="17" max="18"/>
    <col width="9.5546875" bestFit="1" customWidth="1" style="162" min="19" max="19"/>
    <col hidden="1" width="9.33203125" customWidth="1" style="162" min="20" max="40"/>
    <col width="11.109375" customWidth="1" style="162" min="41" max="41"/>
    <col width="11.6640625" customWidth="1" style="162" min="42" max="42"/>
    <col width="11.109375" customWidth="1" style="162" min="43" max="43"/>
    <col width="14.5546875" customWidth="1" style="162" min="44" max="44"/>
    <col width="14.33203125" customWidth="1" style="162" min="45" max="45"/>
    <col width="9.109375" customWidth="1" style="162" min="46" max="16384"/>
  </cols>
  <sheetData>
    <row r="1" ht="20.4" customHeight="1">
      <c r="B1" s="148" t="inlineStr">
        <is>
          <t>2025 - Sales Details Meiktila (Pakokku Township)</t>
        </is>
      </c>
      <c r="C1" s="149" t="n"/>
      <c r="D1" s="149" t="n"/>
    </row>
    <row r="2"/>
    <row r="3" ht="47.25" customHeight="1">
      <c r="A3" s="961" t="inlineStr">
        <is>
          <t>Sr</t>
        </is>
      </c>
      <c r="B3" s="961" t="inlineStr">
        <is>
          <t>Product Name</t>
        </is>
      </c>
      <c r="C3" s="961" t="inlineStr">
        <is>
          <t>Ml</t>
        </is>
      </c>
      <c r="D3" s="961" t="inlineStr">
        <is>
          <t>Packing</t>
        </is>
      </c>
      <c r="E3" s="962" t="inlineStr">
        <is>
          <t>January</t>
        </is>
      </c>
      <c r="F3" s="970" t="n"/>
      <c r="G3" s="971" t="n"/>
      <c r="H3" s="962" t="inlineStr">
        <is>
          <t>February</t>
        </is>
      </c>
      <c r="I3" s="970" t="n"/>
      <c r="J3" s="971" t="n"/>
      <c r="K3" s="962" t="inlineStr">
        <is>
          <t>March</t>
        </is>
      </c>
      <c r="L3" s="970" t="n"/>
      <c r="M3" s="971" t="n"/>
      <c r="N3" s="962" t="inlineStr">
        <is>
          <t>April</t>
        </is>
      </c>
      <c r="O3" s="970" t="n"/>
      <c r="P3" s="971" t="n"/>
      <c r="Q3" s="962" t="inlineStr">
        <is>
          <t>May</t>
        </is>
      </c>
      <c r="R3" s="970" t="n"/>
      <c r="S3" s="971" t="n"/>
      <c r="T3" s="962" t="inlineStr">
        <is>
          <t>June</t>
        </is>
      </c>
      <c r="U3" s="970" t="n"/>
      <c r="V3" s="971" t="n"/>
      <c r="W3" s="962" t="inlineStr">
        <is>
          <t>July</t>
        </is>
      </c>
      <c r="X3" s="970" t="n"/>
      <c r="Y3" s="971" t="n"/>
      <c r="Z3" s="962" t="inlineStr">
        <is>
          <t>August</t>
        </is>
      </c>
      <c r="AA3" s="970" t="n"/>
      <c r="AB3" s="971" t="n"/>
      <c r="AC3" s="962" t="inlineStr">
        <is>
          <t>September</t>
        </is>
      </c>
      <c r="AD3" s="970" t="n"/>
      <c r="AE3" s="971" t="n"/>
      <c r="AF3" s="962" t="inlineStr">
        <is>
          <t>October</t>
        </is>
      </c>
      <c r="AG3" s="970" t="n"/>
      <c r="AH3" s="971" t="n"/>
      <c r="AI3" s="962" t="inlineStr">
        <is>
          <t>November</t>
        </is>
      </c>
      <c r="AJ3" s="970" t="n"/>
      <c r="AK3" s="971" t="n"/>
      <c r="AL3" s="962" t="inlineStr">
        <is>
          <t>December</t>
        </is>
      </c>
      <c r="AM3" s="970" t="n"/>
      <c r="AN3" s="971" t="n"/>
      <c r="AO3" s="1290" t="inlineStr">
        <is>
          <t>TOTAL</t>
        </is>
      </c>
      <c r="AP3" s="970" t="n"/>
      <c r="AQ3" s="971" t="n"/>
      <c r="AR3" s="1291" t="inlineStr">
        <is>
          <t>Average</t>
        </is>
      </c>
      <c r="AS3" s="181" t="inlineStr">
        <is>
          <t>Contribution</t>
        </is>
      </c>
    </row>
    <row r="4" ht="40.5" customHeight="1">
      <c r="A4" s="973" t="n"/>
      <c r="B4" s="973" t="n"/>
      <c r="C4" s="973" t="n"/>
      <c r="D4" s="973" t="n"/>
      <c r="E4" s="150" t="inlineStr">
        <is>
          <t>PK</t>
        </is>
      </c>
      <c r="F4" s="150" t="inlineStr">
        <is>
          <t>Bottle</t>
        </is>
      </c>
      <c r="G4" s="150" t="inlineStr">
        <is>
          <t>Liter</t>
        </is>
      </c>
      <c r="H4" s="150" t="inlineStr">
        <is>
          <t>PK</t>
        </is>
      </c>
      <c r="I4" s="150" t="inlineStr">
        <is>
          <t>Bottle</t>
        </is>
      </c>
      <c r="J4" s="150" t="inlineStr">
        <is>
          <t>Liter</t>
        </is>
      </c>
      <c r="K4" s="150" t="inlineStr">
        <is>
          <t>PK</t>
        </is>
      </c>
      <c r="L4" s="150" t="inlineStr">
        <is>
          <t>Bottle</t>
        </is>
      </c>
      <c r="M4" s="150" t="inlineStr">
        <is>
          <t>Liter</t>
        </is>
      </c>
      <c r="N4" s="150" t="inlineStr">
        <is>
          <t>PK</t>
        </is>
      </c>
      <c r="O4" s="150" t="inlineStr">
        <is>
          <t>Bottle</t>
        </is>
      </c>
      <c r="P4" s="150" t="inlineStr">
        <is>
          <t>Liter</t>
        </is>
      </c>
      <c r="Q4" s="150" t="inlineStr">
        <is>
          <t>PK</t>
        </is>
      </c>
      <c r="R4" s="150" t="inlineStr">
        <is>
          <t>Bottle</t>
        </is>
      </c>
      <c r="S4" s="150" t="inlineStr">
        <is>
          <t>Liter</t>
        </is>
      </c>
      <c r="T4" s="150" t="inlineStr">
        <is>
          <t>PK</t>
        </is>
      </c>
      <c r="U4" s="150" t="inlineStr">
        <is>
          <t>Bottle</t>
        </is>
      </c>
      <c r="V4" s="150" t="inlineStr">
        <is>
          <t>Liter</t>
        </is>
      </c>
      <c r="W4" s="150" t="inlineStr">
        <is>
          <t>PK</t>
        </is>
      </c>
      <c r="X4" s="150" t="inlineStr">
        <is>
          <t>Bottle</t>
        </is>
      </c>
      <c r="Y4" s="150" t="inlineStr">
        <is>
          <t>Liter</t>
        </is>
      </c>
      <c r="Z4" s="150" t="inlineStr">
        <is>
          <t>PK</t>
        </is>
      </c>
      <c r="AA4" s="150" t="inlineStr">
        <is>
          <t>Bottle</t>
        </is>
      </c>
      <c r="AB4" s="150" t="inlineStr">
        <is>
          <t>Liter</t>
        </is>
      </c>
      <c r="AC4" s="150" t="inlineStr">
        <is>
          <t>PK</t>
        </is>
      </c>
      <c r="AD4" s="150" t="inlineStr">
        <is>
          <t>Bottle</t>
        </is>
      </c>
      <c r="AE4" s="150" t="inlineStr">
        <is>
          <t>Liter</t>
        </is>
      </c>
      <c r="AF4" s="150" t="inlineStr">
        <is>
          <t>PK</t>
        </is>
      </c>
      <c r="AG4" s="150" t="inlineStr">
        <is>
          <t>Bottle</t>
        </is>
      </c>
      <c r="AH4" s="150" t="inlineStr">
        <is>
          <t>Liter</t>
        </is>
      </c>
      <c r="AI4" s="150" t="inlineStr">
        <is>
          <t>PK</t>
        </is>
      </c>
      <c r="AJ4" s="150" t="inlineStr">
        <is>
          <t>Bottle</t>
        </is>
      </c>
      <c r="AK4" s="150" t="inlineStr">
        <is>
          <t>Liter</t>
        </is>
      </c>
      <c r="AL4" s="150" t="inlineStr">
        <is>
          <t>PK</t>
        </is>
      </c>
      <c r="AM4" s="150" t="inlineStr">
        <is>
          <t>Bottle</t>
        </is>
      </c>
      <c r="AN4" s="150" t="inlineStr">
        <is>
          <t>Liter</t>
        </is>
      </c>
      <c r="AO4" s="1292" t="inlineStr">
        <is>
          <t>CASES</t>
        </is>
      </c>
      <c r="AP4" s="1292" t="inlineStr">
        <is>
          <t>BOTTLES</t>
        </is>
      </c>
      <c r="AQ4" s="1292" t="inlineStr">
        <is>
          <t>Liter</t>
        </is>
      </c>
      <c r="AR4" s="1300" t="inlineStr">
        <is>
          <t>Liter</t>
        </is>
      </c>
      <c r="AS4" s="1300" t="inlineStr">
        <is>
          <t>Liter</t>
        </is>
      </c>
    </row>
    <row r="5" ht="20.4" customHeight="1">
      <c r="A5" s="151" t="n">
        <v>8</v>
      </c>
      <c r="B5" s="151" t="inlineStr">
        <is>
          <t>"Zay" - 640ml</t>
        </is>
      </c>
      <c r="C5" s="151" t="n">
        <v>0.64</v>
      </c>
      <c r="D5" s="151" t="inlineStr">
        <is>
          <t>1 * 14</t>
        </is>
      </c>
      <c r="E5" s="151" t="n">
        <v>1495</v>
      </c>
      <c r="F5" s="151" t="n">
        <v>20930</v>
      </c>
      <c r="G5" s="151" t="n">
        <v>13395</v>
      </c>
      <c r="H5" s="151" t="n">
        <v>825</v>
      </c>
      <c r="I5" s="151" t="n">
        <v>11550</v>
      </c>
      <c r="J5" s="1305">
        <f>I5*$C5</f>
        <v/>
      </c>
      <c r="K5" s="151" t="n">
        <v>1650</v>
      </c>
      <c r="L5" s="151" t="n">
        <v>23100</v>
      </c>
      <c r="M5" s="169">
        <f>L5*$C5</f>
        <v/>
      </c>
      <c r="N5" s="151" t="n">
        <v>1260</v>
      </c>
      <c r="O5" s="151" t="n">
        <v>17640</v>
      </c>
      <c r="P5" s="169">
        <f>O5*$C5</f>
        <v/>
      </c>
      <c r="Q5" s="151" t="n">
        <v>1100</v>
      </c>
      <c r="R5" s="151" t="n">
        <v>15400</v>
      </c>
      <c r="S5" s="169">
        <f>R5*$C5</f>
        <v/>
      </c>
      <c r="T5" s="151" t="n"/>
      <c r="U5" s="151" t="n"/>
      <c r="V5" s="151" t="n"/>
      <c r="W5" s="151" t="n"/>
      <c r="X5" s="151" t="n"/>
      <c r="Y5" s="151" t="n"/>
      <c r="Z5" s="151" t="n"/>
      <c r="AA5" s="151" t="n"/>
      <c r="AB5" s="151" t="n"/>
      <c r="AC5" s="151" t="n"/>
      <c r="AD5" s="151" t="n"/>
      <c r="AE5" s="151" t="n"/>
      <c r="AF5" s="151" t="n"/>
      <c r="AG5" s="151" t="n"/>
      <c r="AH5" s="151" t="n"/>
      <c r="AI5" s="151" t="n"/>
      <c r="AJ5" s="151" t="n"/>
      <c r="AK5" s="151" t="n"/>
      <c r="AL5" s="151" t="n"/>
      <c r="AM5" s="151" t="n"/>
      <c r="AN5" s="151" t="n"/>
      <c r="AO5" s="162">
        <f>E5+H5+K5+N5+Q5</f>
        <v/>
      </c>
      <c r="AP5" s="162">
        <f>F5+I5+L5+O5+R5</f>
        <v/>
      </c>
      <c r="AQ5" s="1308">
        <f>G5+J5+M5+P5+S5</f>
        <v/>
      </c>
      <c r="AR5" s="1308">
        <f>AQ5/5</f>
        <v/>
      </c>
    </row>
    <row r="6" ht="20.4" customHeight="1">
      <c r="A6" s="151" t="n">
        <v>11</v>
      </c>
      <c r="B6" s="151" t="inlineStr">
        <is>
          <t>Kaung Kyi (1 Liter)_25%</t>
        </is>
      </c>
      <c r="C6" s="151" t="n">
        <v>1</v>
      </c>
      <c r="D6" s="151" t="inlineStr">
        <is>
          <t>1 * 12</t>
        </is>
      </c>
      <c r="E6" s="151" t="n"/>
      <c r="F6" s="151" t="n"/>
      <c r="G6" s="151" t="n"/>
      <c r="H6" s="151" t="n">
        <v>60</v>
      </c>
      <c r="I6" s="151" t="n">
        <v>720</v>
      </c>
      <c r="J6" s="1305">
        <f>I6*$C6</f>
        <v/>
      </c>
      <c r="K6" s="151" t="n">
        <v>210</v>
      </c>
      <c r="L6" s="151" t="n">
        <v>2520</v>
      </c>
      <c r="M6" s="169">
        <f>L6*$C6</f>
        <v/>
      </c>
      <c r="N6" s="151" t="n">
        <v>300</v>
      </c>
      <c r="O6" s="151" t="n">
        <v>3600</v>
      </c>
      <c r="P6" s="169">
        <f>O6*$C6</f>
        <v/>
      </c>
      <c r="Q6" s="151" t="n"/>
      <c r="R6" s="151" t="n"/>
      <c r="S6" s="169">
        <f>R6*$C6</f>
        <v/>
      </c>
      <c r="T6" s="151" t="n"/>
      <c r="U6" s="151" t="n"/>
      <c r="V6" s="151" t="n"/>
      <c r="W6" s="151" t="n"/>
      <c r="X6" s="151" t="n"/>
      <c r="Y6" s="151" t="n"/>
      <c r="Z6" s="151" t="n"/>
      <c r="AA6" s="151" t="n"/>
      <c r="AB6" s="151" t="n"/>
      <c r="AC6" s="151" t="n"/>
      <c r="AD6" s="151" t="n"/>
      <c r="AE6" s="151" t="n"/>
      <c r="AF6" s="151" t="n"/>
      <c r="AG6" s="151" t="n"/>
      <c r="AH6" s="151" t="n"/>
      <c r="AI6" s="151" t="n"/>
      <c r="AJ6" s="151" t="n"/>
      <c r="AK6" s="151" t="n"/>
      <c r="AL6" s="151" t="n"/>
      <c r="AM6" s="151" t="n"/>
      <c r="AN6" s="151" t="n"/>
      <c r="AO6" s="162">
        <f>E6+H6+K6+N6+Q6</f>
        <v/>
      </c>
      <c r="AP6" s="162">
        <f>F6+I6+L6+O6+R6</f>
        <v/>
      </c>
      <c r="AQ6" s="1308">
        <f>G6+J6+M6+P6+S6</f>
        <v/>
      </c>
      <c r="AR6" s="1308">
        <f>AQ6/5</f>
        <v/>
      </c>
    </row>
    <row r="7" ht="20.4" customHeight="1">
      <c r="A7" s="151" t="n">
        <v>34</v>
      </c>
      <c r="B7" s="151" t="inlineStr">
        <is>
          <t xml:space="preserve">Zayawaddy Red </t>
        </is>
      </c>
      <c r="C7" s="151" t="n">
        <v>0.64</v>
      </c>
      <c r="D7" s="151" t="inlineStr">
        <is>
          <t>1 * 14</t>
        </is>
      </c>
      <c r="E7" s="151" t="n">
        <v>400</v>
      </c>
      <c r="F7" s="151" t="n">
        <v>5600</v>
      </c>
      <c r="G7" s="151" t="n">
        <v>3584</v>
      </c>
      <c r="H7" s="151" t="n">
        <v>182</v>
      </c>
      <c r="I7" s="151" t="n">
        <v>2548</v>
      </c>
      <c r="J7" s="1305">
        <f>I7*$C7</f>
        <v/>
      </c>
      <c r="K7" s="151" t="n">
        <v>50</v>
      </c>
      <c r="L7" s="151" t="n">
        <v>700</v>
      </c>
      <c r="M7" s="169">
        <f>L7*$C7</f>
        <v/>
      </c>
      <c r="N7" s="151" t="n">
        <v>250</v>
      </c>
      <c r="O7" s="151" t="n">
        <v>3500</v>
      </c>
      <c r="P7" s="169">
        <f>O7*$C7</f>
        <v/>
      </c>
      <c r="Q7" s="151" t="n">
        <v>150</v>
      </c>
      <c r="R7" s="151" t="n">
        <v>2100</v>
      </c>
      <c r="S7" s="169">
        <f>R7*$C7</f>
        <v/>
      </c>
      <c r="T7" s="151" t="n"/>
      <c r="U7" s="151" t="n"/>
      <c r="V7" s="151" t="n"/>
      <c r="W7" s="151" t="n"/>
      <c r="X7" s="151" t="n"/>
      <c r="Y7" s="151" t="n"/>
      <c r="Z7" s="151" t="n"/>
      <c r="AA7" s="151" t="n"/>
      <c r="AB7" s="151" t="n"/>
      <c r="AC7" s="151" t="n"/>
      <c r="AD7" s="151" t="n"/>
      <c r="AE7" s="151" t="n"/>
      <c r="AF7" s="151" t="n"/>
      <c r="AG7" s="151" t="n"/>
      <c r="AH7" s="151" t="n"/>
      <c r="AI7" s="151" t="n"/>
      <c r="AJ7" s="151" t="n"/>
      <c r="AK7" s="151" t="n"/>
      <c r="AL7" s="151" t="n"/>
      <c r="AM7" s="151" t="n"/>
      <c r="AN7" s="151" t="n"/>
      <c r="AO7" s="162">
        <f>E7+H7+K7+N7+Q7</f>
        <v/>
      </c>
      <c r="AP7" s="162">
        <f>F7+I7+L7+O7+R7</f>
        <v/>
      </c>
      <c r="AQ7" s="1308">
        <f>G7+J7+M7+P7+S7</f>
        <v/>
      </c>
      <c r="AR7" s="1308">
        <f>AQ7/5</f>
        <v/>
      </c>
    </row>
    <row r="8" ht="20.4" customHeight="1">
      <c r="A8" s="151" t="n">
        <v>37</v>
      </c>
      <c r="B8" s="151" t="inlineStr">
        <is>
          <t>ဇေယျဝတီ Red (ပု)</t>
        </is>
      </c>
      <c r="C8" s="151" t="n">
        <v>0.64</v>
      </c>
      <c r="D8" s="151" t="inlineStr">
        <is>
          <t>1 * 14</t>
        </is>
      </c>
      <c r="E8" s="151" t="n">
        <v>30</v>
      </c>
      <c r="F8" s="151" t="n">
        <v>420</v>
      </c>
      <c r="G8" s="151" t="n">
        <v>269</v>
      </c>
      <c r="H8" s="151" t="n"/>
      <c r="I8" s="151" t="n"/>
      <c r="J8" s="1305">
        <f>I8*$C8</f>
        <v/>
      </c>
      <c r="K8" s="151" t="n"/>
      <c r="L8" s="151" t="n"/>
      <c r="M8" s="169">
        <f>L8*$C8</f>
        <v/>
      </c>
      <c r="N8" s="151" t="n"/>
      <c r="O8" s="151" t="n"/>
      <c r="P8" s="169">
        <f>O8*$C8</f>
        <v/>
      </c>
      <c r="Q8" s="151" t="n">
        <v>20</v>
      </c>
      <c r="R8" s="151" t="n">
        <v>280</v>
      </c>
      <c r="S8" s="169">
        <f>R8*$C8</f>
        <v/>
      </c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62">
        <f>E8+H8+K8+N8+Q8</f>
        <v/>
      </c>
      <c r="AP8" s="162">
        <f>F8+I8+L8+O8+R8</f>
        <v/>
      </c>
      <c r="AQ8" s="1308">
        <f>G8+J8+M8+P8+S8</f>
        <v/>
      </c>
      <c r="AR8" s="1308">
        <f>AQ8/5</f>
        <v/>
      </c>
    </row>
    <row r="9" ht="20.4" customHeight="1">
      <c r="A9" s="151" t="n">
        <v>52</v>
      </c>
      <c r="B9" s="151" t="inlineStr">
        <is>
          <t>2 in 1 မန်ကျည်း</t>
        </is>
      </c>
      <c r="C9" s="151" t="n">
        <v>0.64</v>
      </c>
      <c r="D9" s="151" t="inlineStr">
        <is>
          <t>1 * 14</t>
        </is>
      </c>
      <c r="E9" s="151" t="n">
        <v>225</v>
      </c>
      <c r="F9" s="151" t="n">
        <v>3150</v>
      </c>
      <c r="G9" s="151" t="n">
        <v>2016</v>
      </c>
      <c r="H9" s="151" t="n">
        <v>30</v>
      </c>
      <c r="I9" s="151" t="n">
        <v>420</v>
      </c>
      <c r="J9" s="1305">
        <f>I9*$C9</f>
        <v/>
      </c>
      <c r="K9" s="151" t="n"/>
      <c r="L9" s="151" t="n"/>
      <c r="M9" s="169">
        <f>L9*$C9</f>
        <v/>
      </c>
      <c r="N9" s="151" t="n">
        <v>100</v>
      </c>
      <c r="O9" s="151" t="n">
        <v>1400</v>
      </c>
      <c r="P9" s="169">
        <f>O9*$C9</f>
        <v/>
      </c>
      <c r="Q9" s="151" t="n"/>
      <c r="R9" s="151" t="n"/>
      <c r="S9" s="169">
        <f>R9*$C9</f>
        <v/>
      </c>
      <c r="T9" s="151" t="n"/>
      <c r="U9" s="151" t="n"/>
      <c r="V9" s="151" t="n"/>
      <c r="W9" s="151" t="n"/>
      <c r="X9" s="151" t="n"/>
      <c r="Y9" s="151" t="n"/>
      <c r="Z9" s="151" t="n"/>
      <c r="AA9" s="151" t="n"/>
      <c r="AB9" s="151" t="n"/>
      <c r="AC9" s="151" t="n"/>
      <c r="AD9" s="151" t="n"/>
      <c r="AE9" s="151" t="n"/>
      <c r="AF9" s="151" t="n"/>
      <c r="AG9" s="151" t="n"/>
      <c r="AH9" s="151" t="n"/>
      <c r="AI9" s="151" t="n"/>
      <c r="AJ9" s="151" t="n"/>
      <c r="AK9" s="151" t="n"/>
      <c r="AL9" s="151" t="n"/>
      <c r="AM9" s="151" t="n"/>
      <c r="AN9" s="151" t="n"/>
      <c r="AO9" s="162">
        <f>E9+H9+K9+N9+Q9</f>
        <v/>
      </c>
      <c r="AP9" s="162">
        <f>F9+I9+L9+O9+R9</f>
        <v/>
      </c>
      <c r="AQ9" s="1308">
        <f>G9+J9+M9+P9+S9</f>
        <v/>
      </c>
      <c r="AR9" s="1308">
        <f>AQ9/5</f>
        <v/>
      </c>
    </row>
    <row r="10" ht="20.4" customHeight="1">
      <c r="A10" s="151" t="n">
        <v>73</v>
      </c>
      <c r="B10" s="151" t="inlineStr">
        <is>
          <t>ချယ်ရီအရက်သန့်</t>
        </is>
      </c>
      <c r="C10" s="151" t="n">
        <v>0.64</v>
      </c>
      <c r="D10" s="151" t="inlineStr">
        <is>
          <t>1 * 14</t>
        </is>
      </c>
      <c r="E10" s="151" t="n"/>
      <c r="F10" s="151" t="n"/>
      <c r="G10" s="151" t="n"/>
      <c r="H10" s="151" t="n">
        <v>170</v>
      </c>
      <c r="I10" s="151" t="n">
        <v>2380</v>
      </c>
      <c r="J10" s="1305">
        <f>I10*$C10</f>
        <v/>
      </c>
      <c r="K10" s="151" t="n"/>
      <c r="L10" s="151" t="n"/>
      <c r="M10" s="169">
        <f>L10*$C10</f>
        <v/>
      </c>
      <c r="N10" s="151" t="n"/>
      <c r="O10" s="151" t="n"/>
      <c r="P10" s="169">
        <f>O10*$C10</f>
        <v/>
      </c>
      <c r="Q10" s="151" t="n"/>
      <c r="R10" s="151" t="n"/>
      <c r="S10" s="169">
        <f>R10*$C10</f>
        <v/>
      </c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62">
        <f>E10+H10+K10+N10+Q10</f>
        <v/>
      </c>
      <c r="AP10" s="162">
        <f>F10+I10+L10+O10+R10</f>
        <v/>
      </c>
      <c r="AQ10" s="1308">
        <f>G10+J10+M10+P10+S10</f>
        <v/>
      </c>
      <c r="AR10" s="1308">
        <f>AQ10/5</f>
        <v/>
      </c>
    </row>
    <row r="11" ht="20.4" customHeight="1">
      <c r="A11" s="151" t="n">
        <v>75</v>
      </c>
      <c r="B11" s="151" t="inlineStr">
        <is>
          <t>ချယ်ရီသံပုရာ (1 Liter )</t>
        </is>
      </c>
      <c r="C11" s="151" t="n">
        <v>1</v>
      </c>
      <c r="D11" s="151" t="inlineStr">
        <is>
          <t>1 * 12</t>
        </is>
      </c>
      <c r="E11" s="151" t="n">
        <v>100</v>
      </c>
      <c r="F11" s="151" t="n">
        <v>1200</v>
      </c>
      <c r="G11" s="151" t="n">
        <v>1200</v>
      </c>
      <c r="H11" s="151" t="n">
        <v>199</v>
      </c>
      <c r="I11" s="151" t="n">
        <v>2388</v>
      </c>
      <c r="J11" s="1305">
        <f>I11*$C11</f>
        <v/>
      </c>
      <c r="K11" s="151" t="n">
        <v>100</v>
      </c>
      <c r="L11" s="151" t="n">
        <v>1200</v>
      </c>
      <c r="M11" s="169">
        <f>L11*$C11</f>
        <v/>
      </c>
      <c r="N11" s="151" t="n"/>
      <c r="O11" s="151" t="n"/>
      <c r="P11" s="169">
        <f>O11*$C11</f>
        <v/>
      </c>
      <c r="Q11" s="151" t="n">
        <v>199</v>
      </c>
      <c r="R11" s="151" t="n">
        <v>2388</v>
      </c>
      <c r="S11" s="169">
        <f>R11*$C11</f>
        <v/>
      </c>
      <c r="T11" s="151" t="n"/>
      <c r="U11" s="151" t="n"/>
      <c r="V11" s="151" t="n"/>
      <c r="W11" s="151" t="n"/>
      <c r="X11" s="151" t="n"/>
      <c r="Y11" s="151" t="n"/>
      <c r="Z11" s="151" t="n"/>
      <c r="AA11" s="151" t="n"/>
      <c r="AB11" s="151" t="n"/>
      <c r="AC11" s="151" t="n"/>
      <c r="AD11" s="151" t="n"/>
      <c r="AE11" s="151" t="n"/>
      <c r="AF11" s="151" t="n"/>
      <c r="AG11" s="151" t="n"/>
      <c r="AH11" s="151" t="n"/>
      <c r="AI11" s="151" t="n"/>
      <c r="AJ11" s="151" t="n"/>
      <c r="AK11" s="151" t="n"/>
      <c r="AL11" s="151" t="n"/>
      <c r="AM11" s="151" t="n"/>
      <c r="AN11" s="151" t="n"/>
      <c r="AO11" s="162">
        <f>E11+H11+K11+N11+Q11</f>
        <v/>
      </c>
      <c r="AP11" s="162">
        <f>F11+I11+L11+O11+R11</f>
        <v/>
      </c>
      <c r="AQ11" s="1308">
        <f>G11+J11+M11+P11+S11</f>
        <v/>
      </c>
      <c r="AR11" s="1308">
        <f>AQ11/5</f>
        <v/>
      </c>
    </row>
    <row r="12" ht="20.4" customHeight="1">
      <c r="A12" s="151" t="n">
        <v>80</v>
      </c>
      <c r="B12" s="151" t="inlineStr">
        <is>
          <t>ရွှေမင်းသားခေါင်ရည်</t>
        </is>
      </c>
      <c r="C12" s="151" t="n">
        <v>0.64</v>
      </c>
      <c r="D12" s="151" t="inlineStr">
        <is>
          <t>1*24</t>
        </is>
      </c>
      <c r="E12" s="151" t="n"/>
      <c r="F12" s="151" t="n"/>
      <c r="G12" s="151" t="n"/>
      <c r="H12" s="151" t="n">
        <v>165</v>
      </c>
      <c r="I12" s="151" t="n">
        <v>3960</v>
      </c>
      <c r="J12" s="1305" t="n">
        <v>2534.4</v>
      </c>
      <c r="K12" s="151" t="n">
        <v>50</v>
      </c>
      <c r="L12" s="151" t="n">
        <v>1200</v>
      </c>
      <c r="M12" s="169">
        <f>L12*$C12</f>
        <v/>
      </c>
      <c r="N12" s="151" t="n">
        <v>110</v>
      </c>
      <c r="O12" s="151" t="n">
        <v>2640</v>
      </c>
      <c r="P12" s="169">
        <f>O12*$C12</f>
        <v/>
      </c>
      <c r="Q12" s="151" t="n">
        <v>100</v>
      </c>
      <c r="R12" s="151" t="n">
        <v>2400</v>
      </c>
      <c r="S12" s="169">
        <f>R12*$C12</f>
        <v/>
      </c>
      <c r="T12" s="151" t="n"/>
      <c r="U12" s="151" t="n"/>
      <c r="V12" s="151" t="n"/>
      <c r="W12" s="151" t="n"/>
      <c r="X12" s="151" t="n"/>
      <c r="Y12" s="151" t="n"/>
      <c r="Z12" s="151" t="n"/>
      <c r="AA12" s="151" t="n"/>
      <c r="AB12" s="151" t="n"/>
      <c r="AC12" s="151" t="n"/>
      <c r="AD12" s="151" t="n"/>
      <c r="AE12" s="151" t="n"/>
      <c r="AF12" s="151" t="n"/>
      <c r="AG12" s="151" t="n"/>
      <c r="AH12" s="151" t="n"/>
      <c r="AI12" s="151" t="n"/>
      <c r="AJ12" s="151" t="n"/>
      <c r="AK12" s="151" t="n"/>
      <c r="AL12" s="151" t="n"/>
      <c r="AM12" s="151" t="n"/>
      <c r="AN12" s="151" t="n"/>
      <c r="AO12" s="162">
        <f>E12+H12+K12+N12+Q12</f>
        <v/>
      </c>
      <c r="AP12" s="162">
        <f>F12+I12+L12+O12+R12</f>
        <v/>
      </c>
      <c r="AQ12" s="1308">
        <f>G12+J12+M12+P12+S12</f>
        <v/>
      </c>
      <c r="AR12" s="1308">
        <f>AQ12/5</f>
        <v/>
      </c>
    </row>
    <row r="13" ht="20.4" customHeight="1">
      <c r="A13" s="151" t="n"/>
      <c r="B13" s="151" t="n"/>
      <c r="C13" s="151" t="n"/>
      <c r="D13" s="151" t="n"/>
      <c r="E13" s="151" t="n"/>
      <c r="F13" s="151" t="n"/>
      <c r="G13" s="151" t="n"/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62">
        <f>E13+H13+K13+N13+Q13</f>
        <v/>
      </c>
      <c r="AP13" s="162">
        <f>F13+I13+L13+O13+R13</f>
        <v/>
      </c>
      <c r="AQ13" s="1308">
        <f>G13+J13+M13+P13+S13</f>
        <v/>
      </c>
      <c r="AR13" s="1308">
        <f>AQ13/5</f>
        <v/>
      </c>
    </row>
    <row r="14" ht="44.25" customHeight="1">
      <c r="A14" s="151" t="n"/>
      <c r="B14" s="151" t="inlineStr">
        <is>
          <t>Total</t>
        </is>
      </c>
      <c r="C14" s="151" t="n"/>
      <c r="D14" s="151" t="n"/>
      <c r="E14" s="1306">
        <f>SUM(E5:E13)</f>
        <v/>
      </c>
      <c r="F14" s="1306">
        <f>SUM(F5:F13)</f>
        <v/>
      </c>
      <c r="G14" s="1306">
        <f>SUM(G5:G13)</f>
        <v/>
      </c>
      <c r="H14" s="1306">
        <f>SUM(H5:H13)</f>
        <v/>
      </c>
      <c r="I14" s="1306">
        <f>SUM(I5:I13)</f>
        <v/>
      </c>
      <c r="J14" s="1306">
        <f>SUM(J5:J13)</f>
        <v/>
      </c>
      <c r="K14" s="1306">
        <f>SUM(K5:K13)</f>
        <v/>
      </c>
      <c r="L14" s="1306">
        <f>SUM(L5:L13)</f>
        <v/>
      </c>
      <c r="M14" s="1306">
        <f>SUM(M5:M13)</f>
        <v/>
      </c>
      <c r="N14" s="1306">
        <f>SUM(N5:N13)</f>
        <v/>
      </c>
      <c r="O14" s="1306">
        <f>SUM(O5:O13)</f>
        <v/>
      </c>
      <c r="P14" s="1306">
        <f>SUM(P5:P13)</f>
        <v/>
      </c>
      <c r="Q14" s="1306">
        <f>SUM(Q5:Q13)</f>
        <v/>
      </c>
      <c r="R14" s="1306">
        <f>SUM(R5:R13)</f>
        <v/>
      </c>
      <c r="S14" s="1306">
        <f>SUM(S5:S13)</f>
        <v/>
      </c>
      <c r="T14" s="1306">
        <f>SUM(T5:T13)</f>
        <v/>
      </c>
      <c r="U14" s="1306">
        <f>SUM(U5:U13)</f>
        <v/>
      </c>
      <c r="V14" s="1306">
        <f>SUM(V5:V13)</f>
        <v/>
      </c>
      <c r="W14" s="1306">
        <f>SUM(W5:W13)</f>
        <v/>
      </c>
      <c r="X14" s="1306">
        <f>SUM(X5:X13)</f>
        <v/>
      </c>
      <c r="Y14" s="1306">
        <f>SUM(Y5:Y13)</f>
        <v/>
      </c>
      <c r="Z14" s="1306">
        <f>SUM(Z5:Z13)</f>
        <v/>
      </c>
      <c r="AA14" s="1306">
        <f>SUM(AA5:AA13)</f>
        <v/>
      </c>
      <c r="AB14" s="1306">
        <f>SUM(AB5:AB13)</f>
        <v/>
      </c>
      <c r="AC14" s="1306">
        <f>SUM(AC5:AC13)</f>
        <v/>
      </c>
      <c r="AD14" s="1306">
        <f>SUM(AD5:AD13)</f>
        <v/>
      </c>
      <c r="AE14" s="1306">
        <f>SUM(AE5:AE13)</f>
        <v/>
      </c>
      <c r="AF14" s="1306">
        <f>SUM(AF5:AF13)</f>
        <v/>
      </c>
      <c r="AG14" s="1306">
        <f>SUM(AG5:AG13)</f>
        <v/>
      </c>
      <c r="AH14" s="1306">
        <f>SUM(AH5:AH13)</f>
        <v/>
      </c>
      <c r="AI14" s="1306">
        <f>SUM(AI5:AI13)</f>
        <v/>
      </c>
      <c r="AJ14" s="1306">
        <f>SUM(AJ5:AJ13)</f>
        <v/>
      </c>
      <c r="AK14" s="1306">
        <f>SUM(AK5:AK13)</f>
        <v/>
      </c>
      <c r="AL14" s="1306">
        <f>SUM(AL5:AL13)</f>
        <v/>
      </c>
      <c r="AM14" s="1306">
        <f>SUM(AM5:AM13)</f>
        <v/>
      </c>
      <c r="AN14" s="1306">
        <f>SUM(AN5:AN13)</f>
        <v/>
      </c>
      <c r="AO14" s="162">
        <f>E14+H14+K14+N14+Q14</f>
        <v/>
      </c>
      <c r="AP14" s="162">
        <f>F14+I14+L14+O14+R14</f>
        <v/>
      </c>
      <c r="AQ14" s="1308">
        <f>G14+J14+M14+P14+S14</f>
        <v/>
      </c>
      <c r="AR14" s="1308">
        <f>AQ14/5</f>
        <v/>
      </c>
    </row>
    <row r="15" ht="20.4" customHeight="1">
      <c r="A15" s="151" t="n"/>
      <c r="B15" s="151" t="n"/>
      <c r="C15" s="151" t="n"/>
      <c r="D15" s="151" t="n"/>
      <c r="E15" s="151" t="n"/>
      <c r="F15" s="151" t="n"/>
      <c r="G15" s="151" t="n"/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  <c r="AA15" s="151" t="n"/>
      <c r="AB15" s="151" t="n"/>
      <c r="AC15" s="151" t="n"/>
      <c r="AD15" s="151" t="n"/>
      <c r="AE15" s="151" t="n"/>
      <c r="AF15" s="151" t="n"/>
      <c r="AG15" s="151" t="n"/>
      <c r="AH15" s="151" t="n"/>
      <c r="AI15" s="151" t="n"/>
      <c r="AJ15" s="151" t="n"/>
      <c r="AK15" s="151" t="n"/>
      <c r="AL15" s="151" t="n"/>
      <c r="AM15" s="151" t="n"/>
      <c r="AN15" s="151" t="n"/>
    </row>
    <row r="16" ht="20.4" customHeight="1">
      <c r="A16" s="151" t="n">
        <v>109</v>
      </c>
      <c r="B16" s="151" t="inlineStr">
        <is>
          <t>Columbus 700ml</t>
        </is>
      </c>
      <c r="C16" s="151" t="n">
        <v>0.7</v>
      </c>
      <c r="D16" s="151" t="inlineStr">
        <is>
          <t>1 * 12</t>
        </is>
      </c>
      <c r="E16" s="151" t="n"/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</row>
    <row r="17" ht="20.4" customHeight="1">
      <c r="A17" s="151" t="n">
        <v>110</v>
      </c>
      <c r="B17" s="151" t="inlineStr">
        <is>
          <t>Columbus 350ml</t>
        </is>
      </c>
      <c r="C17" s="151" t="n">
        <v>0.35</v>
      </c>
      <c r="D17" s="151" t="inlineStr">
        <is>
          <t>1 * 24</t>
        </is>
      </c>
      <c r="E17" s="151" t="n"/>
      <c r="F17" s="151" t="n"/>
      <c r="G17" s="151" t="n"/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  <c r="AA17" s="151" t="n"/>
      <c r="AB17" s="151" t="n"/>
      <c r="AC17" s="151" t="n"/>
      <c r="AD17" s="151" t="n"/>
      <c r="AE17" s="151" t="n"/>
      <c r="AF17" s="151" t="n"/>
      <c r="AG17" s="151" t="n"/>
      <c r="AH17" s="151" t="n"/>
      <c r="AI17" s="151" t="n"/>
      <c r="AJ17" s="151" t="n"/>
      <c r="AK17" s="151" t="n"/>
      <c r="AL17" s="151" t="n"/>
      <c r="AM17" s="151" t="n"/>
      <c r="AN17" s="151" t="n"/>
    </row>
    <row r="18" ht="20.4" customHeight="1">
      <c r="A18" s="151" t="n">
        <v>111</v>
      </c>
      <c r="B18" s="151" t="inlineStr">
        <is>
          <t>Columbus 175ml</t>
        </is>
      </c>
      <c r="C18" s="151" t="n">
        <v>0.175</v>
      </c>
      <c r="D18" s="151" t="inlineStr">
        <is>
          <t>1 * 48</t>
        </is>
      </c>
      <c r="E18" s="151" t="n"/>
      <c r="F18" s="151" t="n"/>
      <c r="G18" s="151" t="n"/>
      <c r="H18" s="151" t="n"/>
      <c r="I18" s="151" t="n"/>
      <c r="J18" s="151" t="n"/>
      <c r="K18" s="151" t="n"/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  <c r="AA18" s="151" t="n"/>
      <c r="AB18" s="151" t="n"/>
      <c r="AC18" s="151" t="n"/>
      <c r="AD18" s="151" t="n"/>
      <c r="AE18" s="151" t="n"/>
      <c r="AF18" s="151" t="n"/>
      <c r="AG18" s="151" t="n"/>
      <c r="AH18" s="151" t="n"/>
      <c r="AI18" s="151" t="n"/>
      <c r="AJ18" s="151" t="n"/>
      <c r="AK18" s="151" t="n"/>
      <c r="AL18" s="151" t="n"/>
      <c r="AM18" s="151" t="n"/>
      <c r="AN18" s="151" t="n"/>
    </row>
    <row r="19" ht="20.4" customHeight="1">
      <c r="A19" s="151" t="n">
        <v>112</v>
      </c>
      <c r="B19" s="151" t="inlineStr">
        <is>
          <t xml:space="preserve">SRS - Columbus 700ml </t>
        </is>
      </c>
      <c r="C19" s="151" t="n">
        <v>0.7</v>
      </c>
      <c r="D19" s="151" t="inlineStr">
        <is>
          <t>1 * 12</t>
        </is>
      </c>
      <c r="E19" s="151" t="n"/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</row>
    <row r="20" ht="20.4" customHeight="1">
      <c r="A20" s="151" t="n">
        <v>113</v>
      </c>
      <c r="B20" s="151" t="inlineStr">
        <is>
          <t xml:space="preserve">SRS - Columbus 350ml </t>
        </is>
      </c>
      <c r="C20" s="151" t="n">
        <v>0.35</v>
      </c>
      <c r="D20" s="151" t="inlineStr">
        <is>
          <t>1 * 24</t>
        </is>
      </c>
      <c r="E20" s="151" t="n"/>
      <c r="F20" s="151" t="n"/>
      <c r="G20" s="151" t="n"/>
      <c r="H20" s="151" t="n"/>
      <c r="I20" s="151" t="n"/>
      <c r="J20" s="151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51" t="n"/>
      <c r="AD20" s="151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</row>
    <row r="21" ht="20.4" customHeight="1">
      <c r="A21" s="151" t="n">
        <v>114</v>
      </c>
      <c r="B21" s="151" t="inlineStr">
        <is>
          <t xml:space="preserve">SRS - Columbus 175ml </t>
        </is>
      </c>
      <c r="C21" s="151" t="n">
        <v>0.175</v>
      </c>
      <c r="D21" s="151" t="inlineStr">
        <is>
          <t>1 * 48</t>
        </is>
      </c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  <c r="AA21" s="151" t="n"/>
      <c r="AB21" s="151" t="n"/>
      <c r="AC21" s="151" t="n"/>
      <c r="AD21" s="151" t="n"/>
      <c r="AE21" s="151" t="n"/>
      <c r="AF21" s="151" t="n"/>
      <c r="AG21" s="151" t="n"/>
      <c r="AH21" s="151" t="n"/>
      <c r="AI21" s="151" t="n"/>
      <c r="AJ21" s="151" t="n"/>
      <c r="AK21" s="151" t="n"/>
      <c r="AL21" s="151" t="n"/>
      <c r="AM21" s="151" t="n"/>
      <c r="AN21" s="151" t="n"/>
    </row>
    <row r="22" ht="20.4" customHeight="1">
      <c r="A22" s="151" t="n">
        <v>115</v>
      </c>
      <c r="B22" s="151" t="inlineStr">
        <is>
          <t>Ngwe Taung 700ml</t>
        </is>
      </c>
      <c r="C22" s="151" t="n">
        <v>0.7</v>
      </c>
      <c r="D22" s="151" t="inlineStr">
        <is>
          <t>1 * 12</t>
        </is>
      </c>
      <c r="E22" s="151" t="n"/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</row>
    <row r="23" ht="20.4" customHeight="1">
      <c r="A23" s="151" t="n">
        <v>116</v>
      </c>
      <c r="B23" s="151" t="inlineStr">
        <is>
          <t>Blended Whisky 700ml</t>
        </is>
      </c>
      <c r="C23" s="151" t="n">
        <v>0.7</v>
      </c>
      <c r="D23" s="151" t="inlineStr">
        <is>
          <t>1 * 12</t>
        </is>
      </c>
      <c r="E23" s="151" t="n"/>
      <c r="F23" s="151" t="n"/>
      <c r="G23" s="151" t="n"/>
      <c r="H23" s="151" t="n"/>
      <c r="I23" s="151" t="n"/>
      <c r="J23" s="151" t="n"/>
      <c r="K23" s="151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AB23" s="151" t="n"/>
      <c r="AC23" s="151" t="n"/>
      <c r="AD23" s="151" t="n"/>
      <c r="AE23" s="151" t="n"/>
      <c r="AF23" s="151" t="n"/>
      <c r="AG23" s="151" t="n"/>
      <c r="AH23" s="151" t="n"/>
      <c r="AI23" s="151" t="n"/>
      <c r="AJ23" s="151" t="n"/>
      <c r="AK23" s="151" t="n"/>
      <c r="AL23" s="151" t="n"/>
      <c r="AM23" s="151" t="n"/>
      <c r="AN23" s="151" t="n"/>
    </row>
    <row r="24" ht="20.4" customHeight="1">
      <c r="A24" s="151" t="n">
        <v>117</v>
      </c>
      <c r="B24" s="151" t="inlineStr">
        <is>
          <t>Blended Whisky 350ml</t>
        </is>
      </c>
      <c r="C24" s="151" t="n">
        <v>0.35</v>
      </c>
      <c r="D24" s="151" t="inlineStr">
        <is>
          <t>1 * 24</t>
        </is>
      </c>
      <c r="E24" s="151" t="n"/>
      <c r="F24" s="151" t="n"/>
      <c r="G24" s="151" t="n"/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  <c r="AA24" s="151" t="n"/>
      <c r="AB24" s="151" t="n"/>
      <c r="AC24" s="151" t="n"/>
      <c r="AD24" s="151" t="n"/>
      <c r="AE24" s="151" t="n"/>
      <c r="AF24" s="151" t="n"/>
      <c r="AG24" s="151" t="n"/>
      <c r="AH24" s="151" t="n"/>
      <c r="AI24" s="151" t="n"/>
      <c r="AJ24" s="151" t="n"/>
      <c r="AK24" s="151" t="n"/>
      <c r="AL24" s="151" t="n"/>
      <c r="AM24" s="151" t="n"/>
      <c r="AN24" s="151" t="n"/>
    </row>
    <row r="25" ht="20.4" customHeight="1">
      <c r="A25" s="151" t="n">
        <v>118</v>
      </c>
      <c r="B25" s="151" t="inlineStr">
        <is>
          <t>Simple Whisky 700 ML</t>
        </is>
      </c>
      <c r="C25" s="151" t="n">
        <v>0.7</v>
      </c>
      <c r="D25" s="151" t="inlineStr">
        <is>
          <t>1 * 12</t>
        </is>
      </c>
      <c r="E25" s="151" t="n"/>
      <c r="F25" s="151" t="n"/>
      <c r="G25" s="151" t="n"/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  <c r="AA25" s="151" t="n"/>
      <c r="AB25" s="151" t="n"/>
      <c r="AC25" s="151" t="n"/>
      <c r="AD25" s="151" t="n"/>
      <c r="AE25" s="151" t="n"/>
      <c r="AF25" s="151" t="n"/>
      <c r="AG25" s="151" t="n"/>
      <c r="AH25" s="151" t="n"/>
      <c r="AI25" s="151" t="n"/>
      <c r="AJ25" s="151" t="n"/>
      <c r="AK25" s="151" t="n"/>
      <c r="AL25" s="151" t="n"/>
      <c r="AM25" s="151" t="n"/>
      <c r="AN25" s="151" t="n"/>
    </row>
    <row r="26" ht="20.4" customHeight="1">
      <c r="A26" s="151" t="n">
        <v>119</v>
      </c>
      <c r="B26" s="151" t="inlineStr">
        <is>
          <t>Simple Whisky 350 ML</t>
        </is>
      </c>
      <c r="C26" s="151" t="n">
        <v>0.35</v>
      </c>
      <c r="D26" s="151" t="inlineStr">
        <is>
          <t>1 * 24</t>
        </is>
      </c>
      <c r="E26" s="151" t="n"/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</row>
    <row r="27" ht="20.4" customHeight="1">
      <c r="A27" s="151" t="n">
        <v>120</v>
      </c>
      <c r="B27" s="151" t="inlineStr">
        <is>
          <t>Golden Triangle</t>
        </is>
      </c>
      <c r="C27" s="151" t="n">
        <v>0.7</v>
      </c>
      <c r="D27" s="151" t="inlineStr">
        <is>
          <t>1 * 6</t>
        </is>
      </c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  <c r="AA27" s="151" t="n"/>
      <c r="AB27" s="151" t="n"/>
      <c r="AC27" s="151" t="n"/>
      <c r="AD27" s="151" t="n"/>
      <c r="AE27" s="151" t="n"/>
      <c r="AF27" s="151" t="n"/>
      <c r="AG27" s="151" t="n"/>
      <c r="AH27" s="151" t="n"/>
      <c r="AI27" s="151" t="n"/>
      <c r="AJ27" s="151" t="n"/>
      <c r="AK27" s="151" t="n"/>
      <c r="AL27" s="151" t="n"/>
      <c r="AM27" s="151" t="n"/>
      <c r="AN27" s="151" t="n"/>
    </row>
    <row r="28" ht="32.25" customHeight="1">
      <c r="A28" s="151" t="n"/>
      <c r="B28" s="151" t="inlineStr">
        <is>
          <t>Total</t>
        </is>
      </c>
      <c r="C28" s="151" t="n"/>
      <c r="D28" s="151" t="n"/>
      <c r="E28" s="171" t="n"/>
      <c r="F28" s="171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1" t="n"/>
      <c r="U28" s="171" t="n"/>
      <c r="V28" s="171" t="n"/>
      <c r="W28" s="171" t="n"/>
      <c r="X28" s="171" t="n"/>
      <c r="Y28" s="171" t="n"/>
      <c r="Z28" s="171" t="n"/>
      <c r="AA28" s="171" t="n"/>
      <c r="AB28" s="171" t="n"/>
      <c r="AC28" s="171" t="n"/>
      <c r="AD28" s="171" t="n"/>
      <c r="AE28" s="171" t="n"/>
      <c r="AF28" s="171" t="n"/>
      <c r="AG28" s="171" t="n"/>
      <c r="AH28" s="171" t="n"/>
      <c r="AI28" s="171" t="n"/>
      <c r="AJ28" s="171" t="n"/>
      <c r="AK28" s="171" t="n"/>
      <c r="AL28" s="171" t="n"/>
      <c r="AM28" s="171" t="n"/>
      <c r="AN28" s="171" t="n"/>
    </row>
    <row r="29" ht="33" customHeight="1">
      <c r="A29" s="151" t="n"/>
      <c r="B29" s="151" t="inlineStr">
        <is>
          <t>All Total</t>
        </is>
      </c>
      <c r="C29" s="151" t="n"/>
      <c r="D29" s="151" t="n"/>
      <c r="E29" s="1307">
        <f>E14+E28</f>
        <v/>
      </c>
      <c r="F29" s="1307">
        <f>F14+F28</f>
        <v/>
      </c>
      <c r="G29" s="1307">
        <f>G14+G28</f>
        <v/>
      </c>
      <c r="H29" s="1307">
        <f>H14+H28</f>
        <v/>
      </c>
      <c r="I29" s="1307">
        <f>I14+I28</f>
        <v/>
      </c>
      <c r="J29" s="1307">
        <f>J14+J28</f>
        <v/>
      </c>
      <c r="K29" s="1307">
        <f>K14+K28</f>
        <v/>
      </c>
      <c r="L29" s="1307">
        <f>L14+L28</f>
        <v/>
      </c>
      <c r="M29" s="1307">
        <f>M14+M28</f>
        <v/>
      </c>
      <c r="N29" s="1307">
        <f>N14+N28</f>
        <v/>
      </c>
      <c r="O29" s="1307">
        <f>O14+O28</f>
        <v/>
      </c>
      <c r="P29" s="1307">
        <f>P14+P28</f>
        <v/>
      </c>
      <c r="Q29" s="1307">
        <f>Q14+Q28</f>
        <v/>
      </c>
      <c r="R29" s="1307">
        <f>R14+R28</f>
        <v/>
      </c>
      <c r="S29" s="1307">
        <f>S14+S28</f>
        <v/>
      </c>
      <c r="T29" s="1307">
        <f>T14+T28</f>
        <v/>
      </c>
      <c r="U29" s="1307">
        <f>U14+U28</f>
        <v/>
      </c>
      <c r="V29" s="1307">
        <f>V14+V28</f>
        <v/>
      </c>
      <c r="W29" s="1307">
        <f>W14+W28</f>
        <v/>
      </c>
      <c r="X29" s="1307">
        <f>X14+X28</f>
        <v/>
      </c>
      <c r="Y29" s="1307">
        <f>Y14+Y28</f>
        <v/>
      </c>
      <c r="Z29" s="1307">
        <f>Z14+Z28</f>
        <v/>
      </c>
      <c r="AA29" s="1307">
        <f>AA14+AA28</f>
        <v/>
      </c>
      <c r="AB29" s="1307">
        <f>AB14+AB28</f>
        <v/>
      </c>
      <c r="AC29" s="1307">
        <f>AC14+AC28</f>
        <v/>
      </c>
      <c r="AD29" s="1307">
        <f>AD14+AD28</f>
        <v/>
      </c>
      <c r="AE29" s="1307">
        <f>AE14+AE28</f>
        <v/>
      </c>
      <c r="AF29" s="1307">
        <f>AF14+AF28</f>
        <v/>
      </c>
      <c r="AG29" s="1307">
        <f>AG14+AG28</f>
        <v/>
      </c>
      <c r="AH29" s="1307">
        <f>AH14+AH28</f>
        <v/>
      </c>
      <c r="AI29" s="1307">
        <f>AI14+AI28</f>
        <v/>
      </c>
      <c r="AJ29" s="1307">
        <f>AJ14+AJ28</f>
        <v/>
      </c>
      <c r="AK29" s="1307">
        <f>AK14+AK28</f>
        <v/>
      </c>
      <c r="AL29" s="1307">
        <f>AL14+AL28</f>
        <v/>
      </c>
      <c r="AM29" s="1307">
        <f>AM14+AM28</f>
        <v/>
      </c>
      <c r="AN29" s="1307">
        <f>AN14+AN28</f>
        <v/>
      </c>
    </row>
    <row r="30" ht="31.5" customHeight="1">
      <c r="A30" s="151" t="n"/>
      <c r="B30" s="151" t="n"/>
      <c r="C30" s="151" t="n"/>
      <c r="D30" s="151" t="n"/>
      <c r="E30" s="151" t="n"/>
      <c r="F30" s="151" t="n"/>
      <c r="G30" s="151" t="n"/>
      <c r="H30" s="151" t="n"/>
      <c r="I30" s="151" t="n"/>
      <c r="J30" s="151" t="n"/>
      <c r="K30" s="151" t="n"/>
      <c r="L30" s="151" t="n"/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1" t="n"/>
      <c r="AH30" s="151" t="n"/>
      <c r="AI30" s="151" t="n"/>
      <c r="AJ30" s="151" t="n"/>
      <c r="AK30" s="151" t="n"/>
      <c r="AL30" s="151" t="n"/>
      <c r="AM30" s="151" t="n"/>
      <c r="AN30" s="151" t="n"/>
    </row>
  </sheetData>
  <autoFilter ref="A4:AS14"/>
  <mergeCells count="17">
    <mergeCell ref="C3:C4"/>
    <mergeCell ref="B3:B4"/>
    <mergeCell ref="A3:A4"/>
    <mergeCell ref="W3:Y3"/>
    <mergeCell ref="AO3:AQ3"/>
    <mergeCell ref="D3:D4"/>
    <mergeCell ref="AC3:AE3"/>
    <mergeCell ref="T3:V3"/>
    <mergeCell ref="AF3:AH3"/>
    <mergeCell ref="E3:G3"/>
    <mergeCell ref="K3:M3"/>
    <mergeCell ref="H3:J3"/>
    <mergeCell ref="AI3:AK3"/>
    <mergeCell ref="AL3:AN3"/>
    <mergeCell ref="Z3:AB3"/>
    <mergeCell ref="N3:P3"/>
    <mergeCell ref="Q3:S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AYE THIRI</dc:creator>
  <dcterms:created xmlns:dcterms="http://purl.org/dc/terms/" xmlns:xsi="http://www.w3.org/2001/XMLSchema-instance" xsi:type="dcterms:W3CDTF">2025-03-12T04:24:51Z</dcterms:created>
  <dcterms:modified xmlns:dcterms="http://purl.org/dc/terms/" xmlns:xsi="http://www.w3.org/2001/XMLSchema-instance" xsi:type="dcterms:W3CDTF">2026-03-16T09:31:59Z</dcterms:modified>
  <cp:lastModifiedBy>Hp15s</cp:lastModifiedBy>
  <cp:lastPrinted>2025-03-18T08:35:24Z</cp:lastPrinted>
</cp:coreProperties>
</file>